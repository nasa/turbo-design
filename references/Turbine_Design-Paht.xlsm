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172E4E1F-E5EF-0DF4-AAB5-FFAA808CBF94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TD3\references\"/>
    </mc:Choice>
  </mc:AlternateContent>
  <xr:revisionPtr revIDLastSave="0" documentId="13_ncr:1_{13D9DA71-E8BE-4611-8A52-D5EABF1C1E5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esign Type 3" sheetId="9" r:id="rId1"/>
    <sheet name="Design Type 2" sheetId="4" r:id="rId2"/>
    <sheet name="Design Type 1" sheetId="1" r:id="rId3"/>
    <sheet name="Design Type 3 Inlet Mach" sheetId="7" r:id="rId4"/>
    <sheet name="Thermocycle" sheetId="2" r:id="rId5"/>
  </sheets>
  <definedNames>
    <definedName name="solver_adj" localSheetId="1" hidden="1">'Design Type 2'!$G$18</definedName>
    <definedName name="solver_adj" localSheetId="0" hidden="1">'Design Type 3'!$B$14</definedName>
    <definedName name="solver_cvg" localSheetId="1" hidden="1">0.0001</definedName>
    <definedName name="solver_cvg" localSheetId="0" hidden="1">0.0001</definedName>
    <definedName name="solver_drv" localSheetId="1" hidden="1">2</definedName>
    <definedName name="solver_drv" localSheetId="0" hidden="1">2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1" hidden="1">2147483647</definedName>
    <definedName name="solver_itr" localSheetId="0" hidden="1">2147483647</definedName>
    <definedName name="solver_lhs0" localSheetId="0" hidden="1">'Design Type 3'!$G$5</definedName>
    <definedName name="solver_lhs1" localSheetId="1" hidden="1">'Design Type 2'!$C$3</definedName>
    <definedName name="solver_lhs1" localSheetId="0" hidden="1">'Design Type 3'!$B$14</definedName>
    <definedName name="solver_lhs2" localSheetId="1" hidden="1">'Design Type 2'!$C$5</definedName>
    <definedName name="solver_lhs2" localSheetId="0" hidden="1">'Design Type 3'!$D$7</definedName>
    <definedName name="solver_lhs3" localSheetId="1" hidden="1">'Design Type 2'!$D$3</definedName>
    <definedName name="solver_lhs3" localSheetId="0" hidden="1">'Design Type 3'!$D$7</definedName>
    <definedName name="solver_lhs4" localSheetId="1" hidden="1">'Design Type 2'!$G$18</definedName>
    <definedName name="solver_lhs4" localSheetId="0" hidden="1">'Design Type 3'!$D$7</definedName>
    <definedName name="solver_lhs5" localSheetId="1" hidden="1">'Design Type 2'!$G$18</definedName>
    <definedName name="solver_lhs5" localSheetId="0" hidden="1">'Design Type 3'!$D$7</definedName>
    <definedName name="solver_lhs6" localSheetId="1" hidden="1">'Design Type 2'!$G$5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2</definedName>
    <definedName name="solver_neg" localSheetId="0" hidden="1">2</definedName>
    <definedName name="solver_nod" localSheetId="1" hidden="1">2147483647</definedName>
    <definedName name="solver_nod" localSheetId="0" hidden="1">2147483647</definedName>
    <definedName name="solver_num" localSheetId="1" hidden="1">6</definedName>
    <definedName name="solver_num" localSheetId="0" hidden="1">1</definedName>
    <definedName name="solver_nwt" localSheetId="1" hidden="1">1</definedName>
    <definedName name="solver_nwt" localSheetId="0" hidden="1">1</definedName>
    <definedName name="solver_opt" localSheetId="1" hidden="1">'Design Type 2'!$G$33</definedName>
    <definedName name="solver_opt" localSheetId="0" hidden="1">'Design Type 3'!$G$31</definedName>
    <definedName name="solver_pre" localSheetId="1" hidden="1">0.000001</definedName>
    <definedName name="solver_pre" localSheetId="0" hidden="1">0.000001</definedName>
    <definedName name="solver_rbv" localSheetId="1" hidden="1">2</definedName>
    <definedName name="solver_rbv" localSheetId="0" hidden="1">2</definedName>
    <definedName name="solver_rel0" localSheetId="0" hidden="1">1</definedName>
    <definedName name="solver_rel1" localSheetId="1" hidden="1">1</definedName>
    <definedName name="solver_rel1" localSheetId="0" hidden="1">1</definedName>
    <definedName name="solver_rel2" localSheetId="1" hidden="1">3</definedName>
    <definedName name="solver_rel2" localSheetId="0" hidden="1">1</definedName>
    <definedName name="solver_rel3" localSheetId="1" hidden="1">1</definedName>
    <definedName name="solver_rel3" localSheetId="0" hidden="1">1</definedName>
    <definedName name="solver_rel4" localSheetId="1" hidden="1">1</definedName>
    <definedName name="solver_rel4" localSheetId="0" hidden="1">1</definedName>
    <definedName name="solver_rel5" localSheetId="1" hidden="1">3</definedName>
    <definedName name="solver_rel5" localSheetId="0" hidden="1">1</definedName>
    <definedName name="solver_rel6" localSheetId="1" hidden="1">3</definedName>
    <definedName name="solver_rhs0" localSheetId="0" hidden="1">0.3</definedName>
    <definedName name="solver_rhs1" localSheetId="1" hidden="1">'Design Type 2'!$C$4</definedName>
    <definedName name="solver_rhs1" localSheetId="0" hidden="1">1</definedName>
    <definedName name="solver_rhs2" localSheetId="1" hidden="1">0</definedName>
    <definedName name="solver_rhs2" localSheetId="0" hidden="1">'Design Type 3'!$D$8</definedName>
    <definedName name="solver_rhs3" localSheetId="1" hidden="1">'Design Type 2'!$D$4</definedName>
    <definedName name="solver_rhs3" localSheetId="0" hidden="1">'Design Type 3'!$D$8</definedName>
    <definedName name="solver_rhs4" localSheetId="1" hidden="1">'Design Type 2'!$G$3</definedName>
    <definedName name="solver_rhs4" localSheetId="0" hidden="1">'Design Type 3'!$D$8</definedName>
    <definedName name="solver_rhs5" localSheetId="1" hidden="1">1</definedName>
    <definedName name="solver_rhs5" localSheetId="0" hidden="1">'Design Type 3'!$D$8</definedName>
    <definedName name="solver_rhs6" localSheetId="1" hidden="1">0.05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2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ssz" localSheetId="1" hidden="1">500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3</definedName>
    <definedName name="solver_typ" localSheetId="0" hidden="1">3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8" i="9" l="1"/>
  <c r="J35" i="9"/>
  <c r="J22" i="9"/>
  <c r="J37" i="9" s="1"/>
  <c r="G15" i="9"/>
  <c r="B22" i="9"/>
  <c r="G27" i="9"/>
  <c r="D8" i="9"/>
  <c r="D7" i="9"/>
  <c r="C7" i="9"/>
  <c r="C8" i="9"/>
  <c r="B8" i="9"/>
  <c r="B7" i="9"/>
  <c r="J25" i="9"/>
  <c r="M3" i="9" l="1"/>
  <c r="J15" i="9"/>
  <c r="J17" i="9" s="1"/>
  <c r="C13" i="9"/>
  <c r="G14" i="9" s="1"/>
  <c r="G7" i="9"/>
  <c r="G9" i="9" s="1"/>
  <c r="R15" i="9"/>
  <c r="B18" i="9"/>
  <c r="R14" i="9"/>
  <c r="B17" i="9"/>
  <c r="G11" i="9" s="1"/>
  <c r="G8" i="9"/>
  <c r="R7" i="9"/>
  <c r="R9" i="9" s="1"/>
  <c r="R11" i="9" s="1"/>
  <c r="G6" i="9" l="1"/>
  <c r="G10" i="9" s="1"/>
  <c r="B19" i="9"/>
  <c r="J3" i="9"/>
  <c r="J12" i="4"/>
  <c r="B17" i="4"/>
  <c r="B16" i="4"/>
  <c r="B15" i="4"/>
  <c r="G11" i="4" s="1"/>
  <c r="O4" i="9" l="1"/>
  <c r="M5" i="9"/>
  <c r="M8" i="9"/>
  <c r="G16" i="9"/>
  <c r="G17" i="9" s="1"/>
  <c r="G18" i="9" s="1"/>
  <c r="G7" i="4"/>
  <c r="G8" i="4"/>
  <c r="G17" i="4"/>
  <c r="G9" i="4" l="1"/>
  <c r="G6" i="4" s="1"/>
  <c r="G10" i="4" s="1"/>
  <c r="G25" i="9"/>
  <c r="J4" i="9"/>
  <c r="Q7" i="9" s="1"/>
  <c r="G19" i="9"/>
  <c r="I11" i="7"/>
  <c r="F22" i="7"/>
  <c r="F8" i="7"/>
  <c r="F7" i="7"/>
  <c r="F10" i="7" s="1"/>
  <c r="J24" i="4"/>
  <c r="G16" i="4"/>
  <c r="G19" i="4" s="1"/>
  <c r="G14" i="4" s="1"/>
  <c r="C11" i="4"/>
  <c r="B12" i="4" s="1"/>
  <c r="G27" i="4"/>
  <c r="J14" i="4"/>
  <c r="J16" i="4" s="1"/>
  <c r="G21" i="9" l="1"/>
  <c r="G24" i="9" s="1"/>
  <c r="R4" i="9"/>
  <c r="R6" i="9" s="1"/>
  <c r="J6" i="9"/>
  <c r="Q5" i="9" s="1"/>
  <c r="Q13" i="9"/>
  <c r="G29" i="9"/>
  <c r="G20" i="9"/>
  <c r="G22" i="9"/>
  <c r="G23" i="9" s="1"/>
  <c r="G26" i="9" s="1"/>
  <c r="G15" i="4"/>
  <c r="G26" i="4" s="1"/>
  <c r="O4" i="4"/>
  <c r="M8" i="4"/>
  <c r="F9" i="7"/>
  <c r="F6" i="7"/>
  <c r="F13" i="7" s="1"/>
  <c r="F18" i="7" s="1"/>
  <c r="G24" i="4"/>
  <c r="G25" i="4" s="1"/>
  <c r="Q15" i="7"/>
  <c r="Q14" i="7"/>
  <c r="C11" i="7"/>
  <c r="Q7" i="7"/>
  <c r="Q9" i="7" s="1"/>
  <c r="Q11" i="7" s="1"/>
  <c r="C4" i="7"/>
  <c r="B4" i="7"/>
  <c r="C3" i="7"/>
  <c r="B3" i="7"/>
  <c r="G28" i="9" l="1"/>
  <c r="Q12" i="9"/>
  <c r="J5" i="9"/>
  <c r="I23" i="7"/>
  <c r="I25" i="7"/>
  <c r="I18" i="7" s="1"/>
  <c r="F29" i="7"/>
  <c r="F20" i="7" s="1"/>
  <c r="B14" i="7"/>
  <c r="F14" i="7" s="1"/>
  <c r="F11" i="7"/>
  <c r="F17" i="7"/>
  <c r="F23" i="7" s="1"/>
  <c r="F24" i="7" s="1"/>
  <c r="J8" i="9" l="1"/>
  <c r="J7" i="9" s="1"/>
  <c r="J20" i="9" s="1"/>
  <c r="C9" i="9"/>
  <c r="N4" i="9" s="1"/>
  <c r="T5" i="9"/>
  <c r="G20" i="4"/>
  <c r="G23" i="4" s="1"/>
  <c r="G29" i="4"/>
  <c r="F21" i="7"/>
  <c r="F30" i="7"/>
  <c r="F19" i="7"/>
  <c r="J9" i="9" l="1"/>
  <c r="J23" i="9"/>
  <c r="J19" i="9"/>
  <c r="G31" i="4"/>
  <c r="G30" i="4"/>
  <c r="J4" i="4"/>
  <c r="C5" i="4" s="1"/>
  <c r="G21" i="4"/>
  <c r="G22" i="4"/>
  <c r="G28" i="4" s="1"/>
  <c r="I4" i="7"/>
  <c r="I3" i="7" s="1"/>
  <c r="Q4" i="7"/>
  <c r="Q6" i="7" s="1"/>
  <c r="P7" i="7"/>
  <c r="J18" i="9" l="1"/>
  <c r="J26" i="9"/>
  <c r="J27" i="9" s="1"/>
  <c r="J33" i="9"/>
  <c r="N4" i="4"/>
  <c r="J3" i="4"/>
  <c r="J6" i="4" s="1"/>
  <c r="J20" i="4" s="1"/>
  <c r="C5" i="7"/>
  <c r="L5" i="7" s="1"/>
  <c r="L6" i="7" s="1"/>
  <c r="F25" i="7"/>
  <c r="P5" i="7"/>
  <c r="P12" i="7" s="1"/>
  <c r="P13" i="7"/>
  <c r="J28" i="9" l="1"/>
  <c r="J5" i="4"/>
  <c r="J23" i="4" s="1"/>
  <c r="J21" i="4" s="1"/>
  <c r="J32" i="4" s="1"/>
  <c r="F26" i="7"/>
  <c r="F27" i="7" s="1"/>
  <c r="M4" i="7"/>
  <c r="I6" i="7"/>
  <c r="I12" i="7" s="1"/>
  <c r="S5" i="7"/>
  <c r="J29" i="9" l="1"/>
  <c r="J39" i="9" s="1"/>
  <c r="J30" i="9"/>
  <c r="J24" i="9"/>
  <c r="J25" i="4"/>
  <c r="R8" i="9"/>
  <c r="R10" i="9" s="1"/>
  <c r="J27" i="4"/>
  <c r="J34" i="4" s="1"/>
  <c r="N4" i="7"/>
  <c r="I5" i="7"/>
  <c r="I13" i="7" s="1"/>
  <c r="R7" i="4"/>
  <c r="R9" i="4" s="1"/>
  <c r="R11" i="4" s="1"/>
  <c r="R15" i="4"/>
  <c r="R14" i="4"/>
  <c r="J34" i="9" l="1"/>
  <c r="Q11" i="9"/>
  <c r="J31" i="9"/>
  <c r="J32" i="9" s="1"/>
  <c r="J14" i="9"/>
  <c r="M4" i="9"/>
  <c r="J36" i="9"/>
  <c r="Q9" i="9"/>
  <c r="Q15" i="9" s="1"/>
  <c r="Q14" i="9"/>
  <c r="J37" i="4"/>
  <c r="J26" i="4"/>
  <c r="I14" i="7"/>
  <c r="B11" i="1"/>
  <c r="H7" i="1"/>
  <c r="M7" i="9" l="1"/>
  <c r="J21" i="9"/>
  <c r="J16" i="9"/>
  <c r="G31" i="9" s="1"/>
  <c r="T8" i="9"/>
  <c r="J22" i="4"/>
  <c r="J13" i="4" s="1"/>
  <c r="J28" i="4"/>
  <c r="J29" i="4"/>
  <c r="J30" i="4" s="1"/>
  <c r="M6" i="4" s="1"/>
  <c r="I15" i="7"/>
  <c r="I28" i="7"/>
  <c r="J40" i="9" l="1"/>
  <c r="M6" i="9"/>
  <c r="J33" i="4"/>
  <c r="J36" i="4" s="1"/>
  <c r="M4" i="4"/>
  <c r="J39" i="4"/>
  <c r="J15" i="4"/>
  <c r="G33" i="4" s="1"/>
  <c r="J31" i="4"/>
  <c r="F49" i="7"/>
  <c r="I30" i="7" s="1"/>
  <c r="I33" i="7" s="1"/>
  <c r="I16" i="7"/>
  <c r="Q5" i="4"/>
  <c r="Q12" i="4" s="1"/>
  <c r="J35" i="4" l="1"/>
  <c r="J38" i="4" s="1"/>
  <c r="M3" i="4" s="1"/>
  <c r="I17" i="7"/>
  <c r="I20" i="7"/>
  <c r="I19" i="7"/>
  <c r="Q7" i="4"/>
  <c r="T5" i="4" s="1"/>
  <c r="I21" i="7" l="1"/>
  <c r="P11" i="7"/>
  <c r="P14" i="7" s="1"/>
  <c r="I29" i="7"/>
  <c r="I32" i="7" s="1"/>
  <c r="I24" i="7"/>
  <c r="I26" i="7" s="1"/>
  <c r="I27" i="7" s="1"/>
  <c r="L4" i="7"/>
  <c r="Q8" i="7"/>
  <c r="Q10" i="7" s="1"/>
  <c r="Q13" i="4"/>
  <c r="R4" i="4"/>
  <c r="R6" i="4" s="1"/>
  <c r="M5" i="4"/>
  <c r="I31" i="7" l="1"/>
  <c r="I34" i="7" s="1"/>
  <c r="L3" i="7" s="1"/>
  <c r="I22" i="7"/>
  <c r="P9" i="7"/>
  <c r="L26" i="1"/>
  <c r="L25" i="1"/>
  <c r="L15" i="1"/>
  <c r="L17" i="1" s="1"/>
  <c r="L19" i="1" s="1"/>
  <c r="L21" i="1" s="1"/>
  <c r="L18" i="1"/>
  <c r="L20" i="1" s="1"/>
  <c r="L22" i="1" s="1"/>
  <c r="K18" i="1"/>
  <c r="K24" i="1" s="1"/>
  <c r="H9" i="1"/>
  <c r="L7" i="7" l="1"/>
  <c r="P15" i="7"/>
  <c r="S8" i="7"/>
  <c r="Q11" i="4"/>
  <c r="R8" i="4"/>
  <c r="R10" i="4" s="1"/>
  <c r="K22" i="1"/>
  <c r="K25" i="1" s="1"/>
  <c r="J8" i="2"/>
  <c r="J7" i="2"/>
  <c r="Q9" i="4" l="1"/>
  <c r="Q15" i="4" s="1"/>
  <c r="Q14" i="4"/>
  <c r="J9" i="2"/>
  <c r="J14" i="2"/>
  <c r="J21" i="2" s="1"/>
  <c r="J13" i="2"/>
  <c r="J12" i="2"/>
  <c r="J29" i="2"/>
  <c r="E17" i="1"/>
  <c r="K5" i="1"/>
  <c r="K12" i="1" s="1"/>
  <c r="L4" i="1"/>
  <c r="L3" i="1"/>
  <c r="E4" i="1"/>
  <c r="T8" i="4" l="1"/>
  <c r="M7" i="4"/>
  <c r="H6" i="1"/>
  <c r="E7" i="1" s="1"/>
  <c r="E13" i="1" s="1"/>
  <c r="H8" i="1"/>
  <c r="K4" i="1"/>
  <c r="K7" i="1" s="1"/>
  <c r="E9" i="1"/>
  <c r="L5" i="1"/>
  <c r="L7" i="1"/>
  <c r="L9" i="1" s="1"/>
  <c r="L11" i="1" s="1"/>
  <c r="E14" i="1"/>
  <c r="J15" i="2"/>
  <c r="J22" i="2"/>
  <c r="M3" i="2"/>
  <c r="K20" i="1" l="1"/>
  <c r="K26" i="1" s="1"/>
  <c r="J31" i="2"/>
  <c r="K10" i="1"/>
  <c r="K8" i="1"/>
  <c r="K9" i="1"/>
  <c r="K6" i="1"/>
  <c r="J23" i="2"/>
  <c r="J24" i="2"/>
  <c r="J33" i="2" s="1"/>
  <c r="N3" i="2"/>
  <c r="E16" i="1" l="1"/>
  <c r="K16" i="1"/>
  <c r="K23" i="1" s="1"/>
  <c r="E15" i="1"/>
  <c r="J32" i="2"/>
  <c r="J30" i="2"/>
  <c r="J38" i="2" s="1"/>
  <c r="N4" i="2"/>
  <c r="M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Juangphanich, Paht</author>
  </authors>
  <commentList>
    <comment ref="H34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Juangphanich, Paht:</t>
        </r>
        <r>
          <rPr>
            <sz val="9"/>
            <color indexed="81"/>
            <rFont val="Tahoma"/>
            <family val="2"/>
          </rPr>
          <t xml:space="preserve">
Assumption: Flow is incompressible through combustor. Constant pressure heat addition</t>
        </r>
      </text>
    </comment>
  </commentList>
</comments>
</file>

<file path=xl/sharedStrings.xml><?xml version="1.0" encoding="utf-8"?>
<sst xmlns="http://schemas.openxmlformats.org/spreadsheetml/2006/main" count="421" uniqueCount="214">
  <si>
    <t>Mean Chord</t>
  </si>
  <si>
    <t>U</t>
  </si>
  <si>
    <t>Plotting</t>
  </si>
  <si>
    <t>x</t>
  </si>
  <si>
    <t>y</t>
  </si>
  <si>
    <t>U (m/s)</t>
  </si>
  <si>
    <t>Turbine</t>
  </si>
  <si>
    <r>
      <t>α</t>
    </r>
    <r>
      <rPr>
        <vertAlign val="subscript"/>
        <sz val="12"/>
        <color theme="1"/>
        <rFont val="Times New Roman"/>
        <family val="1"/>
      </rPr>
      <t>2</t>
    </r>
  </si>
  <si>
    <t>rpm</t>
  </si>
  <si>
    <r>
      <t>r</t>
    </r>
    <r>
      <rPr>
        <vertAlign val="subscript"/>
        <sz val="11"/>
        <color rgb="FF000000"/>
        <rFont val="Calibri"/>
        <family val="2"/>
      </rPr>
      <t>hub</t>
    </r>
  </si>
  <si>
    <r>
      <t>r</t>
    </r>
    <r>
      <rPr>
        <vertAlign val="subscript"/>
        <sz val="11"/>
        <color rgb="FF000000"/>
        <rFont val="Calibri"/>
        <family val="2"/>
      </rPr>
      <t>tip</t>
    </r>
  </si>
  <si>
    <r>
      <t>α</t>
    </r>
    <r>
      <rPr>
        <vertAlign val="subscript"/>
        <sz val="12"/>
        <color rgb="FF000000"/>
        <rFont val="Times New Roman"/>
        <family val="1"/>
      </rPr>
      <t>3</t>
    </r>
  </si>
  <si>
    <r>
      <t>β</t>
    </r>
    <r>
      <rPr>
        <vertAlign val="subscript"/>
        <sz val="12"/>
        <color rgb="FF000000"/>
        <rFont val="Times New Roman"/>
        <family val="1"/>
      </rPr>
      <t>2</t>
    </r>
  </si>
  <si>
    <r>
      <t>β</t>
    </r>
    <r>
      <rPr>
        <vertAlign val="subscript"/>
        <sz val="12"/>
        <color rgb="FF000000"/>
        <rFont val="Times New Roman"/>
        <family val="1"/>
      </rPr>
      <t>3</t>
    </r>
  </si>
  <si>
    <t>V2</t>
  </si>
  <si>
    <t>V3</t>
  </si>
  <si>
    <t>% Span</t>
  </si>
  <si>
    <t>Stage 1</t>
  </si>
  <si>
    <t>Performance</t>
  </si>
  <si>
    <r>
      <t>Work (m/s)</t>
    </r>
    <r>
      <rPr>
        <vertAlign val="superscript"/>
        <sz val="11"/>
        <color rgb="FF000000"/>
        <rFont val="Calibri"/>
        <family val="2"/>
      </rPr>
      <t>2</t>
    </r>
  </si>
  <si>
    <t>φ (flow Coeff)</t>
  </si>
  <si>
    <t>ψ</t>
  </si>
  <si>
    <t>Λ</t>
  </si>
  <si>
    <t>Fan</t>
  </si>
  <si>
    <t>Compressor</t>
  </si>
  <si>
    <t>LP Turbine</t>
  </si>
  <si>
    <t>Bypass Ratio</t>
  </si>
  <si>
    <t>Core</t>
  </si>
  <si>
    <r>
      <t>η</t>
    </r>
    <r>
      <rPr>
        <vertAlign val="subscript"/>
        <sz val="11"/>
        <color rgb="FF000000"/>
        <rFont val="Calibri"/>
        <family val="2"/>
      </rPr>
      <t>t</t>
    </r>
  </si>
  <si>
    <t>P01/P03</t>
  </si>
  <si>
    <t>M</t>
  </si>
  <si>
    <t>Gamma</t>
  </si>
  <si>
    <t>mdot</t>
  </si>
  <si>
    <t>T04 (K)</t>
  </si>
  <si>
    <t>P01 (Pa)</t>
  </si>
  <si>
    <t>P03/P02</t>
  </si>
  <si>
    <t>Combustor</t>
  </si>
  <si>
    <t>FHV (kJ/kg)</t>
  </si>
  <si>
    <t>Operating Conditions</t>
  </si>
  <si>
    <t>Mach</t>
  </si>
  <si>
    <t>T02 (K)</t>
  </si>
  <si>
    <t>Fluid</t>
  </si>
  <si>
    <t>T1 (K)</t>
  </si>
  <si>
    <t>Air.ppf</t>
  </si>
  <si>
    <t>mks</t>
  </si>
  <si>
    <t>P02 (kPa)</t>
  </si>
  <si>
    <t>FPR</t>
  </si>
  <si>
    <t>T03 (K)</t>
  </si>
  <si>
    <t>Pdrop</t>
  </si>
  <si>
    <t>fuel (kg/s)</t>
  </si>
  <si>
    <t>Pa (kPa)</t>
  </si>
  <si>
    <t>Brayton Cycle - Turbofan</t>
  </si>
  <si>
    <t>P01 (kPa)</t>
  </si>
  <si>
    <t>T01 (K)</t>
  </si>
  <si>
    <r>
      <t>η</t>
    </r>
    <r>
      <rPr>
        <vertAlign val="subscript"/>
        <sz val="11"/>
        <color theme="1"/>
        <rFont val="Calibri"/>
        <family val="2"/>
        <scheme val="minor"/>
      </rPr>
      <t>d</t>
    </r>
  </si>
  <si>
    <t>Work</t>
  </si>
  <si>
    <t>T02s (K)</t>
  </si>
  <si>
    <t>P02s (kPa)</t>
  </si>
  <si>
    <t>P01s (kPa)</t>
  </si>
  <si>
    <t>T01s (K)</t>
  </si>
  <si>
    <t>Diffuser</t>
  </si>
  <si>
    <r>
      <t>η</t>
    </r>
    <r>
      <rPr>
        <vertAlign val="subscript"/>
        <sz val="11"/>
        <color theme="1"/>
        <rFont val="Calibri"/>
        <family val="2"/>
        <scheme val="minor"/>
      </rPr>
      <t>f</t>
    </r>
  </si>
  <si>
    <t>Cp</t>
  </si>
  <si>
    <r>
      <t>η</t>
    </r>
    <r>
      <rPr>
        <vertAlign val="subscript"/>
        <sz val="11"/>
        <color theme="1"/>
        <rFont val="Calibri"/>
        <family val="2"/>
        <scheme val="minor"/>
      </rPr>
      <t>c</t>
    </r>
  </si>
  <si>
    <t>T03s (K)</t>
  </si>
  <si>
    <t>P03s (kPa)</t>
  </si>
  <si>
    <t>P03 (kPa)</t>
  </si>
  <si>
    <t>Work (is)</t>
  </si>
  <si>
    <t>Blowing (m/s)</t>
  </si>
  <si>
    <t>Vax (m/s)</t>
  </si>
  <si>
    <t>W2</t>
  </si>
  <si>
    <t>W3</t>
  </si>
  <si>
    <t>P01 (bar)</t>
  </si>
  <si>
    <t>M1</t>
  </si>
  <si>
    <t>P1</t>
  </si>
  <si>
    <t>U1</t>
  </si>
  <si>
    <t>U2</t>
  </si>
  <si>
    <t xml:space="preserve">Design Parameters </t>
  </si>
  <si>
    <t>Inlet Angle (deg)</t>
  </si>
  <si>
    <t>Stator</t>
  </si>
  <si>
    <t>Rotor</t>
  </si>
  <si>
    <t>Exit Angle (deg)</t>
  </si>
  <si>
    <t>Nb of blades</t>
  </si>
  <si>
    <t>Kinetic Loss %</t>
  </si>
  <si>
    <t>Chord (mm)</t>
  </si>
  <si>
    <t>Gas Properties</t>
  </si>
  <si>
    <t>γ</t>
  </si>
  <si>
    <t>R (J/(kg K))</t>
  </si>
  <si>
    <t>Cp (J/(kgK))</t>
  </si>
  <si>
    <t>mdot (kg/s)</t>
  </si>
  <si>
    <t>μ</t>
  </si>
  <si>
    <t>Stator Inlet</t>
  </si>
  <si>
    <t>Turbine Exit</t>
  </si>
  <si>
    <t>ω (rad/s)</t>
  </si>
  <si>
    <t>Turbine Inlet</t>
  </si>
  <si>
    <r>
      <t>P</t>
    </r>
    <r>
      <rPr>
        <vertAlign val="subscript"/>
        <sz val="11"/>
        <color rgb="FF000000"/>
        <rFont val="Calibri"/>
        <family val="2"/>
        <scheme val="minor"/>
      </rPr>
      <t xml:space="preserve">01 </t>
    </r>
    <r>
      <rPr>
        <sz val="11"/>
        <color rgb="FF000000"/>
        <rFont val="Calibri"/>
        <family val="2"/>
        <scheme val="minor"/>
      </rPr>
      <t>(bar)</t>
    </r>
  </si>
  <si>
    <r>
      <t>r</t>
    </r>
    <r>
      <rPr>
        <vertAlign val="subscript"/>
        <sz val="11"/>
        <color rgb="FF000000"/>
        <rFont val="Calibri"/>
        <family val="2"/>
        <scheme val="minor"/>
      </rPr>
      <t>hub (m)</t>
    </r>
  </si>
  <si>
    <r>
      <t>r</t>
    </r>
    <r>
      <rPr>
        <vertAlign val="subscript"/>
        <sz val="11"/>
        <color rgb="FF000000"/>
        <rFont val="Calibri"/>
        <family val="2"/>
        <scheme val="minor"/>
      </rPr>
      <t>tip (m)</t>
    </r>
  </si>
  <si>
    <r>
      <t>P</t>
    </r>
    <r>
      <rPr>
        <vertAlign val="subscript"/>
        <sz val="11"/>
        <color theme="1"/>
        <rFont val="Calibri"/>
        <family val="2"/>
        <scheme val="minor"/>
      </rPr>
      <t>02,r</t>
    </r>
    <r>
      <rPr>
        <sz val="11"/>
        <color theme="1"/>
        <rFont val="Calibri"/>
        <family val="2"/>
        <scheme val="minor"/>
      </rPr>
      <t xml:space="preserve"> (bar)</t>
    </r>
  </si>
  <si>
    <r>
      <t>T</t>
    </r>
    <r>
      <rPr>
        <vertAlign val="subscript"/>
        <sz val="11"/>
        <color theme="1"/>
        <rFont val="Calibri"/>
        <family val="2"/>
        <scheme val="minor"/>
      </rPr>
      <t xml:space="preserve">01 </t>
    </r>
    <r>
      <rPr>
        <sz val="11"/>
        <color theme="1"/>
        <rFont val="Calibri"/>
        <family val="2"/>
        <scheme val="minor"/>
      </rPr>
      <t>(K)</t>
    </r>
  </si>
  <si>
    <r>
      <t>T</t>
    </r>
    <r>
      <rPr>
        <vertAlign val="subscript"/>
        <sz val="11"/>
        <color theme="1"/>
        <rFont val="Calibri"/>
        <family val="2"/>
        <scheme val="minor"/>
      </rPr>
      <t>02,is</t>
    </r>
    <r>
      <rPr>
        <sz val="11"/>
        <color theme="1"/>
        <rFont val="Calibri"/>
        <family val="2"/>
        <scheme val="minor"/>
      </rPr>
      <t xml:space="preserve"> (K)</t>
    </r>
  </si>
  <si>
    <r>
      <t>P</t>
    </r>
    <r>
      <rPr>
        <vertAlign val="subscript"/>
        <sz val="11"/>
        <color rgb="FF000000"/>
        <rFont val="Calibri"/>
        <family val="2"/>
        <scheme val="minor"/>
      </rPr>
      <t>01</t>
    </r>
    <r>
      <rPr>
        <sz val="11"/>
        <color rgb="FF000000"/>
        <rFont val="Calibri"/>
        <family val="2"/>
        <scheme val="minor"/>
      </rPr>
      <t>/P</t>
    </r>
    <r>
      <rPr>
        <vertAlign val="subscript"/>
        <sz val="11"/>
        <color rgb="FF000000"/>
        <rFont val="Calibri"/>
        <family val="2"/>
        <scheme val="minor"/>
      </rPr>
      <t>s3</t>
    </r>
  </si>
  <si>
    <r>
      <t>P</t>
    </r>
    <r>
      <rPr>
        <vertAlign val="subscript"/>
        <sz val="11"/>
        <color theme="1"/>
        <rFont val="Calibri"/>
        <family val="2"/>
        <scheme val="minor"/>
      </rPr>
      <t xml:space="preserve">02,is </t>
    </r>
    <r>
      <rPr>
        <sz val="11"/>
        <color theme="1"/>
        <rFont val="Calibri"/>
        <family val="2"/>
        <scheme val="minor"/>
      </rPr>
      <t>(bar)</t>
    </r>
  </si>
  <si>
    <r>
      <t>S 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</si>
  <si>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P</t>
    </r>
    <r>
      <rPr>
        <vertAlign val="subscript"/>
        <sz val="11"/>
        <color theme="1"/>
        <rFont val="Calibri"/>
        <family val="2"/>
        <scheme val="minor"/>
      </rPr>
      <t xml:space="preserve">s2 </t>
    </r>
    <r>
      <rPr>
        <sz val="11"/>
        <color theme="1"/>
        <rFont val="Calibri"/>
        <family val="2"/>
        <scheme val="minor"/>
      </rPr>
      <t>(bar)</t>
    </r>
  </si>
  <si>
    <r>
      <t>T</t>
    </r>
    <r>
      <rPr>
        <vertAlign val="subscript"/>
        <sz val="11"/>
        <color theme="1"/>
        <rFont val="Calibri"/>
        <family val="2"/>
        <scheme val="minor"/>
      </rPr>
      <t>s2</t>
    </r>
    <r>
      <rPr>
        <sz val="11"/>
        <color theme="1"/>
        <rFont val="Calibri"/>
        <family val="2"/>
        <scheme val="minor"/>
      </rPr>
      <t xml:space="preserve"> (K)</t>
    </r>
  </si>
  <si>
    <r>
      <t>T</t>
    </r>
    <r>
      <rPr>
        <vertAlign val="subscript"/>
        <sz val="11"/>
        <color theme="1"/>
        <rFont val="Calibri"/>
        <family val="2"/>
        <scheme val="minor"/>
      </rPr>
      <t>02,r</t>
    </r>
    <r>
      <rPr>
        <sz val="11"/>
        <color theme="1"/>
        <rFont val="Calibri"/>
        <family val="2"/>
        <scheme val="minor"/>
      </rPr>
      <t xml:space="preserve"> (K)</t>
    </r>
  </si>
  <si>
    <r>
      <t>H</t>
    </r>
    <r>
      <rPr>
        <vertAlign val="subscript"/>
        <sz val="11"/>
        <color theme="1"/>
        <rFont val="Calibri"/>
        <family val="2"/>
        <scheme val="minor"/>
      </rPr>
      <t>02,r</t>
    </r>
    <r>
      <rPr>
        <sz val="11"/>
        <color theme="1"/>
        <rFont val="Calibri"/>
        <family val="2"/>
        <scheme val="minor"/>
      </rPr>
      <t xml:space="preserve"> – u</t>
    </r>
    <r>
      <rPr>
        <vertAlign val="subscript"/>
        <sz val="11"/>
        <color theme="1"/>
        <rFont val="Calibri"/>
        <family val="2"/>
        <scheme val="minor"/>
      </rPr>
      <t>2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/2</t>
    </r>
  </si>
  <si>
    <r>
      <t>U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(m/s)</t>
    </r>
  </si>
  <si>
    <r>
      <t>r</t>
    </r>
    <r>
      <rPr>
        <vertAlign val="subscript"/>
        <sz val="11"/>
        <color theme="1"/>
        <rFont val="Calibri"/>
        <family val="2"/>
        <scheme val="minor"/>
      </rPr>
      <t xml:space="preserve">%span </t>
    </r>
    <r>
      <rPr>
        <sz val="11"/>
        <color theme="1"/>
        <rFont val="Calibri"/>
        <family val="2"/>
        <scheme val="minor"/>
      </rPr>
      <t>(m)</t>
    </r>
  </si>
  <si>
    <r>
      <t>H</t>
    </r>
    <r>
      <rPr>
        <vertAlign val="subscript"/>
        <sz val="11"/>
        <color theme="1"/>
        <rFont val="Calibri"/>
        <family val="2"/>
        <scheme val="minor"/>
      </rPr>
      <t>02,r</t>
    </r>
    <r>
      <rPr>
        <sz val="11"/>
        <color theme="1"/>
        <rFont val="Calibri"/>
        <family val="2"/>
        <scheme val="minor"/>
      </rPr>
      <t xml:space="preserve"> (J/kg)</t>
    </r>
  </si>
  <si>
    <r>
      <t>H</t>
    </r>
    <r>
      <rPr>
        <vertAlign val="subscript"/>
        <sz val="11"/>
        <color rgb="FF000000"/>
        <rFont val="Calibri"/>
        <family val="2"/>
        <scheme val="minor"/>
      </rPr>
      <t xml:space="preserve">03,r </t>
    </r>
    <r>
      <rPr>
        <sz val="11"/>
        <color rgb="FF000000"/>
        <rFont val="Calibri"/>
        <family val="2"/>
        <scheme val="minor"/>
      </rPr>
      <t>(J/kg)</t>
    </r>
  </si>
  <si>
    <r>
      <t>T</t>
    </r>
    <r>
      <rPr>
        <vertAlign val="subscript"/>
        <sz val="11"/>
        <color theme="1"/>
        <rFont val="Calibri"/>
        <family val="2"/>
        <scheme val="minor"/>
      </rPr>
      <t xml:space="preserve">03,r </t>
    </r>
    <r>
      <rPr>
        <sz val="11"/>
        <color theme="1"/>
        <rFont val="Calibri"/>
        <family val="2"/>
        <scheme val="minor"/>
      </rPr>
      <t>(K)</t>
    </r>
  </si>
  <si>
    <r>
      <t>P</t>
    </r>
    <r>
      <rPr>
        <vertAlign val="subscript"/>
        <sz val="11"/>
        <color theme="1"/>
        <rFont val="Calibri"/>
        <family val="2"/>
        <scheme val="minor"/>
      </rPr>
      <t>03,r,is</t>
    </r>
    <r>
      <rPr>
        <sz val="11"/>
        <color theme="1"/>
        <rFont val="Calibri"/>
        <family val="2"/>
        <scheme val="minor"/>
      </rPr>
      <t xml:space="preserve"> (Pa)</t>
    </r>
  </si>
  <si>
    <r>
      <t>P</t>
    </r>
    <r>
      <rPr>
        <vertAlign val="subscript"/>
        <sz val="11"/>
        <color rgb="FF000000"/>
        <rFont val="Calibri"/>
        <family val="2"/>
        <scheme val="minor"/>
      </rPr>
      <t>s3</t>
    </r>
    <r>
      <rPr>
        <sz val="11"/>
        <color rgb="FF000000"/>
        <rFont val="Calibri"/>
        <family val="2"/>
        <scheme val="minor"/>
      </rPr>
      <t xml:space="preserve"> (bar)</t>
    </r>
  </si>
  <si>
    <t>Conservation of Mass</t>
  </si>
  <si>
    <r>
      <t>ρ</t>
    </r>
    <r>
      <rPr>
        <vertAlign val="subscript"/>
        <sz val="11"/>
        <color rgb="FF000000"/>
        <rFont val="Calibri"/>
        <family val="2"/>
        <scheme val="minor"/>
      </rPr>
      <t>2</t>
    </r>
    <r>
      <rPr>
        <sz val="11"/>
        <color rgb="FF000000"/>
        <rFont val="Calibri"/>
        <family val="2"/>
        <scheme val="minor"/>
      </rPr>
      <t xml:space="preserve"> (kg/m</t>
    </r>
    <r>
      <rPr>
        <vertAlign val="superscript"/>
        <sz val="11"/>
        <color rgb="FF000000"/>
        <rFont val="Calibri"/>
        <family val="2"/>
        <scheme val="minor"/>
      </rPr>
      <t>3</t>
    </r>
    <r>
      <rPr>
        <sz val="11"/>
        <color rgb="FF000000"/>
        <rFont val="Calibri"/>
        <family val="2"/>
        <scheme val="minor"/>
      </rPr>
      <t>)</t>
    </r>
  </si>
  <si>
    <r>
      <t>A</t>
    </r>
    <r>
      <rPr>
        <vertAlign val="subscript"/>
        <sz val="11"/>
        <color rgb="FF000000"/>
        <rFont val="Calibri"/>
        <family val="2"/>
        <scheme val="minor"/>
      </rPr>
      <t xml:space="preserve">3 </t>
    </r>
    <r>
      <rPr>
        <sz val="11"/>
        <color rgb="FF000000"/>
        <rFont val="Calibri"/>
        <family val="2"/>
        <scheme val="minor"/>
      </rPr>
      <t>(m</t>
    </r>
    <r>
      <rPr>
        <vertAlign val="superscript"/>
        <sz val="11"/>
        <color rgb="FF000000"/>
        <rFont val="Calibri"/>
        <family val="2"/>
        <scheme val="minor"/>
      </rPr>
      <t>2</t>
    </r>
    <r>
      <rPr>
        <sz val="11"/>
        <color rgb="FF000000"/>
        <rFont val="Calibri"/>
        <family val="2"/>
        <scheme val="minor"/>
      </rPr>
      <t>)</t>
    </r>
  </si>
  <si>
    <r>
      <t>T</t>
    </r>
    <r>
      <rPr>
        <vertAlign val="subscript"/>
        <sz val="11"/>
        <color rgb="FF000000"/>
        <rFont val="Calibri"/>
        <family val="2"/>
        <scheme val="minor"/>
      </rPr>
      <t xml:space="preserve">3s,is </t>
    </r>
    <r>
      <rPr>
        <sz val="11"/>
        <color rgb="FF000000"/>
        <rFont val="Calibri"/>
        <family val="2"/>
        <scheme val="minor"/>
      </rPr>
      <t>(K)</t>
    </r>
  </si>
  <si>
    <t>Stator Exit</t>
  </si>
  <si>
    <r>
      <t>V</t>
    </r>
    <r>
      <rPr>
        <vertAlign val="subscript"/>
        <sz val="11"/>
        <color rgb="FF000000"/>
        <rFont val="Calibri"/>
        <family val="2"/>
        <scheme val="minor"/>
      </rPr>
      <t xml:space="preserve">2,ax </t>
    </r>
    <r>
      <rPr>
        <sz val="11"/>
        <color rgb="FF000000"/>
        <rFont val="Calibri"/>
        <family val="2"/>
        <scheme val="minor"/>
      </rPr>
      <t>(m/s)</t>
    </r>
  </si>
  <si>
    <r>
      <t>A</t>
    </r>
    <r>
      <rPr>
        <vertAlign val="subscript"/>
        <sz val="11"/>
        <color rgb="FF000000"/>
        <rFont val="Calibri"/>
        <family val="2"/>
        <scheme val="minor"/>
      </rPr>
      <t xml:space="preserve">2 </t>
    </r>
    <r>
      <rPr>
        <sz val="11"/>
        <color rgb="FF000000"/>
        <rFont val="Calibri"/>
        <family val="2"/>
        <scheme val="minor"/>
      </rPr>
      <t>(m</t>
    </r>
    <r>
      <rPr>
        <vertAlign val="superscript"/>
        <sz val="11"/>
        <color rgb="FF000000"/>
        <rFont val="Calibri"/>
        <family val="2"/>
        <scheme val="minor"/>
      </rPr>
      <t>2</t>
    </r>
    <r>
      <rPr>
        <sz val="11"/>
        <color rgb="FF000000"/>
        <rFont val="Calibri"/>
        <family val="2"/>
        <scheme val="minor"/>
      </rPr>
      <t>)</t>
    </r>
  </si>
  <si>
    <r>
      <t>V</t>
    </r>
    <r>
      <rPr>
        <vertAlign val="subscript"/>
        <sz val="11"/>
        <color rgb="FF000000"/>
        <rFont val="Calibri"/>
        <family val="2"/>
        <scheme val="minor"/>
      </rPr>
      <t>2u</t>
    </r>
    <r>
      <rPr>
        <sz val="11"/>
        <color rgb="FF000000"/>
        <rFont val="Calibri"/>
        <family val="2"/>
        <scheme val="minor"/>
      </rPr>
      <t xml:space="preserve"> (m/s)</t>
    </r>
  </si>
  <si>
    <r>
      <t>W</t>
    </r>
    <r>
      <rPr>
        <vertAlign val="subscript"/>
        <sz val="11"/>
        <color rgb="FF000000"/>
        <rFont val="Calibri"/>
        <family val="2"/>
        <scheme val="minor"/>
      </rPr>
      <t>2u</t>
    </r>
    <r>
      <rPr>
        <sz val="11"/>
        <color rgb="FF000000"/>
        <rFont val="Calibri"/>
        <family val="2"/>
        <scheme val="minor"/>
      </rPr>
      <t xml:space="preserve"> (m/s)</t>
    </r>
  </si>
  <si>
    <r>
      <t>W</t>
    </r>
    <r>
      <rPr>
        <vertAlign val="subscript"/>
        <sz val="11"/>
        <color rgb="FF000000"/>
        <rFont val="Calibri"/>
        <family val="2"/>
        <scheme val="minor"/>
      </rPr>
      <t>3u</t>
    </r>
    <r>
      <rPr>
        <sz val="11"/>
        <color rgb="FF000000"/>
        <rFont val="Calibri"/>
        <family val="2"/>
        <scheme val="minor"/>
      </rPr>
      <t xml:space="preserve"> (m/s)</t>
    </r>
  </si>
  <si>
    <r>
      <t>V</t>
    </r>
    <r>
      <rPr>
        <vertAlign val="subscript"/>
        <sz val="11"/>
        <color rgb="FF000000"/>
        <rFont val="Calibri"/>
        <family val="2"/>
        <scheme val="minor"/>
      </rPr>
      <t xml:space="preserve">2,loss </t>
    </r>
    <r>
      <rPr>
        <sz val="11"/>
        <color rgb="FF000000"/>
        <rFont val="Calibri"/>
        <family val="2"/>
        <scheme val="minor"/>
      </rPr>
      <t>(m/s)</t>
    </r>
  </si>
  <si>
    <r>
      <t>T</t>
    </r>
    <r>
      <rPr>
        <vertAlign val="subscript"/>
        <sz val="11"/>
        <color rgb="FF000000"/>
        <rFont val="Calibri"/>
        <family val="2"/>
        <scheme val="minor"/>
      </rPr>
      <t>3s</t>
    </r>
    <r>
      <rPr>
        <sz val="11"/>
        <color rgb="FF000000"/>
        <rFont val="Calibri"/>
        <family val="2"/>
        <scheme val="minor"/>
      </rPr>
      <t xml:space="preserve"> (K)</t>
    </r>
  </si>
  <si>
    <t>mdot balance</t>
  </si>
  <si>
    <r>
      <t>W</t>
    </r>
    <r>
      <rPr>
        <vertAlign val="subscript"/>
        <sz val="11"/>
        <color rgb="FF000000"/>
        <rFont val="Calibri"/>
        <family val="2"/>
        <scheme val="minor"/>
      </rPr>
      <t>3,ax</t>
    </r>
    <r>
      <rPr>
        <sz val="11"/>
        <color rgb="FF000000"/>
        <rFont val="Calibri"/>
        <family val="2"/>
        <scheme val="minor"/>
      </rPr>
      <t xml:space="preserve"> (m/s)</t>
    </r>
  </si>
  <si>
    <r>
      <t>W</t>
    </r>
    <r>
      <rPr>
        <vertAlign val="subscript"/>
        <sz val="11"/>
        <color rgb="FF000000"/>
        <rFont val="Calibri"/>
        <family val="2"/>
        <scheme val="minor"/>
      </rPr>
      <t>3,loss</t>
    </r>
    <r>
      <rPr>
        <sz val="11"/>
        <color rgb="FF000000"/>
        <rFont val="Calibri"/>
        <family val="2"/>
        <scheme val="minor"/>
      </rPr>
      <t xml:space="preserve"> (m/s)</t>
    </r>
  </si>
  <si>
    <r>
      <t>W</t>
    </r>
    <r>
      <rPr>
        <vertAlign val="subscript"/>
        <sz val="11"/>
        <color rgb="FF000000"/>
        <rFont val="Calibri"/>
        <family val="2"/>
        <scheme val="minor"/>
      </rPr>
      <t>3,is</t>
    </r>
    <r>
      <rPr>
        <sz val="11"/>
        <color rgb="FF000000"/>
        <rFont val="Calibri"/>
        <family val="2"/>
        <scheme val="minor"/>
      </rPr>
      <t xml:space="preserve"> (m/s)</t>
    </r>
  </si>
  <si>
    <r>
      <t>V</t>
    </r>
    <r>
      <rPr>
        <vertAlign val="subscript"/>
        <sz val="11"/>
        <color rgb="FF000000"/>
        <rFont val="Calibri"/>
        <family val="2"/>
        <scheme val="minor"/>
      </rPr>
      <t>3u</t>
    </r>
    <r>
      <rPr>
        <sz val="11"/>
        <color rgb="FF000000"/>
        <rFont val="Calibri"/>
        <family val="2"/>
        <scheme val="minor"/>
      </rPr>
      <t xml:space="preserve"> (m/s) </t>
    </r>
  </si>
  <si>
    <r>
      <t>V</t>
    </r>
    <r>
      <rPr>
        <vertAlign val="subscript"/>
        <sz val="11"/>
        <color rgb="FF000000"/>
        <rFont val="Calibri"/>
        <family val="2"/>
        <scheme val="minor"/>
      </rPr>
      <t>3</t>
    </r>
    <r>
      <rPr>
        <sz val="11"/>
        <color rgb="FF000000"/>
        <rFont val="Calibri"/>
        <family val="2"/>
        <scheme val="minor"/>
      </rPr>
      <t xml:space="preserve"> (m/s) </t>
    </r>
  </si>
  <si>
    <r>
      <t>η</t>
    </r>
    <r>
      <rPr>
        <vertAlign val="subscript"/>
        <sz val="11"/>
        <color theme="1"/>
        <rFont val="Calibri"/>
        <family val="2"/>
        <scheme val="minor"/>
      </rPr>
      <t>t</t>
    </r>
  </si>
  <si>
    <t>a (m/s)</t>
  </si>
  <si>
    <r>
      <t>M</t>
    </r>
    <r>
      <rPr>
        <vertAlign val="subscript"/>
        <sz val="11"/>
        <color theme="1"/>
        <rFont val="Calibri"/>
        <family val="2"/>
        <scheme val="minor"/>
      </rPr>
      <t>ax,is</t>
    </r>
  </si>
  <si>
    <t>a,is (m/s)</t>
  </si>
  <si>
    <r>
      <t>W</t>
    </r>
    <r>
      <rPr>
        <vertAlign val="subscript"/>
        <sz val="11"/>
        <color rgb="FF000000"/>
        <rFont val="Calibri"/>
        <family val="2"/>
        <scheme val="minor"/>
      </rPr>
      <t>3,ax,is</t>
    </r>
    <r>
      <rPr>
        <sz val="11"/>
        <color rgb="FF000000"/>
        <rFont val="Calibri"/>
        <family val="2"/>
        <scheme val="minor"/>
      </rPr>
      <t xml:space="preserve"> (m/s)</t>
    </r>
  </si>
  <si>
    <r>
      <t>T</t>
    </r>
    <r>
      <rPr>
        <vertAlign val="subscript"/>
        <sz val="11"/>
        <color rgb="FF000000"/>
        <rFont val="Calibri"/>
        <family val="2"/>
        <scheme val="minor"/>
      </rPr>
      <t>03,is</t>
    </r>
    <r>
      <rPr>
        <sz val="11"/>
        <color rgb="FF000000"/>
        <rFont val="Calibri"/>
        <family val="2"/>
        <scheme val="minor"/>
      </rPr>
      <t xml:space="preserve"> (K)</t>
    </r>
  </si>
  <si>
    <r>
      <t>T</t>
    </r>
    <r>
      <rPr>
        <vertAlign val="subscript"/>
        <sz val="11"/>
        <color rgb="FF000000"/>
        <rFont val="Calibri"/>
        <family val="2"/>
        <scheme val="minor"/>
      </rPr>
      <t>03</t>
    </r>
    <r>
      <rPr>
        <sz val="11"/>
        <color rgb="FF000000"/>
        <rFont val="Calibri"/>
        <family val="2"/>
        <scheme val="minor"/>
      </rPr>
      <t xml:space="preserve"> (K)</t>
    </r>
  </si>
  <si>
    <t>Ʌ</t>
  </si>
  <si>
    <r>
      <t>T</t>
    </r>
    <r>
      <rPr>
        <vertAlign val="subscript"/>
        <sz val="11"/>
        <color rgb="FF000000"/>
        <rFont val="Calibri"/>
        <family val="2"/>
        <scheme val="minor"/>
      </rPr>
      <t>1s</t>
    </r>
    <r>
      <rPr>
        <sz val="11"/>
        <color rgb="FF000000"/>
        <rFont val="Calibri"/>
        <family val="2"/>
        <scheme val="minor"/>
      </rPr>
      <t xml:space="preserve"> (K)</t>
    </r>
  </si>
  <si>
    <t>φ</t>
  </si>
  <si>
    <t>Velocity Triangles</t>
  </si>
  <si>
    <t>W (m/s)^2</t>
  </si>
  <si>
    <t>U3</t>
  </si>
  <si>
    <r>
      <t>U</t>
    </r>
    <r>
      <rPr>
        <vertAlign val="subscript"/>
        <sz val="11"/>
        <color rgb="FF000000"/>
        <rFont val="Calibri"/>
        <family val="2"/>
        <scheme val="minor"/>
      </rPr>
      <t>3</t>
    </r>
    <r>
      <rPr>
        <sz val="11"/>
        <color rgb="FF000000"/>
        <rFont val="Calibri"/>
        <family val="2"/>
        <scheme val="minor"/>
      </rPr>
      <t xml:space="preserve"> (m/s)</t>
    </r>
  </si>
  <si>
    <t>Design Type 2: Mass Flow rate is unknown</t>
  </si>
  <si>
    <r>
      <t>W</t>
    </r>
    <r>
      <rPr>
        <vertAlign val="subscript"/>
        <sz val="11"/>
        <color rgb="FF000000"/>
        <rFont val="Calibri"/>
        <family val="2"/>
        <scheme val="minor"/>
      </rPr>
      <t>2</t>
    </r>
    <r>
      <rPr>
        <sz val="11"/>
        <color rgb="FF000000"/>
        <rFont val="Calibri"/>
        <family val="2"/>
        <scheme val="minor"/>
      </rPr>
      <t xml:space="preserve"> (m/s)</t>
    </r>
  </si>
  <si>
    <r>
      <t>ρ</t>
    </r>
    <r>
      <rPr>
        <vertAlign val="subscript"/>
        <sz val="11"/>
        <color rgb="FF000000"/>
        <rFont val="Calibri"/>
        <family val="2"/>
        <scheme val="minor"/>
      </rPr>
      <t>3</t>
    </r>
    <r>
      <rPr>
        <sz val="11"/>
        <color rgb="FF000000"/>
        <rFont val="Calibri"/>
        <family val="2"/>
        <scheme val="minor"/>
      </rPr>
      <t xml:space="preserve"> (kg/m</t>
    </r>
    <r>
      <rPr>
        <vertAlign val="superscript"/>
        <sz val="11"/>
        <color rgb="FF000000"/>
        <rFont val="Calibri"/>
        <family val="2"/>
        <scheme val="minor"/>
      </rPr>
      <t>3</t>
    </r>
    <r>
      <rPr>
        <sz val="11"/>
        <color rgb="FF000000"/>
        <rFont val="Calibri"/>
        <family val="2"/>
        <scheme val="minor"/>
      </rPr>
      <t>)</t>
    </r>
  </si>
  <si>
    <r>
      <t>P</t>
    </r>
    <r>
      <rPr>
        <vertAlign val="subscript"/>
        <sz val="11"/>
        <color theme="1"/>
        <rFont val="Calibri"/>
        <family val="2"/>
        <scheme val="minor"/>
      </rPr>
      <t xml:space="preserve">1,s </t>
    </r>
    <r>
      <rPr>
        <sz val="11"/>
        <color theme="1"/>
        <rFont val="Calibri"/>
        <family val="2"/>
        <scheme val="minor"/>
      </rPr>
      <t>(bar)</t>
    </r>
  </si>
  <si>
    <r>
      <t>V</t>
    </r>
    <r>
      <rPr>
        <vertAlign val="subscript"/>
        <sz val="11"/>
        <color rgb="FF000000"/>
        <rFont val="Calibri"/>
        <family val="2"/>
        <scheme val="minor"/>
      </rPr>
      <t>1,ax</t>
    </r>
    <r>
      <rPr>
        <sz val="11"/>
        <color rgb="FF000000"/>
        <rFont val="Calibri"/>
        <family val="2"/>
        <scheme val="minor"/>
      </rPr>
      <t xml:space="preserve"> (m/s)</t>
    </r>
  </si>
  <si>
    <r>
      <t>V</t>
    </r>
    <r>
      <rPr>
        <vertAlign val="subscript"/>
        <sz val="11"/>
        <color rgb="FF000000"/>
        <rFont val="Calibri"/>
        <family val="2"/>
        <scheme val="minor"/>
      </rPr>
      <t>1</t>
    </r>
    <r>
      <rPr>
        <sz val="11"/>
        <color rgb="FF000000"/>
        <rFont val="Calibri"/>
        <family val="2"/>
        <scheme val="minor"/>
      </rPr>
      <t xml:space="preserve"> (m/s)</t>
    </r>
  </si>
  <si>
    <r>
      <t>V</t>
    </r>
    <r>
      <rPr>
        <vertAlign val="subscript"/>
        <sz val="11"/>
        <color rgb="FF000000"/>
        <rFont val="Calibri"/>
        <family val="2"/>
        <scheme val="minor"/>
      </rPr>
      <t>2</t>
    </r>
    <r>
      <rPr>
        <sz val="11"/>
        <color rgb="FF000000"/>
        <rFont val="Calibri"/>
        <family val="2"/>
        <scheme val="minor"/>
      </rPr>
      <t xml:space="preserve"> (m/s)</t>
    </r>
  </si>
  <si>
    <t>air</t>
  </si>
  <si>
    <t>Ψ (expansion ratio)</t>
  </si>
  <si>
    <r>
      <t>M</t>
    </r>
    <r>
      <rPr>
        <vertAlign val="subscript"/>
        <sz val="11"/>
        <color theme="1"/>
        <rFont val="Calibri"/>
        <family val="2"/>
        <scheme val="minor"/>
      </rPr>
      <t>3,ax</t>
    </r>
  </si>
  <si>
    <r>
      <t>M</t>
    </r>
    <r>
      <rPr>
        <vertAlign val="subscript"/>
        <sz val="11"/>
        <color rgb="FF000000"/>
        <rFont val="Calibri"/>
        <family val="2"/>
        <scheme val="minor"/>
      </rPr>
      <t>3,r</t>
    </r>
  </si>
  <si>
    <r>
      <t>M</t>
    </r>
    <r>
      <rPr>
        <vertAlign val="subscript"/>
        <sz val="11"/>
        <color theme="1"/>
        <rFont val="Calibri"/>
        <family val="2"/>
        <scheme val="minor"/>
      </rPr>
      <t>3,ax,is</t>
    </r>
  </si>
  <si>
    <r>
      <t>M</t>
    </r>
    <r>
      <rPr>
        <vertAlign val="subscript"/>
        <sz val="11"/>
        <color theme="1"/>
        <rFont val="Calibri"/>
        <family val="2"/>
        <scheme val="minor"/>
      </rPr>
      <t>1,ax,is</t>
    </r>
  </si>
  <si>
    <r>
      <t>ρ</t>
    </r>
    <r>
      <rPr>
        <vertAlign val="subscript"/>
        <sz val="11"/>
        <color rgb="FF000000"/>
        <rFont val="Calibri"/>
        <family val="2"/>
        <scheme val="minor"/>
      </rPr>
      <t>1,s</t>
    </r>
    <r>
      <rPr>
        <sz val="11"/>
        <color rgb="FF000000"/>
        <rFont val="Calibri"/>
        <family val="2"/>
        <scheme val="minor"/>
      </rPr>
      <t xml:space="preserve"> (kg/m</t>
    </r>
    <r>
      <rPr>
        <vertAlign val="superscript"/>
        <sz val="11"/>
        <color rgb="FF000000"/>
        <rFont val="Calibri"/>
        <family val="2"/>
        <scheme val="minor"/>
      </rPr>
      <t>3</t>
    </r>
    <r>
      <rPr>
        <sz val="11"/>
        <color rgb="FF000000"/>
        <rFont val="Calibri"/>
        <family val="2"/>
        <scheme val="minor"/>
      </rPr>
      <t>)</t>
    </r>
  </si>
  <si>
    <r>
      <t>T</t>
    </r>
    <r>
      <rPr>
        <vertAlign val="subscript"/>
        <sz val="11"/>
        <color rgb="FF000000"/>
        <rFont val="Calibri"/>
        <family val="2"/>
        <scheme val="minor"/>
      </rPr>
      <t>1,s</t>
    </r>
    <r>
      <rPr>
        <sz val="11"/>
        <color rgb="FF000000"/>
        <rFont val="Calibri"/>
        <family val="2"/>
        <scheme val="minor"/>
      </rPr>
      <t xml:space="preserve"> (K)</t>
    </r>
  </si>
  <si>
    <r>
      <t>M</t>
    </r>
    <r>
      <rPr>
        <vertAlign val="subscript"/>
        <sz val="11"/>
        <color theme="1"/>
        <rFont val="Calibri"/>
        <family val="2"/>
        <scheme val="minor"/>
      </rPr>
      <t>2</t>
    </r>
  </si>
  <si>
    <r>
      <t>V</t>
    </r>
    <r>
      <rPr>
        <vertAlign val="subscript"/>
        <sz val="11"/>
        <color rgb="FF000000"/>
        <rFont val="Calibri"/>
        <family val="2"/>
        <scheme val="minor"/>
      </rPr>
      <t>2,ax,loss</t>
    </r>
    <r>
      <rPr>
        <sz val="11"/>
        <color rgb="FF000000"/>
        <rFont val="Calibri"/>
        <family val="2"/>
        <scheme val="minor"/>
      </rPr>
      <t xml:space="preserve"> (m/s)</t>
    </r>
  </si>
  <si>
    <r>
      <t>M</t>
    </r>
    <r>
      <rPr>
        <vertAlign val="subscript"/>
        <sz val="11"/>
        <color theme="1"/>
        <rFont val="Calibri"/>
        <family val="2"/>
        <scheme val="minor"/>
      </rPr>
      <t>2,ax</t>
    </r>
  </si>
  <si>
    <t>Design Type 3: Mass Flow rate is unknown</t>
  </si>
  <si>
    <r>
      <t>T</t>
    </r>
    <r>
      <rPr>
        <vertAlign val="subscript"/>
        <sz val="11"/>
        <color rgb="FF000000"/>
        <rFont val="Calibri"/>
        <family val="2"/>
        <scheme val="minor"/>
      </rPr>
      <t>3</t>
    </r>
    <r>
      <rPr>
        <sz val="11"/>
        <color rgb="FF000000"/>
        <rFont val="Calibri"/>
        <family val="2"/>
        <scheme val="minor"/>
      </rPr>
      <t xml:space="preserve"> (K)</t>
    </r>
  </si>
  <si>
    <r>
      <t>A</t>
    </r>
    <r>
      <rPr>
        <vertAlign val="superscript"/>
        <sz val="11"/>
        <color theme="1"/>
        <rFont val="Calibri"/>
        <family val="2"/>
        <scheme val="minor"/>
      </rPr>
      <t xml:space="preserve">2 </t>
    </r>
    <r>
      <rPr>
        <sz val="11"/>
        <color theme="1"/>
        <rFont val="Calibri"/>
        <family val="2"/>
        <scheme val="minor"/>
      </rPr>
      <t>(ignore)</t>
    </r>
  </si>
  <si>
    <r>
      <t>T</t>
    </r>
    <r>
      <rPr>
        <vertAlign val="subscript"/>
        <sz val="11"/>
        <color theme="1"/>
        <rFont val="Calibri"/>
        <family val="2"/>
        <scheme val="minor"/>
      </rPr>
      <t>s2,is</t>
    </r>
    <r>
      <rPr>
        <sz val="11"/>
        <color theme="1"/>
        <rFont val="Calibri"/>
        <family val="2"/>
        <scheme val="minor"/>
      </rPr>
      <t xml:space="preserve"> (K)</t>
    </r>
  </si>
  <si>
    <r>
      <t>P</t>
    </r>
    <r>
      <rPr>
        <vertAlign val="subscript"/>
        <sz val="11"/>
        <color theme="1"/>
        <rFont val="Calibri"/>
        <family val="2"/>
        <scheme val="minor"/>
      </rPr>
      <t xml:space="preserve">02 </t>
    </r>
    <r>
      <rPr>
        <sz val="11"/>
        <color theme="1"/>
        <rFont val="Calibri"/>
        <family val="2"/>
        <scheme val="minor"/>
      </rPr>
      <t>(bar)</t>
    </r>
  </si>
  <si>
    <r>
      <t>P</t>
    </r>
    <r>
      <rPr>
        <vertAlign val="subscript"/>
        <sz val="11"/>
        <color theme="1"/>
        <rFont val="Calibri"/>
        <family val="2"/>
        <scheme val="minor"/>
      </rPr>
      <t>02,r,is</t>
    </r>
    <r>
      <rPr>
        <sz val="11"/>
        <color theme="1"/>
        <rFont val="Calibri"/>
        <family val="2"/>
        <scheme val="minor"/>
      </rPr>
      <t xml:space="preserve"> (bar)</t>
    </r>
  </si>
  <si>
    <r>
      <t>T</t>
    </r>
    <r>
      <rPr>
        <vertAlign val="subscript"/>
        <sz val="11"/>
        <color theme="1"/>
        <rFont val="Calibri"/>
        <family val="2"/>
        <scheme val="minor"/>
      </rPr>
      <t xml:space="preserve">03,r </t>
    </r>
    <r>
      <rPr>
        <sz val="11"/>
        <color theme="1"/>
        <rFont val="Calibri"/>
        <family val="2"/>
        <scheme val="minor"/>
      </rPr>
      <t>(K) - correction</t>
    </r>
  </si>
  <si>
    <r>
      <t>r</t>
    </r>
    <r>
      <rPr>
        <vertAlign val="subscript"/>
        <sz val="11"/>
        <color theme="1"/>
        <rFont val="Calibri"/>
        <family val="2"/>
        <scheme val="minor"/>
      </rPr>
      <t xml:space="preserve">p </t>
    </r>
    <r>
      <rPr>
        <sz val="11"/>
        <color theme="1"/>
        <rFont val="Calibri"/>
        <family val="2"/>
        <scheme val="minor"/>
      </rPr>
      <t>(Pressure deg reaction)</t>
    </r>
  </si>
  <si>
    <t>Ψ (blade loading)</t>
  </si>
  <si>
    <t>massflow inlet</t>
  </si>
  <si>
    <r>
      <t>M</t>
    </r>
    <r>
      <rPr>
        <vertAlign val="subscript"/>
        <sz val="11"/>
        <color theme="1"/>
        <rFont val="Calibri"/>
        <family val="2"/>
        <scheme val="minor"/>
      </rPr>
      <t>1,ax</t>
    </r>
  </si>
  <si>
    <t>μ_ref</t>
  </si>
  <si>
    <t>M2_ax</t>
  </si>
  <si>
    <t>S2</t>
  </si>
  <si>
    <t>Rotor Exit</t>
  </si>
  <si>
    <t>Rotor Inlet</t>
  </si>
  <si>
    <t>S3</t>
  </si>
  <si>
    <t>V3_ax</t>
  </si>
  <si>
    <t>M2</t>
  </si>
  <si>
    <t>Design Type 3: Degree of reaction is known</t>
  </si>
  <si>
    <r>
      <t>P</t>
    </r>
    <r>
      <rPr>
        <vertAlign val="subscript"/>
        <sz val="11"/>
        <color rgb="FF000000"/>
        <rFont val="Calibri"/>
        <family val="2"/>
        <scheme val="minor"/>
      </rPr>
      <t>01</t>
    </r>
    <r>
      <rPr>
        <sz val="11"/>
        <color rgb="FF000000"/>
        <rFont val="Calibri"/>
        <family val="2"/>
        <scheme val="minor"/>
      </rPr>
      <t>/P</t>
    </r>
    <r>
      <rPr>
        <vertAlign val="subscript"/>
        <sz val="11"/>
        <color rgb="FF000000"/>
        <rFont val="Calibri"/>
        <family val="2"/>
        <scheme val="minor"/>
      </rPr>
      <t>3</t>
    </r>
  </si>
  <si>
    <r>
      <t>P</t>
    </r>
    <r>
      <rPr>
        <vertAlign val="subscript"/>
        <sz val="11"/>
        <color rgb="FF000000"/>
        <rFont val="Calibri"/>
        <family val="2"/>
        <scheme val="minor"/>
      </rPr>
      <t>3</t>
    </r>
    <r>
      <rPr>
        <sz val="11"/>
        <color rgb="FF000000"/>
        <rFont val="Calibri"/>
        <family val="2"/>
        <scheme val="minor"/>
      </rPr>
      <t xml:space="preserve"> (bar)</t>
    </r>
  </si>
  <si>
    <r>
      <t>P</t>
    </r>
    <r>
      <rPr>
        <vertAlign val="subscript"/>
        <sz val="11"/>
        <color theme="1"/>
        <rFont val="Calibri"/>
        <family val="2"/>
        <scheme val="minor"/>
      </rPr>
      <t xml:space="preserve">2 </t>
    </r>
    <r>
      <rPr>
        <sz val="11"/>
        <color theme="1"/>
        <rFont val="Calibri"/>
        <family val="2"/>
        <scheme val="minor"/>
      </rPr>
      <t>(bar)</t>
    </r>
  </si>
  <si>
    <r>
      <t>V</t>
    </r>
    <r>
      <rPr>
        <vertAlign val="subscript"/>
        <sz val="11"/>
        <color rgb="FF000000"/>
        <rFont val="Calibri"/>
        <family val="2"/>
        <scheme val="minor"/>
      </rPr>
      <t>2is</t>
    </r>
    <r>
      <rPr>
        <sz val="11"/>
        <color rgb="FF000000"/>
        <rFont val="Calibri"/>
        <family val="2"/>
        <scheme val="minor"/>
      </rPr>
      <t xml:space="preserve"> (m/s)</t>
    </r>
  </si>
  <si>
    <r>
      <t>T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(K)</t>
    </r>
  </si>
  <si>
    <r>
      <t>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(kJ/kg)</t>
    </r>
  </si>
  <si>
    <r>
      <t>a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(m/s)</t>
    </r>
  </si>
  <si>
    <r>
      <t>U</t>
    </r>
    <r>
      <rPr>
        <vertAlign val="subscript"/>
        <sz val="11"/>
        <color rgb="FF000000"/>
        <rFont val="Calibri"/>
        <family val="2"/>
        <scheme val="minor"/>
      </rPr>
      <t>2max</t>
    </r>
    <r>
      <rPr>
        <sz val="11"/>
        <color rgb="FF000000"/>
        <rFont val="Calibri"/>
        <family val="2"/>
        <scheme val="minor"/>
      </rPr>
      <t xml:space="preserve"> (m/s)</t>
    </r>
  </si>
  <si>
    <t>μ_ref (kg/(ms))</t>
  </si>
  <si>
    <r>
      <t>U</t>
    </r>
    <r>
      <rPr>
        <vertAlign val="subscript"/>
        <sz val="11"/>
        <color rgb="FF000000"/>
        <rFont val="Calibri"/>
        <family val="2"/>
        <scheme val="minor"/>
      </rPr>
      <t>2</t>
    </r>
    <r>
      <rPr>
        <sz val="11"/>
        <color rgb="FF000000"/>
        <rFont val="Calibri"/>
        <family val="2"/>
        <scheme val="minor"/>
      </rPr>
      <t xml:space="preserve"> (m/s)</t>
    </r>
  </si>
  <si>
    <r>
      <t>r</t>
    </r>
    <r>
      <rPr>
        <sz val="8"/>
        <color theme="1"/>
        <rFont val="Calibri"/>
        <family val="2"/>
        <scheme val="minor"/>
      </rPr>
      <t>mean</t>
    </r>
    <r>
      <rPr>
        <sz val="11"/>
        <color theme="1"/>
        <rFont val="Calibri"/>
        <family val="2"/>
        <scheme val="minor"/>
      </rPr>
      <t xml:space="preserve"> [m]</t>
    </r>
  </si>
  <si>
    <r>
      <t>r</t>
    </r>
    <r>
      <rPr>
        <vertAlign val="subscript"/>
        <sz val="11"/>
        <color rgb="FF000000"/>
        <rFont val="Calibri"/>
        <family val="2"/>
        <scheme val="minor"/>
      </rPr>
      <t>hub [m]</t>
    </r>
  </si>
  <si>
    <r>
      <t>r</t>
    </r>
    <r>
      <rPr>
        <vertAlign val="subscript"/>
        <sz val="11"/>
        <color rgb="FF000000"/>
        <rFont val="Calibri"/>
        <family val="2"/>
        <scheme val="minor"/>
      </rPr>
      <t>tip [m]</t>
    </r>
  </si>
  <si>
    <t>H2/H1</t>
  </si>
  <si>
    <t>H3/H2</t>
  </si>
  <si>
    <t>H1 [m]</t>
  </si>
  <si>
    <t>V2**2/V2_is**2</t>
  </si>
  <si>
    <t>rp</t>
  </si>
  <si>
    <t>P0_Loss</t>
  </si>
  <si>
    <t>change to match massflow</t>
  </si>
  <si>
    <t>massflow_error</t>
  </si>
  <si>
    <r>
      <t>T</t>
    </r>
    <r>
      <rPr>
        <sz val="8"/>
        <color theme="1"/>
        <rFont val="Calibri"/>
        <family val="2"/>
        <scheme val="minor"/>
      </rPr>
      <t>02</t>
    </r>
    <r>
      <rPr>
        <sz val="11"/>
        <color theme="1"/>
        <rFont val="Calibri"/>
        <family val="2"/>
        <scheme val="minor"/>
      </rPr>
      <t xml:space="preserve"> [K]</t>
    </r>
  </si>
  <si>
    <t>Area 2 [m2]</t>
  </si>
  <si>
    <t>Area 3 [m2]</t>
  </si>
  <si>
    <r>
      <t>W</t>
    </r>
    <r>
      <rPr>
        <vertAlign val="subscript"/>
        <sz val="11"/>
        <color rgb="FF000000"/>
        <rFont val="Calibri"/>
        <family val="2"/>
        <scheme val="minor"/>
      </rPr>
      <t>3</t>
    </r>
    <r>
      <rPr>
        <sz val="11"/>
        <color rgb="FF000000"/>
        <rFont val="Calibri"/>
        <family val="2"/>
        <scheme val="minor"/>
      </rPr>
      <t xml:space="preserve"> (m/s)</t>
    </r>
  </si>
  <si>
    <r>
      <t>P</t>
    </r>
    <r>
      <rPr>
        <vertAlign val="subscript"/>
        <sz val="11"/>
        <color theme="1"/>
        <rFont val="Calibri"/>
        <family val="2"/>
        <scheme val="minor"/>
      </rPr>
      <t>03,r,is</t>
    </r>
    <r>
      <rPr>
        <sz val="11"/>
        <color theme="1"/>
        <rFont val="Calibri"/>
        <family val="2"/>
        <scheme val="minor"/>
      </rPr>
      <t xml:space="preserve"> (Bar)</t>
    </r>
  </si>
  <si>
    <r>
      <t>P</t>
    </r>
    <r>
      <rPr>
        <vertAlign val="subscript"/>
        <sz val="11"/>
        <color theme="1"/>
        <rFont val="Calibri"/>
        <family val="2"/>
        <scheme val="minor"/>
      </rPr>
      <t>03,r</t>
    </r>
    <r>
      <rPr>
        <sz val="11"/>
        <color theme="1"/>
        <rFont val="Calibri"/>
        <family val="2"/>
        <scheme val="minor"/>
      </rPr>
      <t xml:space="preserve"> (Bar)</t>
    </r>
  </si>
  <si>
    <t>M3</t>
  </si>
  <si>
    <r>
      <t>P</t>
    </r>
    <r>
      <rPr>
        <sz val="8"/>
        <color theme="1"/>
        <rFont val="Calibri"/>
        <family val="2"/>
        <scheme val="minor"/>
      </rPr>
      <t>03</t>
    </r>
    <r>
      <rPr>
        <sz val="11"/>
        <color theme="1"/>
        <rFont val="Calibri"/>
        <family val="2"/>
        <scheme val="minor"/>
      </rPr>
      <t xml:space="preserve"> (Bar)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</si>
</sst>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"/>
    <numFmt numFmtId="167" formatCode="0.000E+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vertAlign val="subscript"/>
      <sz val="12"/>
      <color theme="1"/>
      <name val="Times New Roman"/>
      <family val="1"/>
    </font>
    <font>
      <sz val="11"/>
      <color rgb="FF000000"/>
      <name val="Calibri"/>
      <family val="2"/>
    </font>
    <font>
      <vertAlign val="subscript"/>
      <sz val="11"/>
      <color rgb="FF000000"/>
      <name val="Calibri"/>
      <family val="2"/>
    </font>
    <font>
      <sz val="12"/>
      <color rgb="FF000000"/>
      <name val="Times New Roman"/>
      <family val="1"/>
    </font>
    <font>
      <vertAlign val="subscript"/>
      <sz val="12"/>
      <color rgb="FF000000"/>
      <name val="Times New Roman"/>
      <family val="1"/>
    </font>
    <font>
      <vertAlign val="superscript"/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0"/>
      <name val="Arial"/>
      <family val="2"/>
    </font>
    <font>
      <vertAlign val="subscript"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vertAlign val="subscript"/>
      <sz val="11"/>
      <color rgb="FF0000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perscript"/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rgb="FFC6EFCE"/>
      </patternFill>
    </fill>
  </fills>
  <borders count="6">
    <border>
      <left/>
      <right/>
      <top/>
      <bottom/>
      <diagonal/>
    </border>
    <border>
      <left style="thin">
        <color indexed="14"/>
      </left>
      <right style="thin">
        <color indexed="64"/>
      </right>
      <top style="thin">
        <color indexed="14"/>
      </top>
      <bottom style="thin">
        <color indexed="1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14" fillId="4" borderId="2" applyNumberFormat="0" applyAlignment="0" applyProtection="0"/>
    <xf numFmtId="0" fontId="15" fillId="5" borderId="2" applyNumberFormat="0" applyAlignment="0" applyProtection="0"/>
    <xf numFmtId="0" fontId="19" fillId="6" borderId="0" applyNumberFormat="0" applyBorder="0" applyAlignment="0" applyProtection="0"/>
    <xf numFmtId="0" fontId="20" fillId="8" borderId="3" applyNumberFormat="0" applyAlignment="0" applyProtection="0"/>
    <xf numFmtId="0" fontId="21" fillId="9" borderId="0" applyNumberFormat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9" fontId="0" fillId="0" borderId="0" xfId="1" applyFont="1"/>
    <xf numFmtId="164" fontId="0" fillId="0" borderId="0" xfId="0" applyNumberFormat="1"/>
    <xf numFmtId="2" fontId="0" fillId="0" borderId="0" xfId="0" applyNumberFormat="1"/>
    <xf numFmtId="0" fontId="6" fillId="0" borderId="0" xfId="0" applyFont="1" applyAlignment="1">
      <alignment vertical="center"/>
    </xf>
    <xf numFmtId="0" fontId="9" fillId="0" borderId="0" xfId="0" applyFont="1"/>
    <xf numFmtId="0" fontId="10" fillId="2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65" fontId="0" fillId="0" borderId="0" xfId="0" applyNumberFormat="1"/>
    <xf numFmtId="1" fontId="0" fillId="0" borderId="0" xfId="0" applyNumberFormat="1"/>
    <xf numFmtId="0" fontId="0" fillId="3" borderId="0" xfId="0" applyFill="1"/>
    <xf numFmtId="2" fontId="0" fillId="0" borderId="0" xfId="0" applyNumberFormat="1" applyAlignment="1">
      <alignment horizontal="left" indent="3"/>
    </xf>
    <xf numFmtId="0" fontId="9" fillId="0" borderId="0" xfId="0" applyFont="1" applyAlignment="1">
      <alignment vertical="center"/>
    </xf>
    <xf numFmtId="0" fontId="14" fillId="4" borderId="2" xfId="2"/>
    <xf numFmtId="0" fontId="14" fillId="4" borderId="2" xfId="2" applyAlignment="1">
      <alignment horizontal="right"/>
    </xf>
    <xf numFmtId="2" fontId="15" fillId="5" borderId="2" xfId="3" applyNumberFormat="1"/>
    <xf numFmtId="2" fontId="15" fillId="5" borderId="2" xfId="3" applyNumberFormat="1" applyAlignment="1">
      <alignment horizontal="right"/>
    </xf>
    <xf numFmtId="0" fontId="0" fillId="0" borderId="0" xfId="0" applyAlignment="1">
      <alignment horizontal="right"/>
    </xf>
    <xf numFmtId="0" fontId="15" fillId="5" borderId="2" xfId="3" applyAlignment="1">
      <alignment horizontal="right"/>
    </xf>
    <xf numFmtId="164" fontId="15" fillId="5" borderId="2" xfId="3" applyNumberFormat="1"/>
    <xf numFmtId="0" fontId="15" fillId="5" borderId="2" xfId="3"/>
    <xf numFmtId="166" fontId="15" fillId="5" borderId="2" xfId="3" applyNumberFormat="1"/>
    <xf numFmtId="166" fontId="0" fillId="0" borderId="0" xfId="0" applyNumberFormat="1"/>
    <xf numFmtId="11" fontId="19" fillId="6" borderId="0" xfId="4" applyNumberFormat="1"/>
    <xf numFmtId="166" fontId="15" fillId="5" borderId="2" xfId="3" applyNumberFormat="1" applyAlignment="1">
      <alignment horizontal="right"/>
    </xf>
    <xf numFmtId="2" fontId="14" fillId="3" borderId="2" xfId="2" applyNumberFormat="1" applyFill="1" applyAlignment="1">
      <alignment horizontal="right"/>
    </xf>
    <xf numFmtId="167" fontId="15" fillId="5" borderId="2" xfId="3" applyNumberFormat="1" applyAlignment="1">
      <alignment horizontal="right"/>
    </xf>
    <xf numFmtId="2" fontId="15" fillId="7" borderId="2" xfId="3" applyNumberFormat="1" applyFill="1"/>
    <xf numFmtId="2" fontId="20" fillId="8" borderId="3" xfId="5" applyNumberFormat="1" applyAlignment="1">
      <alignment horizontal="right"/>
    </xf>
    <xf numFmtId="164" fontId="14" fillId="3" borderId="2" xfId="2" applyNumberFormat="1" applyFill="1" applyAlignment="1">
      <alignment horizontal="right"/>
    </xf>
    <xf numFmtId="2" fontId="20" fillId="8" borderId="3" xfId="5" applyNumberFormat="1"/>
    <xf numFmtId="11" fontId="0" fillId="0" borderId="0" xfId="0" applyNumberFormat="1"/>
    <xf numFmtId="0" fontId="21" fillId="9" borderId="0" xfId="6" applyNumberFormat="1"/>
    <xf numFmtId="0" fontId="14" fillId="4" borderId="4" xfId="2" applyBorder="1"/>
    <xf numFmtId="0" fontId="14" fillId="0" borderId="5" xfId="2" applyFill="1" applyBorder="1"/>
    <xf numFmtId="164" fontId="15" fillId="5" borderId="2" xfId="3" applyNumberFormat="1" applyAlignment="1">
      <alignment horizontal="right"/>
    </xf>
    <xf numFmtId="11" fontId="15" fillId="5" borderId="2" xfId="3" applyNumberFormat="1" applyAlignment="1">
      <alignment horizontal="right"/>
    </xf>
    <xf numFmtId="2" fontId="0" fillId="0" borderId="0" xfId="0" applyNumberFormat="1" applyAlignment="1">
      <alignment horizontal="right"/>
    </xf>
    <xf numFmtId="2" fontId="14" fillId="4" borderId="2" xfId="2" applyNumberFormat="1"/>
    <xf numFmtId="164" fontId="14" fillId="4" borderId="2" xfId="2" applyNumberFormat="1"/>
    <xf numFmtId="164" fontId="14" fillId="4" borderId="4" xfId="2" applyNumberFormat="1" applyBorder="1"/>
  </cellXfs>
  <cellStyles count="7">
    <cellStyle name="Bad" xfId="4" builtinId="27"/>
    <cellStyle name="Calculation" xfId="3" builtinId="22"/>
    <cellStyle name="Check Cell" xfId="5" builtinId="23"/>
    <cellStyle name="Good" xfId="6" builtinId="26"/>
    <cellStyle name="Input" xfId="2" builtinId="20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Velocity Triangles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'Design Type 3'!$P$4</c:f>
              <c:strCache>
                <c:ptCount val="1"/>
                <c:pt idx="0">
                  <c:v>W2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'Design Type 3'!$Q$4:$Q$5</c:f>
              <c:numCache>
                <c:formatCode>0.00</c:formatCode>
                <c:ptCount val="2"/>
                <c:pt idx="0">
                  <c:v>0</c:v>
                </c:pt>
                <c:pt idx="1">
                  <c:v>100.70881877026079</c:v>
                </c:pt>
              </c:numCache>
            </c:numRef>
          </c:xVal>
          <c:yVal>
            <c:numRef>
              <c:f>'Design Type 3'!$R$4:$R$5</c:f>
              <c:numCache>
                <c:formatCode>0.00</c:formatCode>
                <c:ptCount val="2"/>
                <c:pt idx="0">
                  <c:v>124.19657860345075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34-4B26-8D5E-5C428F3DF9FB}"/>
            </c:ext>
          </c:extLst>
        </c:ser>
        <c:ser>
          <c:idx val="1"/>
          <c:order val="1"/>
          <c:tx>
            <c:strRef>
              <c:f>'Design Type 3'!$P$6</c:f>
              <c:strCache>
                <c:ptCount val="1"/>
                <c:pt idx="0">
                  <c:v>V2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'Design Type 3'!$Q$6:$Q$7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406.22870433186819</c:v>
                </c:pt>
              </c:numCache>
            </c:numRef>
          </c:xVal>
          <c:yVal>
            <c:numRef>
              <c:f>'Design Type 3'!$R$6:$R$7</c:f>
              <c:numCache>
                <c:formatCode>General</c:formatCode>
                <c:ptCount val="2"/>
                <c:pt idx="0" formatCode="0.00">
                  <c:v>124.19657860345075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34-4B26-8D5E-5C428F3DF9FB}"/>
            </c:ext>
          </c:extLst>
        </c:ser>
        <c:ser>
          <c:idx val="2"/>
          <c:order val="2"/>
          <c:tx>
            <c:strRef>
              <c:f>'Design Type 3'!$P$8</c:f>
              <c:strCache>
                <c:ptCount val="1"/>
                <c:pt idx="0">
                  <c:v>V3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'Design Type 3'!$Q$8:$Q$9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-116.42161514664122</c:v>
                </c:pt>
              </c:numCache>
            </c:numRef>
          </c:xVal>
          <c:yVal>
            <c:numRef>
              <c:f>'Design Type 3'!$R$8:$R$9</c:f>
              <c:numCache>
                <c:formatCode>General</c:formatCode>
                <c:ptCount val="2"/>
                <c:pt idx="0" formatCode="0.00">
                  <c:v>173.9117368168983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634-4B26-8D5E-5C428F3DF9FB}"/>
            </c:ext>
          </c:extLst>
        </c:ser>
        <c:ser>
          <c:idx val="3"/>
          <c:order val="3"/>
          <c:tx>
            <c:strRef>
              <c:f>'Design Type 3'!$P$10</c:f>
              <c:strCache>
                <c:ptCount val="1"/>
                <c:pt idx="0">
                  <c:v>W3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'Design Type 3'!$Q$10:$Q$11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-421.94150070824861</c:v>
                </c:pt>
              </c:numCache>
            </c:numRef>
          </c:xVal>
          <c:yVal>
            <c:numRef>
              <c:f>'Design Type 3'!$R$10:$R$11</c:f>
              <c:numCache>
                <c:formatCode>General</c:formatCode>
                <c:ptCount val="2"/>
                <c:pt idx="0">
                  <c:v>173.9117368168983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634-4B26-8D5E-5C428F3DF9FB}"/>
            </c:ext>
          </c:extLst>
        </c:ser>
        <c:ser>
          <c:idx val="4"/>
          <c:order val="4"/>
          <c:tx>
            <c:strRef>
              <c:f>'Design Type 3'!$P$12</c:f>
              <c:strCache>
                <c:ptCount val="1"/>
                <c:pt idx="0">
                  <c:v>U1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'Design Type 3'!$Q$12:$Q$13</c:f>
              <c:numCache>
                <c:formatCode>0.00</c:formatCode>
                <c:ptCount val="2"/>
                <c:pt idx="0">
                  <c:v>100.70881877026079</c:v>
                </c:pt>
                <c:pt idx="1">
                  <c:v>406.22870433186819</c:v>
                </c:pt>
              </c:numCache>
            </c:numRef>
          </c:xVal>
          <c:yVal>
            <c:numRef>
              <c:f>'Design Type 3'!$R$12:$R$13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634-4B26-8D5E-5C428F3DF9FB}"/>
            </c:ext>
          </c:extLst>
        </c:ser>
        <c:ser>
          <c:idx val="5"/>
          <c:order val="5"/>
          <c:tx>
            <c:strRef>
              <c:f>'Design Type 3'!$P$14</c:f>
              <c:strCache>
                <c:ptCount val="1"/>
                <c:pt idx="0">
                  <c:v>U2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'Design Type 3'!$Q$14:$Q$15</c:f>
              <c:numCache>
                <c:formatCode>0.00</c:formatCode>
                <c:ptCount val="2"/>
                <c:pt idx="0">
                  <c:v>-421.94150070824861</c:v>
                </c:pt>
                <c:pt idx="1">
                  <c:v>-116.42161514664122</c:v>
                </c:pt>
              </c:numCache>
            </c:numRef>
          </c:xVal>
          <c:yVal>
            <c:numRef>
              <c:f>'Design Type 3'!$R$14:$R$15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634-4B26-8D5E-5C428F3DF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5500544"/>
        <c:axId val="905501104"/>
      </c:scatterChart>
      <c:valAx>
        <c:axId val="905500544"/>
        <c:scaling>
          <c:orientation val="minMax"/>
          <c:max val="8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501104"/>
        <c:crosses val="autoZero"/>
        <c:crossBetween val="midCat"/>
      </c:valAx>
      <c:valAx>
        <c:axId val="905501104"/>
        <c:scaling>
          <c:orientation val="minMax"/>
          <c:max val="800"/>
          <c:min val="-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500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Velocity Triangles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'Design Type 2'!$P$4</c:f>
              <c:strCache>
                <c:ptCount val="1"/>
                <c:pt idx="0">
                  <c:v>W2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'Design Type 2'!$Q$4:$Q$5</c:f>
              <c:numCache>
                <c:formatCode>0.00</c:formatCode>
                <c:ptCount val="2"/>
                <c:pt idx="0">
                  <c:v>0</c:v>
                </c:pt>
                <c:pt idx="1">
                  <c:v>-423.26563064440154</c:v>
                </c:pt>
              </c:numCache>
            </c:numRef>
          </c:xVal>
          <c:yVal>
            <c:numRef>
              <c:f>'Design Type 2'!$R$4:$R$5</c:f>
              <c:numCache>
                <c:formatCode>0.00</c:formatCode>
                <c:ptCount val="2"/>
                <c:pt idx="0">
                  <c:v>163.96516219972938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34-4B26-8D5E-5C428F3DF9FB}"/>
            </c:ext>
          </c:extLst>
        </c:ser>
        <c:ser>
          <c:idx val="1"/>
          <c:order val="1"/>
          <c:tx>
            <c:strRef>
              <c:f>'Design Type 2'!$P$6</c:f>
              <c:strCache>
                <c:ptCount val="1"/>
                <c:pt idx="0">
                  <c:v>V2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'Design Type 2'!$Q$6:$Q$7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-504.6328803723772</c:v>
                </c:pt>
              </c:numCache>
            </c:numRef>
          </c:xVal>
          <c:yVal>
            <c:numRef>
              <c:f>'Design Type 2'!$R$6:$R$7</c:f>
              <c:numCache>
                <c:formatCode>General</c:formatCode>
                <c:ptCount val="2"/>
                <c:pt idx="0" formatCode="0.00">
                  <c:v>163.96516219972938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34-4B26-8D5E-5C428F3DF9FB}"/>
            </c:ext>
          </c:extLst>
        </c:ser>
        <c:ser>
          <c:idx val="2"/>
          <c:order val="2"/>
          <c:tx>
            <c:strRef>
              <c:f>'Design Type 2'!$P$8</c:f>
              <c:strCache>
                <c:ptCount val="1"/>
                <c:pt idx="0">
                  <c:v>V3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'Design Type 2'!$Q$8:$Q$9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235.99230321285302</c:v>
                </c:pt>
              </c:numCache>
            </c:numRef>
          </c:xVal>
          <c:yVal>
            <c:numRef>
              <c:f>'Design Type 2'!$R$8:$R$9</c:f>
              <c:numCache>
                <c:formatCode>General</c:formatCode>
                <c:ptCount val="2"/>
                <c:pt idx="0" formatCode="0.00">
                  <c:v>182.92532342624773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634-4B26-8D5E-5C428F3DF9FB}"/>
            </c:ext>
          </c:extLst>
        </c:ser>
        <c:ser>
          <c:idx val="3"/>
          <c:order val="3"/>
          <c:tx>
            <c:strRef>
              <c:f>'Design Type 2'!$P$10</c:f>
              <c:strCache>
                <c:ptCount val="1"/>
                <c:pt idx="0">
                  <c:v>W3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'Design Type 2'!$Q$10:$Q$11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316.83595416523036</c:v>
                </c:pt>
              </c:numCache>
            </c:numRef>
          </c:xVal>
          <c:yVal>
            <c:numRef>
              <c:f>'Design Type 2'!$R$10:$R$11</c:f>
              <c:numCache>
                <c:formatCode>General</c:formatCode>
                <c:ptCount val="2"/>
                <c:pt idx="0">
                  <c:v>182.92532342624773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634-4B26-8D5E-5C428F3DF9FB}"/>
            </c:ext>
          </c:extLst>
        </c:ser>
        <c:ser>
          <c:idx val="4"/>
          <c:order val="4"/>
          <c:tx>
            <c:strRef>
              <c:f>'Design Type 2'!$P$12</c:f>
              <c:strCache>
                <c:ptCount val="1"/>
                <c:pt idx="0">
                  <c:v>U1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'Design Type 2'!$Q$12:$Q$13</c:f>
              <c:numCache>
                <c:formatCode>0.00</c:formatCode>
                <c:ptCount val="2"/>
                <c:pt idx="0">
                  <c:v>-423.26563064440154</c:v>
                </c:pt>
                <c:pt idx="1">
                  <c:v>-504.6328803723772</c:v>
                </c:pt>
              </c:numCache>
            </c:numRef>
          </c:xVal>
          <c:yVal>
            <c:numRef>
              <c:f>'Design Type 2'!$R$12:$R$13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634-4B26-8D5E-5C428F3DF9FB}"/>
            </c:ext>
          </c:extLst>
        </c:ser>
        <c:ser>
          <c:idx val="5"/>
          <c:order val="5"/>
          <c:tx>
            <c:strRef>
              <c:f>'Design Type 2'!$P$14</c:f>
              <c:strCache>
                <c:ptCount val="1"/>
                <c:pt idx="0">
                  <c:v>U2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'Design Type 2'!$Q$14:$Q$15</c:f>
              <c:numCache>
                <c:formatCode>0.00</c:formatCode>
                <c:ptCount val="2"/>
                <c:pt idx="0">
                  <c:v>316.83595416523036</c:v>
                </c:pt>
                <c:pt idx="1">
                  <c:v>235.99230321285302</c:v>
                </c:pt>
              </c:numCache>
            </c:numRef>
          </c:xVal>
          <c:yVal>
            <c:numRef>
              <c:f>'Design Type 2'!$R$14:$R$15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634-4B26-8D5E-5C428F3DF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5732096"/>
        <c:axId val="905732656"/>
      </c:scatterChart>
      <c:valAx>
        <c:axId val="905732096"/>
        <c:scaling>
          <c:orientation val="minMax"/>
          <c:max val="8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732656"/>
        <c:crosses val="autoZero"/>
        <c:crossBetween val="midCat"/>
      </c:valAx>
      <c:valAx>
        <c:axId val="905732656"/>
        <c:scaling>
          <c:orientation val="minMax"/>
          <c:max val="200"/>
          <c:min val="-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732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Velocity Triangles -</a:t>
            </a:r>
            <a:r>
              <a:rPr lang="en-US" baseline="0"/>
              <a:t> Rolls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'Design Type 1'!$J$3</c:f>
              <c:strCache>
                <c:ptCount val="1"/>
                <c:pt idx="0">
                  <c:v>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'Design Type 1'!$K$3:$K$4</c:f>
              <c:numCache>
                <c:formatCode>General</c:formatCode>
                <c:ptCount val="2"/>
                <c:pt idx="0">
                  <c:v>0</c:v>
                </c:pt>
                <c:pt idx="1">
                  <c:v>256.9560991248652</c:v>
                </c:pt>
              </c:numCache>
            </c:numRef>
          </c:xVal>
          <c:yVal>
            <c:numRef>
              <c:f>'Design Type 1'!$L$3:$L$4</c:f>
              <c:numCache>
                <c:formatCode>General</c:formatCode>
                <c:ptCount val="2"/>
                <c:pt idx="0">
                  <c:v>115</c:v>
                </c:pt>
                <c:pt idx="1">
                  <c:v>115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7-4092-9DEF-918D60D54D11}"/>
            </c:ext>
          </c:extLst>
        </c:ser>
        <c:ser>
          <c:idx val="1"/>
          <c:order val="1"/>
          <c:tx>
            <c:strRef>
              <c:f>'Design Type 1'!$J$5</c:f>
              <c:strCache>
                <c:ptCount val="1"/>
                <c:pt idx="0">
                  <c:v>W2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  <a:headEnd type="none"/>
              <a:tailEnd type="triangle"/>
            </a:ln>
            <a:effectLst/>
          </c:spPr>
          <c:marker>
            <c:symbol val="none"/>
          </c:marker>
          <c:xVal>
            <c:numRef>
              <c:f>'Design Type 1'!$K$5:$K$6</c:f>
              <c:numCache>
                <c:formatCode>General</c:formatCode>
                <c:ptCount val="2"/>
                <c:pt idx="0">
                  <c:v>0</c:v>
                </c:pt>
                <c:pt idx="1">
                  <c:v>610.88970590001918</c:v>
                </c:pt>
              </c:numCache>
            </c:numRef>
          </c:xVal>
          <c:yVal>
            <c:numRef>
              <c:f>'Design Type 1'!$L$5:$L$6</c:f>
              <c:numCache>
                <c:formatCode>General</c:formatCode>
                <c:ptCount val="2"/>
                <c:pt idx="0">
                  <c:v>115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7-4092-9DEF-918D60D54D11}"/>
            </c:ext>
          </c:extLst>
        </c:ser>
        <c:ser>
          <c:idx val="2"/>
          <c:order val="2"/>
          <c:tx>
            <c:strRef>
              <c:f>'Design Type 1'!$J$7</c:f>
              <c:strCache>
                <c:ptCount val="1"/>
                <c:pt idx="0">
                  <c:v>V2</c:v>
                </c:pt>
              </c:strCache>
            </c:strRef>
          </c:tx>
          <c:spPr>
            <a:ln w="19050" cap="rnd" cmpd="sng">
              <a:solidFill>
                <a:schemeClr val="accent4">
                  <a:lumMod val="75000"/>
                </a:schemeClr>
              </a:solidFill>
              <a:prstDash val="solid"/>
              <a:round/>
              <a:tailEnd type="triangle"/>
            </a:ln>
            <a:effectLst/>
          </c:spPr>
          <c:marker>
            <c:symbol val="none"/>
          </c:marker>
          <c:xVal>
            <c:numRef>
              <c:f>'Design Type 1'!$K$7:$K$8</c:f>
              <c:numCache>
                <c:formatCode>General</c:formatCode>
                <c:ptCount val="2"/>
                <c:pt idx="0">
                  <c:v>256.9560991248652</c:v>
                </c:pt>
                <c:pt idx="1">
                  <c:v>593.56696218422189</c:v>
                </c:pt>
              </c:numCache>
            </c:numRef>
          </c:xVal>
          <c:yVal>
            <c:numRef>
              <c:f>'Design Type 1'!$L$7:$L$8</c:f>
              <c:numCache>
                <c:formatCode>General</c:formatCode>
                <c:ptCount val="2"/>
                <c:pt idx="0">
                  <c:v>115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7-4092-9DEF-918D60D54D11}"/>
            </c:ext>
          </c:extLst>
        </c:ser>
        <c:ser>
          <c:idx val="3"/>
          <c:order val="3"/>
          <c:tx>
            <c:strRef>
              <c:f>'Design Type 1'!$J$9</c:f>
              <c:strCache>
                <c:ptCount val="1"/>
                <c:pt idx="0">
                  <c:v>V3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'Design Type 1'!$K$9:$K$10</c:f>
              <c:numCache>
                <c:formatCode>General</c:formatCode>
                <c:ptCount val="2"/>
                <c:pt idx="0">
                  <c:v>256.9560991248652</c:v>
                </c:pt>
                <c:pt idx="1">
                  <c:v>-315.95990323728148</c:v>
                </c:pt>
              </c:numCache>
            </c:numRef>
          </c:xVal>
          <c:yVal>
            <c:numRef>
              <c:f>'Design Type 1'!$L$9:$L$10</c:f>
              <c:numCache>
                <c:formatCode>General</c:formatCode>
                <c:ptCount val="2"/>
                <c:pt idx="0">
                  <c:v>115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7-4092-9DEF-918D60D54D11}"/>
            </c:ext>
          </c:extLst>
        </c:ser>
        <c:ser>
          <c:idx val="4"/>
          <c:order val="4"/>
          <c:tx>
            <c:strRef>
              <c:f>'Design Type 1'!$J$11</c:f>
              <c:strCache>
                <c:ptCount val="1"/>
                <c:pt idx="0">
                  <c:v>W3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'Design Type 1'!$K$11:$K$12</c:f>
              <c:numCache>
                <c:formatCode>General</c:formatCode>
                <c:ptCount val="2"/>
                <c:pt idx="0">
                  <c:v>0</c:v>
                </c:pt>
                <c:pt idx="1">
                  <c:v>-315.95990323728148</c:v>
                </c:pt>
              </c:numCache>
            </c:numRef>
          </c:xVal>
          <c:yVal>
            <c:numRef>
              <c:f>'Design Type 1'!$L$11:$L$12</c:f>
              <c:numCache>
                <c:formatCode>General</c:formatCode>
                <c:ptCount val="2"/>
                <c:pt idx="0">
                  <c:v>115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A7-4092-9DEF-918D60D54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3119840"/>
        <c:axId val="903120400"/>
      </c:scatterChart>
      <c:valAx>
        <c:axId val="903119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120400"/>
        <c:crosses val="autoZero"/>
        <c:crossBetween val="midCat"/>
      </c:valAx>
      <c:valAx>
        <c:axId val="90312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119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Velocity Triangles -</a:t>
            </a:r>
            <a:r>
              <a:rPr lang="en-US" baseline="0"/>
              <a:t> Guillermo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'Design Type 1'!$J$15</c:f>
              <c:strCache>
                <c:ptCount val="1"/>
                <c:pt idx="0">
                  <c:v>W2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'Design Type 1'!$K$15:$K$16</c:f>
              <c:numCache>
                <c:formatCode>General</c:formatCode>
                <c:ptCount val="2"/>
                <c:pt idx="0">
                  <c:v>0</c:v>
                </c:pt>
                <c:pt idx="1">
                  <c:v>-96.977507650288828</c:v>
                </c:pt>
              </c:numCache>
            </c:numRef>
          </c:xVal>
          <c:yVal>
            <c:numRef>
              <c:f>'Design Type 1'!$L$15:$L$16</c:f>
              <c:numCache>
                <c:formatCode>General</c:formatCode>
                <c:ptCount val="2"/>
                <c:pt idx="0">
                  <c:v>115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F5-47F9-9323-BCEC4BF484A1}"/>
            </c:ext>
          </c:extLst>
        </c:ser>
        <c:ser>
          <c:idx val="2"/>
          <c:order val="1"/>
          <c:tx>
            <c:strRef>
              <c:f>'Design Type 1'!$J$17</c:f>
              <c:strCache>
                <c:ptCount val="1"/>
                <c:pt idx="0">
                  <c:v>V2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'Design Type 1'!$K$17:$K$18</c:f>
              <c:numCache>
                <c:formatCode>General</c:formatCode>
                <c:ptCount val="2"/>
                <c:pt idx="0">
                  <c:v>0</c:v>
                </c:pt>
                <c:pt idx="1">
                  <c:v>-336.61086305935675</c:v>
                </c:pt>
              </c:numCache>
            </c:numRef>
          </c:xVal>
          <c:yVal>
            <c:numRef>
              <c:f>'Design Type 1'!$L$17:$L$18</c:f>
              <c:numCache>
                <c:formatCode>General</c:formatCode>
                <c:ptCount val="2"/>
                <c:pt idx="0">
                  <c:v>115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F5-47F9-9323-BCEC4BF484A1}"/>
            </c:ext>
          </c:extLst>
        </c:ser>
        <c:ser>
          <c:idx val="3"/>
          <c:order val="2"/>
          <c:tx>
            <c:strRef>
              <c:f>'Design Type 1'!$J$19</c:f>
              <c:strCache>
                <c:ptCount val="1"/>
                <c:pt idx="0">
                  <c:v>V3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'Design Type 1'!$K$19:$K$20</c:f>
              <c:numCache>
                <c:formatCode>General</c:formatCode>
                <c:ptCount val="2"/>
                <c:pt idx="0">
                  <c:v>0</c:v>
                </c:pt>
                <c:pt idx="1">
                  <c:v>59.003804112416283</c:v>
                </c:pt>
              </c:numCache>
            </c:numRef>
          </c:xVal>
          <c:yVal>
            <c:numRef>
              <c:f>'Design Type 1'!$L$19:$L$20</c:f>
              <c:numCache>
                <c:formatCode>General</c:formatCode>
                <c:ptCount val="2"/>
                <c:pt idx="0">
                  <c:v>115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F5-47F9-9323-BCEC4BF484A1}"/>
            </c:ext>
          </c:extLst>
        </c:ser>
        <c:ser>
          <c:idx val="4"/>
          <c:order val="3"/>
          <c:tx>
            <c:strRef>
              <c:f>'Design Type 1'!$J$21</c:f>
              <c:strCache>
                <c:ptCount val="1"/>
                <c:pt idx="0">
                  <c:v>W3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'Design Type 1'!$K$21:$K$22</c:f>
              <c:numCache>
                <c:formatCode>General</c:formatCode>
                <c:ptCount val="2"/>
                <c:pt idx="0">
                  <c:v>0</c:v>
                </c:pt>
                <c:pt idx="1">
                  <c:v>296.90518953630306</c:v>
                </c:pt>
              </c:numCache>
            </c:numRef>
          </c:xVal>
          <c:yVal>
            <c:numRef>
              <c:f>'Design Type 1'!$L$21:$L$22</c:f>
              <c:numCache>
                <c:formatCode>General</c:formatCode>
                <c:ptCount val="2"/>
                <c:pt idx="0">
                  <c:v>115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AF5-47F9-9323-BCEC4BF484A1}"/>
            </c:ext>
          </c:extLst>
        </c:ser>
        <c:ser>
          <c:idx val="0"/>
          <c:order val="4"/>
          <c:tx>
            <c:strRef>
              <c:f>'Design Type 1'!$J$23</c:f>
              <c:strCache>
                <c:ptCount val="1"/>
                <c:pt idx="0">
                  <c:v>U1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accent1"/>
                </a:solidFill>
                <a:round/>
                <a:headEnd type="none" w="lg" len="lg"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05-DAF5-47F9-9323-BCEC4BF484A1}"/>
              </c:ext>
            </c:extLst>
          </c:dPt>
          <c:xVal>
            <c:numRef>
              <c:f>'Design Type 1'!$K$23:$K$24</c:f>
              <c:numCache>
                <c:formatCode>General</c:formatCode>
                <c:ptCount val="2"/>
                <c:pt idx="0">
                  <c:v>-96.977507650288828</c:v>
                </c:pt>
                <c:pt idx="1">
                  <c:v>-336.61086305935675</c:v>
                </c:pt>
              </c:numCache>
            </c:numRef>
          </c:xVal>
          <c:yVal>
            <c:numRef>
              <c:f>'Design Type 1'!$L$23:$L$24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AF5-47F9-9323-BCEC4BF484A1}"/>
            </c:ext>
          </c:extLst>
        </c:ser>
        <c:ser>
          <c:idx val="5"/>
          <c:order val="5"/>
          <c:tx>
            <c:strRef>
              <c:f>'Design Type 1'!$J$25</c:f>
              <c:strCache>
                <c:ptCount val="1"/>
                <c:pt idx="0">
                  <c:v>U2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'Design Type 1'!$K$25:$K$26</c:f>
              <c:numCache>
                <c:formatCode>General</c:formatCode>
                <c:ptCount val="2"/>
                <c:pt idx="0">
                  <c:v>296.90518953630306</c:v>
                </c:pt>
                <c:pt idx="1">
                  <c:v>59.003804112416283</c:v>
                </c:pt>
              </c:numCache>
            </c:numRef>
          </c:xVal>
          <c:yVal>
            <c:numRef>
              <c:f>'Design Type 1'!$L$25:$L$26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AF5-47F9-9323-BCEC4BF48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3206576"/>
        <c:axId val="903207136"/>
      </c:scatterChart>
      <c:valAx>
        <c:axId val="903206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207136"/>
        <c:crosses val="autoZero"/>
        <c:crossBetween val="midCat"/>
      </c:valAx>
      <c:valAx>
        <c:axId val="903207136"/>
        <c:scaling>
          <c:orientation val="minMax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206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Velocity Triangles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'Design Type 3 Inlet Mach'!$O$4</c:f>
              <c:strCache>
                <c:ptCount val="1"/>
                <c:pt idx="0">
                  <c:v>W2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'Design Type 3 Inlet Mach'!$P$4:$P$5</c:f>
              <c:numCache>
                <c:formatCode>0.00</c:formatCode>
                <c:ptCount val="2"/>
                <c:pt idx="0">
                  <c:v>0</c:v>
                </c:pt>
                <c:pt idx="1">
                  <c:v>-86.673339737858328</c:v>
                </c:pt>
              </c:numCache>
            </c:numRef>
          </c:xVal>
          <c:yVal>
            <c:numRef>
              <c:f>'Design Type 3 Inlet Mach'!$Q$4:$Q$5</c:f>
              <c:numCache>
                <c:formatCode>0.00</c:formatCode>
                <c:ptCount val="2"/>
                <c:pt idx="0">
                  <c:v>203.28253929545457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2C-40C8-9D20-46E6C9374B45}"/>
            </c:ext>
          </c:extLst>
        </c:ser>
        <c:ser>
          <c:idx val="1"/>
          <c:order val="1"/>
          <c:tx>
            <c:strRef>
              <c:f>'Design Type 3 Inlet Mach'!$O$6</c:f>
              <c:strCache>
                <c:ptCount val="1"/>
                <c:pt idx="0">
                  <c:v>V2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'Design Type 3 Inlet Mach'!$P$6:$P$7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-590.37536186342186</c:v>
                </c:pt>
              </c:numCache>
            </c:numRef>
          </c:xVal>
          <c:yVal>
            <c:numRef>
              <c:f>'Design Type 3 Inlet Mach'!$Q$6:$Q$7</c:f>
              <c:numCache>
                <c:formatCode>General</c:formatCode>
                <c:ptCount val="2"/>
                <c:pt idx="0" formatCode="0.00">
                  <c:v>203.28253929545457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2C-40C8-9D20-46E6C9374B45}"/>
            </c:ext>
          </c:extLst>
        </c:ser>
        <c:ser>
          <c:idx val="2"/>
          <c:order val="2"/>
          <c:tx>
            <c:strRef>
              <c:f>'Design Type 3 Inlet Mach'!$O$8</c:f>
              <c:strCache>
                <c:ptCount val="1"/>
                <c:pt idx="0">
                  <c:v>V3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'Design Type 3 Inlet Mach'!$P$8:$P$9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277.38676673894884</c:v>
                </c:pt>
              </c:numCache>
            </c:numRef>
          </c:xVal>
          <c:yVal>
            <c:numRef>
              <c:f>'Design Type 3 Inlet Mach'!$Q$8:$Q$9</c:f>
              <c:numCache>
                <c:formatCode>General</c:formatCode>
                <c:ptCount val="2"/>
                <c:pt idx="0" formatCode="0.00">
                  <c:v>431.07805464169587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2C-40C8-9D20-46E6C9374B45}"/>
            </c:ext>
          </c:extLst>
        </c:ser>
        <c:ser>
          <c:idx val="3"/>
          <c:order val="3"/>
          <c:tx>
            <c:strRef>
              <c:f>'Design Type 3 Inlet Mach'!$O$10</c:f>
              <c:strCache>
                <c:ptCount val="1"/>
                <c:pt idx="0">
                  <c:v>W3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'Design Type 3 Inlet Mach'!$P$10:$P$11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777.68539682312348</c:v>
                </c:pt>
              </c:numCache>
            </c:numRef>
          </c:xVal>
          <c:yVal>
            <c:numRef>
              <c:f>'Design Type 3 Inlet Mach'!$Q$10:$Q$11</c:f>
              <c:numCache>
                <c:formatCode>General</c:formatCode>
                <c:ptCount val="2"/>
                <c:pt idx="0">
                  <c:v>431.07805464169587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C2C-40C8-9D20-46E6C9374B45}"/>
            </c:ext>
          </c:extLst>
        </c:ser>
        <c:ser>
          <c:idx val="4"/>
          <c:order val="4"/>
          <c:tx>
            <c:strRef>
              <c:f>'Design Type 3 Inlet Mach'!$O$12</c:f>
              <c:strCache>
                <c:ptCount val="1"/>
                <c:pt idx="0">
                  <c:v>U1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'Design Type 3 Inlet Mach'!$P$12:$P$13</c:f>
              <c:numCache>
                <c:formatCode>0.00</c:formatCode>
                <c:ptCount val="2"/>
                <c:pt idx="0">
                  <c:v>-86.673339737858328</c:v>
                </c:pt>
                <c:pt idx="1">
                  <c:v>-590.37536186342186</c:v>
                </c:pt>
              </c:numCache>
            </c:numRef>
          </c:xVal>
          <c:yVal>
            <c:numRef>
              <c:f>'Design Type 3 Inlet Mach'!$Q$12:$Q$13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C2C-40C8-9D20-46E6C9374B45}"/>
            </c:ext>
          </c:extLst>
        </c:ser>
        <c:ser>
          <c:idx val="5"/>
          <c:order val="5"/>
          <c:tx>
            <c:strRef>
              <c:f>'Design Type 3 Inlet Mach'!$O$14</c:f>
              <c:strCache>
                <c:ptCount val="1"/>
                <c:pt idx="0">
                  <c:v>U2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'Design Type 3 Inlet Mach'!$P$14:$P$15</c:f>
              <c:numCache>
                <c:formatCode>0.00</c:formatCode>
                <c:ptCount val="2"/>
                <c:pt idx="0">
                  <c:v>777.68539682312348</c:v>
                </c:pt>
                <c:pt idx="1">
                  <c:v>277.38676673894884</c:v>
                </c:pt>
              </c:numCache>
            </c:numRef>
          </c:xVal>
          <c:yVal>
            <c:numRef>
              <c:f>'Design Type 3 Inlet Mach'!$Q$14:$Q$15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C2C-40C8-9D20-46E6C9374B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3268576"/>
        <c:axId val="903269136"/>
      </c:scatterChart>
      <c:valAx>
        <c:axId val="903268576"/>
        <c:scaling>
          <c:orientation val="minMax"/>
          <c:max val="800"/>
          <c:min val="-8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269136"/>
        <c:crosses val="autoZero"/>
        <c:crossBetween val="midCat"/>
      </c:valAx>
      <c:valAx>
        <c:axId val="903269136"/>
        <c:scaling>
          <c:orientation val="minMax"/>
          <c:max val="800"/>
          <c:min val="-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268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590549</xdr:colOff>
      <xdr:row>18</xdr:row>
      <xdr:rowOff>123825</xdr:rowOff>
    </xdr:from>
    <xdr:to>
      <xdr:col>21</xdr:col>
      <xdr:colOff>161925</xdr:colOff>
      <xdr:row>36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590549</xdr:colOff>
      <xdr:row>18</xdr:row>
      <xdr:rowOff>123825</xdr:rowOff>
    </xdr:from>
    <xdr:to>
      <xdr:col>21</xdr:col>
      <xdr:colOff>161925</xdr:colOff>
      <xdr:row>36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409575</xdr:colOff>
      <xdr:row>0</xdr:row>
      <xdr:rowOff>147637</xdr:rowOff>
    </xdr:from>
    <xdr:to>
      <xdr:col>20</xdr:col>
      <xdr:colOff>104775</xdr:colOff>
      <xdr:row>13</xdr:row>
      <xdr:rowOff>185737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371475</xdr:colOff>
      <xdr:row>14</xdr:row>
      <xdr:rowOff>133350</xdr:rowOff>
    </xdr:from>
    <xdr:to>
      <xdr:col>20</xdr:col>
      <xdr:colOff>66675</xdr:colOff>
      <xdr:row>29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314324</xdr:colOff>
      <xdr:row>16</xdr:row>
      <xdr:rowOff>28575</xdr:rowOff>
    </xdr:from>
    <xdr:to>
      <xdr:col>19</xdr:col>
      <xdr:colOff>495300</xdr:colOff>
      <xdr:row>34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4</xdr:row>
      <xdr:rowOff>0</xdr:rowOff>
    </xdr:from>
    <xdr:to>
      <xdr:col>3</xdr:col>
      <xdr:colOff>114300</xdr:colOff>
      <xdr:row>8</xdr:row>
      <xdr:rowOff>2765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762000"/>
          <a:ext cx="1628775" cy="7647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123825</xdr:colOff>
      <xdr:row>8</xdr:row>
      <xdr:rowOff>19050</xdr:rowOff>
    </xdr:from>
    <xdr:to>
      <xdr:col>3</xdr:col>
      <xdr:colOff>581025</xdr:colOff>
      <xdr:row>11</xdr:row>
      <xdr:rowOff>86287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543050"/>
          <a:ext cx="2105025" cy="6768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123825</xdr:colOff>
      <xdr:row>11</xdr:row>
      <xdr:rowOff>127418</xdr:rowOff>
    </xdr:from>
    <xdr:to>
      <xdr:col>3</xdr:col>
      <xdr:colOff>161925</xdr:colOff>
      <xdr:row>16</xdr:row>
      <xdr:rowOff>76199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2261018"/>
          <a:ext cx="1685925" cy="9012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219075</xdr:colOff>
      <xdr:row>16</xdr:row>
      <xdr:rowOff>171450</xdr:rowOff>
    </xdr:from>
    <xdr:to>
      <xdr:col>3</xdr:col>
      <xdr:colOff>9525</xdr:colOff>
      <xdr:row>19</xdr:row>
      <xdr:rowOff>19050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3257550"/>
          <a:ext cx="1438275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190500</xdr:colOff>
      <xdr:row>19</xdr:row>
      <xdr:rowOff>57150</xdr:rowOff>
    </xdr:from>
    <xdr:to>
      <xdr:col>2</xdr:col>
      <xdr:colOff>723900</xdr:colOff>
      <xdr:row>21</xdr:row>
      <xdr:rowOff>133350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3752850"/>
          <a:ext cx="1438275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T40"/>
  <sheetViews>
    <sheetView tabSelected="1" zoomScaleNormal="100" workbookViewId="0">
      <selection activeCell="J39" sqref="J39"/>
    </sheetView>
  </sheetViews>
  <sheetFormatPr defaultColWidth="8.85546875" defaultRowHeight="15" x14ac:dyDescent="0.25"/>
  <cols>
    <col min="1" max="1" width="18.28515625" bestFit="1" customWidth="1"/>
    <col min="2" max="2" width="11" customWidth="1"/>
    <col min="3" max="3" width="12.85546875" customWidth="1"/>
    <col min="6" max="6" width="15" bestFit="1" customWidth="1"/>
    <col min="7" max="7" width="12.28515625" customWidth="1"/>
    <col min="9" max="9" width="16" customWidth="1"/>
    <col min="10" max="10" width="10.42578125" bestFit="1" customWidth="1"/>
    <col min="12" max="12" width="18.42578125" customWidth="1"/>
    <col min="13" max="13" width="10.28515625" customWidth="1"/>
    <col min="14" max="14" width="10" customWidth="1"/>
    <col min="15" max="15" width="13.28515625" bestFit="1" customWidth="1"/>
  </cols>
  <sheetData>
    <row r="1" spans="1:20" x14ac:dyDescent="0.25">
      <c r="A1" t="s">
        <v>184</v>
      </c>
    </row>
    <row r="2" spans="1:20" x14ac:dyDescent="0.25">
      <c r="A2" t="s">
        <v>195</v>
      </c>
      <c r="B2">
        <v>0.38900000000000001</v>
      </c>
      <c r="F2" t="s">
        <v>91</v>
      </c>
      <c r="I2" s="9" t="s">
        <v>94</v>
      </c>
      <c r="L2" t="s">
        <v>18</v>
      </c>
      <c r="P2" t="s">
        <v>143</v>
      </c>
    </row>
    <row r="3" spans="1:20" ht="18" x14ac:dyDescent="0.25">
      <c r="A3" t="s">
        <v>200</v>
      </c>
      <c r="B3">
        <v>0.04</v>
      </c>
      <c r="F3" s="14" t="s">
        <v>95</v>
      </c>
      <c r="G3" s="16">
        <v>5</v>
      </c>
      <c r="I3" s="9" t="s">
        <v>108</v>
      </c>
      <c r="J3" s="24">
        <f>(C7+C8)/2*C13</f>
        <v>305.5198855616074</v>
      </c>
      <c r="L3" s="9" t="s">
        <v>133</v>
      </c>
      <c r="M3" s="5">
        <f>(G27-J38)/(G27-J37)</f>
        <v>0.86656603467600812</v>
      </c>
      <c r="Q3" t="s">
        <v>3</v>
      </c>
      <c r="R3" t="s">
        <v>4</v>
      </c>
    </row>
    <row r="4" spans="1:20" ht="18" x14ac:dyDescent="0.25">
      <c r="A4" t="s">
        <v>198</v>
      </c>
      <c r="B4">
        <v>1.159</v>
      </c>
      <c r="F4" s="9" t="s">
        <v>99</v>
      </c>
      <c r="G4" s="16">
        <v>676</v>
      </c>
      <c r="I4" s="14" t="s">
        <v>122</v>
      </c>
      <c r="J4" s="24">
        <f>G18*SIN(RADIANS(B10))</f>
        <v>406.22870433186819</v>
      </c>
      <c r="L4" s="14" t="s">
        <v>140</v>
      </c>
      <c r="M4" s="5">
        <f>(G19-J24)/(G7-J24)</f>
        <v>0.51392603128316616</v>
      </c>
      <c r="N4" s="10">
        <f>2*G25/G14*(TAN(RADIANS(C10))-TAN(RADIANS(C9)))</f>
        <v>-2.631791405844313</v>
      </c>
      <c r="O4" s="5">
        <f>1-(1-(G15/G3)^((B23-1)/B23))/(1-(J25/G3)^((B23-1)/B23))</f>
        <v>0.51993611202177181</v>
      </c>
      <c r="P4" t="s">
        <v>70</v>
      </c>
      <c r="Q4" s="5">
        <v>0</v>
      </c>
      <c r="R4" s="5">
        <f>G25</f>
        <v>124.19657860345075</v>
      </c>
    </row>
    <row r="5" spans="1:20" ht="18" x14ac:dyDescent="0.25">
      <c r="A5" t="s">
        <v>199</v>
      </c>
      <c r="B5">
        <v>1.3169999999999999</v>
      </c>
      <c r="F5" s="9" t="s">
        <v>175</v>
      </c>
      <c r="G5" s="31">
        <v>0.182</v>
      </c>
      <c r="I5" s="14" t="s">
        <v>148</v>
      </c>
      <c r="J5" s="5">
        <f>SQRT(J6^2+G25^2)</f>
        <v>159.89701784243618</v>
      </c>
      <c r="L5" s="14" t="s">
        <v>142</v>
      </c>
      <c r="M5" s="4">
        <f>(G15-J25)/(G8-J25)</f>
        <v>0.40630258932429197</v>
      </c>
      <c r="Q5" s="5">
        <f>J6</f>
        <v>100.70881877026079</v>
      </c>
      <c r="R5" s="5">
        <v>0</v>
      </c>
      <c r="S5" t="s">
        <v>76</v>
      </c>
      <c r="T5" s="5">
        <f>Q7-Q5</f>
        <v>305.5198855616074</v>
      </c>
    </row>
    <row r="6" spans="1:20" ht="18" x14ac:dyDescent="0.25">
      <c r="A6" t="s">
        <v>77</v>
      </c>
      <c r="B6" t="s">
        <v>79</v>
      </c>
      <c r="C6" t="s">
        <v>180</v>
      </c>
      <c r="D6" t="s">
        <v>179</v>
      </c>
      <c r="F6" s="14" t="s">
        <v>151</v>
      </c>
      <c r="G6" s="18">
        <f>G5*G9</f>
        <v>92.064092132033039</v>
      </c>
      <c r="H6" s="5"/>
      <c r="I6" s="14" t="s">
        <v>123</v>
      </c>
      <c r="J6" s="5">
        <f>J4-J3</f>
        <v>100.70881877026079</v>
      </c>
      <c r="L6" s="14" t="s">
        <v>173</v>
      </c>
      <c r="M6" s="4">
        <f>B24*(G4-J38)/AVERAGE(G14,J17)^2</f>
        <v>1.7106916576568241</v>
      </c>
      <c r="P6" t="s">
        <v>14</v>
      </c>
      <c r="Q6">
        <v>0</v>
      </c>
      <c r="R6" s="5">
        <f>R4</f>
        <v>124.19657860345075</v>
      </c>
    </row>
    <row r="7" spans="1:20" ht="18" x14ac:dyDescent="0.25">
      <c r="A7" s="14" t="s">
        <v>196</v>
      </c>
      <c r="B7" s="41">
        <f>B2-B3/2</f>
        <v>0.36899999999999999</v>
      </c>
      <c r="C7" s="41">
        <f>B2-B3/2*B4</f>
        <v>0.36582000000000003</v>
      </c>
      <c r="D7" s="42">
        <f>B2-B3/2*B4*B5</f>
        <v>0.35847193999999999</v>
      </c>
      <c r="E7" s="36"/>
      <c r="F7" s="14" t="s">
        <v>141</v>
      </c>
      <c r="G7" s="26">
        <f>(1+(B23-1)/2*G5^2)^(-1)*G4</f>
        <v>672.32543224309268</v>
      </c>
      <c r="I7" s="9" t="s">
        <v>170</v>
      </c>
      <c r="J7" s="5">
        <f>(J8/G19)^(B23/(B23-1))*G15</f>
        <v>2.9747445766334359</v>
      </c>
      <c r="L7" s="14" t="s">
        <v>144</v>
      </c>
      <c r="M7" s="24">
        <f>B24*(G4-J38)</f>
        <v>159680.06579581174</v>
      </c>
      <c r="Q7" s="5">
        <f>J4</f>
        <v>406.22870433186819</v>
      </c>
      <c r="R7">
        <f t="shared" ref="R7:R11" si="0">R5</f>
        <v>0</v>
      </c>
    </row>
    <row r="8" spans="1:20" ht="18" x14ac:dyDescent="0.35">
      <c r="A8" s="14" t="s">
        <v>197</v>
      </c>
      <c r="B8" s="41">
        <f>B2+B3/2</f>
        <v>0.40900000000000003</v>
      </c>
      <c r="C8" s="41">
        <f>B2+B3/2*B4</f>
        <v>0.41217999999999999</v>
      </c>
      <c r="D8" s="42">
        <f>B2+B3/2*B4*B5</f>
        <v>0.41952806000000004</v>
      </c>
      <c r="E8" s="36"/>
      <c r="F8" s="9" t="s">
        <v>150</v>
      </c>
      <c r="G8" s="26">
        <f>(1+(B23-1)/2*G5^2)^(-B23/(B23-1))*G3</f>
        <v>4.8913602233999178</v>
      </c>
      <c r="I8" t="s">
        <v>106</v>
      </c>
      <c r="J8" s="5">
        <f>G19+J5^2/(2*B24)</f>
        <v>601.4670384768782</v>
      </c>
      <c r="L8" s="9" t="s">
        <v>172</v>
      </c>
      <c r="M8" s="24">
        <f>(G15-J25)/(G3-J25)</f>
        <v>0.39449199032135585</v>
      </c>
      <c r="P8" t="s">
        <v>15</v>
      </c>
      <c r="Q8">
        <v>0</v>
      </c>
      <c r="R8" s="5">
        <f>J29</f>
        <v>173.9117368168983</v>
      </c>
      <c r="S8" t="s">
        <v>145</v>
      </c>
      <c r="T8" s="5">
        <f>Q11-Q9</f>
        <v>-305.5198855616074</v>
      </c>
    </row>
    <row r="9" spans="1:20" ht="18" x14ac:dyDescent="0.25">
      <c r="A9" t="s">
        <v>78</v>
      </c>
      <c r="B9" s="15">
        <v>0</v>
      </c>
      <c r="C9" s="17">
        <f>DEGREES(ACOS(G25/J5))</f>
        <v>39.03798733887772</v>
      </c>
      <c r="F9" s="9" t="s">
        <v>134</v>
      </c>
      <c r="G9" s="26">
        <f>SQRT(B23*B22*G7)</f>
        <v>505.84666006611559</v>
      </c>
      <c r="I9" s="9" t="s">
        <v>110</v>
      </c>
      <c r="J9" s="11">
        <f>J8*B24</f>
        <v>624924.25297747646</v>
      </c>
      <c r="Q9" s="5">
        <f>J31</f>
        <v>-116.42161514664122</v>
      </c>
      <c r="R9">
        <f t="shared" si="0"/>
        <v>0</v>
      </c>
    </row>
    <row r="10" spans="1:20" ht="18.75" thickBot="1" x14ac:dyDescent="0.3">
      <c r="A10" t="s">
        <v>81</v>
      </c>
      <c r="B10" s="15">
        <v>73</v>
      </c>
      <c r="C10" s="15">
        <v>-67.599999999999994</v>
      </c>
      <c r="F10" s="14" t="s">
        <v>152</v>
      </c>
      <c r="G10" s="17">
        <f>G6*COS(RADIANS(B9))</f>
        <v>92.064092132033039</v>
      </c>
      <c r="I10" s="9"/>
      <c r="P10" t="s">
        <v>71</v>
      </c>
      <c r="Q10">
        <v>0</v>
      </c>
      <c r="R10">
        <f t="shared" si="0"/>
        <v>173.9117368168983</v>
      </c>
    </row>
    <row r="11" spans="1:20" ht="16.5" thickTop="1" thickBot="1" x14ac:dyDescent="0.3">
      <c r="A11" s="9" t="s">
        <v>201</v>
      </c>
      <c r="B11" s="15">
        <v>0.92500000000000004</v>
      </c>
      <c r="C11" s="15">
        <v>0.87</v>
      </c>
      <c r="F11" t="s">
        <v>174</v>
      </c>
      <c r="G11" s="32">
        <f>B17*G3*100000/SQRT(G4)*SQRT(B23/B22)*G5*(1+(B23-1)/2*G5^2)^(-(B23+1)/(2*(B23-1)))</f>
        <v>22.883542190879567</v>
      </c>
      <c r="Q11" s="5">
        <f>J30</f>
        <v>-421.94150070824861</v>
      </c>
      <c r="R11">
        <f t="shared" si="0"/>
        <v>0</v>
      </c>
    </row>
    <row r="12" spans="1:20" ht="15.75" thickTop="1" x14ac:dyDescent="0.25">
      <c r="A12" t="s">
        <v>8</v>
      </c>
      <c r="B12" s="15"/>
      <c r="C12" s="15">
        <v>7500</v>
      </c>
      <c r="I12" t="s">
        <v>92</v>
      </c>
      <c r="P12" t="s">
        <v>75</v>
      </c>
      <c r="Q12" s="5">
        <f>Q5</f>
        <v>100.70881877026079</v>
      </c>
      <c r="R12">
        <v>0</v>
      </c>
    </row>
    <row r="13" spans="1:20" ht="15.75" x14ac:dyDescent="0.25">
      <c r="A13" s="1" t="s">
        <v>93</v>
      </c>
      <c r="C13" s="17">
        <f>C12*PI()/30</f>
        <v>785.39816339744834</v>
      </c>
      <c r="F13" t="s">
        <v>119</v>
      </c>
      <c r="G13" s="19"/>
      <c r="I13" t="s">
        <v>115</v>
      </c>
      <c r="Q13" s="5">
        <f>Q7</f>
        <v>406.22870433186819</v>
      </c>
      <c r="R13">
        <v>0</v>
      </c>
    </row>
    <row r="14" spans="1:20" ht="18" x14ac:dyDescent="0.25">
      <c r="A14" s="14" t="s">
        <v>202</v>
      </c>
      <c r="B14" s="4">
        <v>0.39449199032135579</v>
      </c>
      <c r="C14" t="s">
        <v>204</v>
      </c>
      <c r="F14" s="14" t="s">
        <v>194</v>
      </c>
      <c r="G14" s="39">
        <f>(C7+C8)/2 *C13</f>
        <v>305.5198855616074</v>
      </c>
      <c r="I14" s="14" t="s">
        <v>149</v>
      </c>
      <c r="J14" s="4">
        <f>J25*100000/(B22*J24)</f>
        <v>0.8802902600250414</v>
      </c>
      <c r="P14" t="s">
        <v>76</v>
      </c>
      <c r="Q14" s="5">
        <f>Q11</f>
        <v>-421.94150070824861</v>
      </c>
      <c r="R14">
        <f>R12</f>
        <v>0</v>
      </c>
    </row>
    <row r="15" spans="1:20" ht="18.75" thickBot="1" x14ac:dyDescent="0.3">
      <c r="F15" s="9" t="s">
        <v>187</v>
      </c>
      <c r="G15" s="5">
        <f>G3/B16 + B14*(G3-G3/B16)</f>
        <v>2.7369902668575925</v>
      </c>
      <c r="I15" s="9" t="s">
        <v>109</v>
      </c>
      <c r="J15">
        <f>D7+(D8-D7)*B20</f>
        <v>0.38900000000000001</v>
      </c>
      <c r="Q15" s="5">
        <f>Q9</f>
        <v>-116.42161514664122</v>
      </c>
      <c r="R15">
        <f>R13</f>
        <v>0</v>
      </c>
    </row>
    <row r="16" spans="1:20" ht="19.5" thickTop="1" thickBot="1" x14ac:dyDescent="0.3">
      <c r="A16" s="14" t="s">
        <v>185</v>
      </c>
      <c r="B16" s="34">
        <v>3.96</v>
      </c>
      <c r="F16" s="9" t="s">
        <v>168</v>
      </c>
      <c r="G16" s="24">
        <f>G4*(G15/G3)^((B23-1)/B23)</f>
        <v>582.12254487945711</v>
      </c>
      <c r="I16" t="s">
        <v>89</v>
      </c>
      <c r="J16" s="32">
        <f>J29*J14*B19</f>
        <v>22.846172987559825</v>
      </c>
    </row>
    <row r="17" spans="1:10" ht="18.75" thickTop="1" x14ac:dyDescent="0.25">
      <c r="A17" s="9" t="s">
        <v>103</v>
      </c>
      <c r="B17" s="21">
        <f>PI()*(B8^2-B7^2)</f>
        <v>9.7766363379714394E-2</v>
      </c>
      <c r="F17" s="14" t="s">
        <v>188</v>
      </c>
      <c r="G17" s="24">
        <f>SQRT(B24*(G4-G16)*2)</f>
        <v>441.67561823185139</v>
      </c>
      <c r="I17" s="14" t="s">
        <v>146</v>
      </c>
      <c r="J17" s="5">
        <f>C12*PI()/30*J15</f>
        <v>305.5198855616074</v>
      </c>
    </row>
    <row r="18" spans="1:10" ht="18" x14ac:dyDescent="0.25">
      <c r="A18" t="s">
        <v>207</v>
      </c>
      <c r="B18" s="21">
        <f>PI()*(C8^2-C7^2)</f>
        <v>0.11331121515708886</v>
      </c>
      <c r="F18" s="14" t="s">
        <v>153</v>
      </c>
      <c r="G18" s="24">
        <f>SQRT(G17*G17*B11)</f>
        <v>424.79000736828959</v>
      </c>
      <c r="I18" s="14" t="s">
        <v>111</v>
      </c>
      <c r="J18" s="11">
        <f>J19*B24</f>
        <v>624924.25297747646</v>
      </c>
    </row>
    <row r="19" spans="1:10" ht="18" x14ac:dyDescent="0.25">
      <c r="A19" t="s">
        <v>208</v>
      </c>
      <c r="B19" s="21">
        <f>PI()*(D8^2-D7^2)</f>
        <v>0.14923087036188631</v>
      </c>
      <c r="F19" s="9" t="s">
        <v>189</v>
      </c>
      <c r="G19" s="24">
        <f>-((G18^2/2)/B24-G4)</f>
        <v>589.16335401349784</v>
      </c>
      <c r="I19" s="9" t="s">
        <v>171</v>
      </c>
      <c r="J19" s="11">
        <f>J8-(J3^2-J17^2)/(2*B24)</f>
        <v>601.4670384768782</v>
      </c>
    </row>
    <row r="20" spans="1:10" ht="18" x14ac:dyDescent="0.25">
      <c r="A20" t="s">
        <v>16</v>
      </c>
      <c r="B20">
        <v>0.5</v>
      </c>
      <c r="F20" s="9" t="s">
        <v>190</v>
      </c>
      <c r="G20" s="24">
        <f>G19*B24</f>
        <v>612140.72482002422</v>
      </c>
      <c r="I20" s="9" t="s">
        <v>210</v>
      </c>
      <c r="J20" s="5">
        <f>J7</f>
        <v>2.9747445766334359</v>
      </c>
    </row>
    <row r="21" spans="1:10" ht="18" x14ac:dyDescent="0.25">
      <c r="A21" t="s">
        <v>85</v>
      </c>
      <c r="F21" s="14" t="s">
        <v>116</v>
      </c>
      <c r="G21" s="5">
        <f>G15*100000/(B22*G19)</f>
        <v>1.6234201574650324</v>
      </c>
      <c r="I21" s="9" t="s">
        <v>211</v>
      </c>
      <c r="J21" s="5">
        <f>POWER(1+(B23-1)/2*J36^2,B23/(B23-1))*J25</f>
        <v>2.4615090504916539</v>
      </c>
    </row>
    <row r="22" spans="1:10" ht="18" x14ac:dyDescent="0.25">
      <c r="A22" t="s">
        <v>87</v>
      </c>
      <c r="B22" s="40">
        <f>286.158462</f>
        <v>286.15846199999999</v>
      </c>
      <c r="F22" s="9" t="s">
        <v>191</v>
      </c>
      <c r="G22" s="24">
        <f>SQRT(B22*B23*G19)</f>
        <v>473.52943456999714</v>
      </c>
      <c r="I22" s="9" t="s">
        <v>213</v>
      </c>
      <c r="J22" s="5">
        <f>J25*(1+(B23-1)/2*J35^2)^(B23/(B23-1))</f>
        <v>1.4667586077853565</v>
      </c>
    </row>
    <row r="23" spans="1:10" ht="18.75" thickBot="1" x14ac:dyDescent="0.3">
      <c r="A23" s="9" t="s">
        <v>86</v>
      </c>
      <c r="B23" s="15">
        <v>1.33</v>
      </c>
      <c r="F23" s="9" t="s">
        <v>162</v>
      </c>
      <c r="G23" s="4">
        <f>G18/G22</f>
        <v>0.89707202204659808</v>
      </c>
      <c r="I23" s="14" t="s">
        <v>118</v>
      </c>
      <c r="J23" s="11">
        <f>J8/(J7/J25)^((B23-1)/B23)</f>
        <v>486.25904547819522</v>
      </c>
    </row>
    <row r="24" spans="1:10" ht="19.5" thickTop="1" thickBot="1" x14ac:dyDescent="0.3">
      <c r="A24" t="s">
        <v>88</v>
      </c>
      <c r="B24" s="24">
        <v>1039</v>
      </c>
      <c r="F24" t="s">
        <v>89</v>
      </c>
      <c r="G24" s="32">
        <f>G21*B18*G25</f>
        <v>22.846173103758719</v>
      </c>
      <c r="I24" s="14" t="s">
        <v>166</v>
      </c>
      <c r="J24" s="11">
        <f>J19-J27^2/(2*B24)</f>
        <v>501.23608456802401</v>
      </c>
    </row>
    <row r="25" spans="1:10" ht="18.75" thickTop="1" x14ac:dyDescent="0.25">
      <c r="A25" t="s">
        <v>41</v>
      </c>
      <c r="B25" t="s">
        <v>154</v>
      </c>
      <c r="F25" s="14" t="s">
        <v>120</v>
      </c>
      <c r="G25" s="5">
        <f>G18*COS(RADIANS(B10))</f>
        <v>124.19657860345075</v>
      </c>
      <c r="I25" s="14" t="s">
        <v>186</v>
      </c>
      <c r="J25" s="5">
        <f>G3/B16</f>
        <v>1.2626262626262625</v>
      </c>
    </row>
    <row r="26" spans="1:10" ht="18" x14ac:dyDescent="0.25">
      <c r="B26" t="s">
        <v>44</v>
      </c>
      <c r="F26" s="9" t="s">
        <v>169</v>
      </c>
      <c r="G26" s="5">
        <f>G15*(1+(B23-1)/2*G23^2)^((B23)/(B23-1))</f>
        <v>4.5237553289492514</v>
      </c>
      <c r="I26" s="14" t="s">
        <v>130</v>
      </c>
      <c r="J26" s="11">
        <f>SQRT((J19-J23)*2*B24)</f>
        <v>489.28745073960692</v>
      </c>
    </row>
    <row r="27" spans="1:10" ht="18" x14ac:dyDescent="0.25">
      <c r="A27" s="9" t="s">
        <v>176</v>
      </c>
      <c r="B27" s="5">
        <v>1.2250000000000001</v>
      </c>
      <c r="F27" s="9" t="s">
        <v>206</v>
      </c>
      <c r="G27" s="11">
        <f>G4</f>
        <v>676</v>
      </c>
      <c r="I27" s="14" t="s">
        <v>209</v>
      </c>
      <c r="J27" s="11">
        <f>SQRT(J26*J26*C11)</f>
        <v>456.37695189678351</v>
      </c>
    </row>
    <row r="28" spans="1:10" ht="18" x14ac:dyDescent="0.25">
      <c r="F28" s="14" t="s">
        <v>203</v>
      </c>
      <c r="G28" s="4">
        <f>(G3-G26)/(G3-G15)</f>
        <v>0.21044746917170212</v>
      </c>
      <c r="I28" s="14" t="s">
        <v>137</v>
      </c>
      <c r="J28" s="5">
        <f>J26*COS(RADIANS(C10))</f>
        <v>186.45295299680828</v>
      </c>
    </row>
    <row r="29" spans="1:10" ht="18" x14ac:dyDescent="0.25">
      <c r="F29" s="9" t="s">
        <v>90</v>
      </c>
      <c r="G29" s="37">
        <f>B27*(G19/273.15)^1.5*(273.15+110.4)/(G19+110.4)</f>
        <v>2.127564847105996</v>
      </c>
      <c r="I29" s="14" t="s">
        <v>128</v>
      </c>
      <c r="J29" s="5">
        <f>J27*COS(RADIANS(C10))</f>
        <v>173.9117368168983</v>
      </c>
    </row>
    <row r="30" spans="1:10" ht="18" x14ac:dyDescent="0.25">
      <c r="I30" s="14" t="s">
        <v>124</v>
      </c>
      <c r="J30" s="5">
        <f>J27*SIN(RADIANS(C10))</f>
        <v>-421.94150070824861</v>
      </c>
    </row>
    <row r="31" spans="1:10" ht="18" x14ac:dyDescent="0.25">
      <c r="F31" t="s">
        <v>205</v>
      </c>
      <c r="G31" s="5">
        <f>G24-J16</f>
        <v>1.1619889406233597E-7</v>
      </c>
      <c r="I31" s="14" t="s">
        <v>131</v>
      </c>
      <c r="J31" s="5">
        <f>J30+J17</f>
        <v>-116.42161514664122</v>
      </c>
    </row>
    <row r="32" spans="1:10" ht="18" x14ac:dyDescent="0.25">
      <c r="I32" s="14" t="s">
        <v>132</v>
      </c>
      <c r="J32" s="5">
        <f>SQRT(J31^2+J29^2)</f>
        <v>209.28278638249907</v>
      </c>
    </row>
    <row r="33" spans="9:10" x14ac:dyDescent="0.25">
      <c r="I33" s="14" t="s">
        <v>136</v>
      </c>
      <c r="J33" s="5">
        <f>SQRT(B23*B22*J23)</f>
        <v>430.19262776289622</v>
      </c>
    </row>
    <row r="34" spans="9:10" x14ac:dyDescent="0.25">
      <c r="I34" s="14" t="s">
        <v>134</v>
      </c>
      <c r="J34" s="5">
        <f>SQRT(B23*B22*J24)</f>
        <v>436.76746626588459</v>
      </c>
    </row>
    <row r="35" spans="9:10" x14ac:dyDescent="0.25">
      <c r="I35" s="14" t="s">
        <v>212</v>
      </c>
      <c r="J35" s="5">
        <f>J32/J34</f>
        <v>0.47916294721250374</v>
      </c>
    </row>
    <row r="36" spans="9:10" ht="18" x14ac:dyDescent="0.25">
      <c r="I36" s="14" t="s">
        <v>157</v>
      </c>
      <c r="J36" s="5">
        <f>J27/J34</f>
        <v>1.0448968550669513</v>
      </c>
    </row>
    <row r="37" spans="9:10" ht="18" x14ac:dyDescent="0.25">
      <c r="I37" s="14" t="s">
        <v>138</v>
      </c>
      <c r="J37" s="5">
        <f>G4*(J22/G3)^((B23-1)/B23)</f>
        <v>498.64906084199851</v>
      </c>
    </row>
    <row r="38" spans="9:10" ht="18" x14ac:dyDescent="0.25">
      <c r="I38" s="14" t="s">
        <v>139</v>
      </c>
      <c r="J38" s="5">
        <f>J24+J32^2 / (2*B24)</f>
        <v>522.31369990778467</v>
      </c>
    </row>
    <row r="39" spans="9:10" x14ac:dyDescent="0.25">
      <c r="I39" s="14" t="s">
        <v>182</v>
      </c>
      <c r="J39" s="5">
        <f>J29</f>
        <v>173.9117368168983</v>
      </c>
    </row>
    <row r="40" spans="9:10" x14ac:dyDescent="0.25">
      <c r="I40" s="14" t="s">
        <v>203</v>
      </c>
      <c r="J40" s="4">
        <f>(J20-J21)/(J20-J25)</f>
        <v>0.29976638994098842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T39"/>
  <sheetViews>
    <sheetView zoomScale="90" zoomScaleNormal="90" workbookViewId="0">
      <selection activeCell="O4" sqref="O4"/>
    </sheetView>
  </sheetViews>
  <sheetFormatPr defaultColWidth="8.85546875" defaultRowHeight="15" x14ac:dyDescent="0.25"/>
  <cols>
    <col min="1" max="1" width="18.28515625" bestFit="1" customWidth="1"/>
    <col min="2" max="2" width="11" customWidth="1"/>
    <col min="3" max="3" width="12.85546875" customWidth="1"/>
    <col min="6" max="6" width="14.140625" bestFit="1" customWidth="1"/>
    <col min="7" max="7" width="12.28515625" customWidth="1"/>
    <col min="9" max="9" width="16" customWidth="1"/>
    <col min="10" max="10" width="10.140625" customWidth="1"/>
    <col min="12" max="12" width="18.42578125" customWidth="1"/>
    <col min="13" max="13" width="10.28515625" customWidth="1"/>
    <col min="14" max="14" width="10" customWidth="1"/>
    <col min="15" max="15" width="13.28515625" bestFit="1" customWidth="1"/>
  </cols>
  <sheetData>
    <row r="1" spans="1:20" x14ac:dyDescent="0.25">
      <c r="A1" t="s">
        <v>147</v>
      </c>
    </row>
    <row r="2" spans="1:20" x14ac:dyDescent="0.25">
      <c r="A2" t="s">
        <v>77</v>
      </c>
      <c r="B2" t="s">
        <v>79</v>
      </c>
      <c r="C2" t="s">
        <v>180</v>
      </c>
      <c r="D2" t="s">
        <v>179</v>
      </c>
      <c r="F2" t="s">
        <v>91</v>
      </c>
      <c r="I2" s="9" t="s">
        <v>94</v>
      </c>
      <c r="L2" t="s">
        <v>18</v>
      </c>
      <c r="P2" t="s">
        <v>143</v>
      </c>
    </row>
    <row r="3" spans="1:20" ht="18" x14ac:dyDescent="0.25">
      <c r="A3" s="14" t="s">
        <v>96</v>
      </c>
      <c r="B3" s="15">
        <v>0.35699999999999998</v>
      </c>
      <c r="C3" s="15">
        <v>0.372</v>
      </c>
      <c r="D3" s="35">
        <v>0.36</v>
      </c>
      <c r="E3" s="36"/>
      <c r="F3" s="14" t="s">
        <v>95</v>
      </c>
      <c r="G3" s="16">
        <v>5</v>
      </c>
      <c r="I3" s="14" t="s">
        <v>148</v>
      </c>
      <c r="J3" s="17">
        <f>SQRT(J4^2+G26^2)</f>
        <v>453.91449470135507</v>
      </c>
      <c r="L3" s="9" t="s">
        <v>133</v>
      </c>
      <c r="M3" s="5">
        <f>(G4-J38)/(G4-J37)</f>
        <v>0.96763820271558765</v>
      </c>
      <c r="Q3" t="s">
        <v>3</v>
      </c>
      <c r="R3" t="s">
        <v>4</v>
      </c>
    </row>
    <row r="4" spans="1:20" ht="18" x14ac:dyDescent="0.25">
      <c r="A4" s="14" t="s">
        <v>97</v>
      </c>
      <c r="B4" s="15">
        <v>0.42</v>
      </c>
      <c r="C4" s="15">
        <v>0.4</v>
      </c>
      <c r="D4" s="35">
        <v>0.4</v>
      </c>
      <c r="E4" s="36"/>
      <c r="F4" s="9" t="s">
        <v>99</v>
      </c>
      <c r="G4" s="16">
        <v>500</v>
      </c>
      <c r="I4" s="14" t="s">
        <v>123</v>
      </c>
      <c r="J4" s="17">
        <f>G29-G25</f>
        <v>423.26563064440154</v>
      </c>
      <c r="L4" s="14" t="s">
        <v>140</v>
      </c>
      <c r="M4" s="5">
        <f>(G20-J22)/(G7-J22)</f>
        <v>-0.34439572142066599</v>
      </c>
      <c r="N4" s="10">
        <f>2*G26/G25*(TAN(RADIANS(C6))-TAN(RADIANS(C5)))</f>
        <v>-3.4232357492430987</v>
      </c>
      <c r="O4" s="5">
        <f>1-(1-(G18/G3)^((B21-1)/B21))/(1-(J24/G3)^((B21-1)/B21))</f>
        <v>-0.28310957210643406</v>
      </c>
      <c r="P4" t="s">
        <v>70</v>
      </c>
      <c r="Q4" s="5">
        <v>0</v>
      </c>
      <c r="R4" s="5">
        <f>G26</f>
        <v>163.96516219972938</v>
      </c>
    </row>
    <row r="5" spans="1:20" ht="18" x14ac:dyDescent="0.25">
      <c r="A5" t="s">
        <v>78</v>
      </c>
      <c r="B5" s="15">
        <v>0</v>
      </c>
      <c r="C5" s="17">
        <f>DEGREES(ATAN(J4/G26))</f>
        <v>68.824567154612609</v>
      </c>
      <c r="F5" s="9" t="s">
        <v>175</v>
      </c>
      <c r="G5" s="31">
        <v>0.02</v>
      </c>
      <c r="I5" s="9" t="s">
        <v>170</v>
      </c>
      <c r="J5" s="21">
        <f>(J6/G20)^(B21/(B21-1))*G18</f>
        <v>3.4034838456609138</v>
      </c>
      <c r="L5" s="14" t="s">
        <v>142</v>
      </c>
      <c r="M5" s="4">
        <f>1/(TAN(RADIANS(C6))-TAN(RADIANS(C5)))</f>
        <v>-1.1773216569396783</v>
      </c>
      <c r="Q5" s="5">
        <f>-J4</f>
        <v>-423.26563064440154</v>
      </c>
      <c r="R5" s="5">
        <v>0</v>
      </c>
      <c r="S5" t="s">
        <v>76</v>
      </c>
      <c r="T5" s="5">
        <f>Q7-Q5</f>
        <v>-81.367249727975661</v>
      </c>
    </row>
    <row r="6" spans="1:20" ht="18" x14ac:dyDescent="0.35">
      <c r="A6" t="s">
        <v>81</v>
      </c>
      <c r="B6" s="15">
        <v>72</v>
      </c>
      <c r="C6" s="15">
        <v>60</v>
      </c>
      <c r="F6" s="14" t="s">
        <v>151</v>
      </c>
      <c r="G6" s="18">
        <f>G5*G9</f>
        <v>8.6680731348142057</v>
      </c>
      <c r="H6" s="5"/>
      <c r="I6" t="s">
        <v>106</v>
      </c>
      <c r="J6" s="17">
        <f>G20+J3^2/(2*B22)</f>
        <v>462.51214008534311</v>
      </c>
      <c r="L6" s="14" t="s">
        <v>173</v>
      </c>
      <c r="M6" s="4">
        <f>(G29-J30)/G25</f>
        <v>3.3015811405403857</v>
      </c>
      <c r="P6" t="s">
        <v>14</v>
      </c>
      <c r="Q6">
        <v>0</v>
      </c>
      <c r="R6" s="5">
        <f>R4</f>
        <v>163.96516219972938</v>
      </c>
    </row>
    <row r="7" spans="1:20" ht="18" x14ac:dyDescent="0.25">
      <c r="A7" t="s">
        <v>82</v>
      </c>
      <c r="B7" s="15">
        <v>45</v>
      </c>
      <c r="C7" s="15">
        <v>62</v>
      </c>
      <c r="F7" s="14" t="s">
        <v>141</v>
      </c>
      <c r="G7" s="26">
        <f>(1+(B21-1)/2*G5^2)^(-1)*G4</f>
        <v>499.97000179989203</v>
      </c>
      <c r="I7" s="9" t="s">
        <v>110</v>
      </c>
      <c r="J7" s="21"/>
      <c r="L7" s="14" t="s">
        <v>144</v>
      </c>
      <c r="M7" s="24">
        <f>B22*(G4-J38)</f>
        <v>91262.84001491098</v>
      </c>
      <c r="Q7" s="5">
        <f>-G29</f>
        <v>-504.6328803723772</v>
      </c>
      <c r="R7">
        <f t="shared" ref="R7:R11" si="0">R5</f>
        <v>0</v>
      </c>
    </row>
    <row r="8" spans="1:20" ht="18" x14ac:dyDescent="0.25">
      <c r="A8" t="s">
        <v>84</v>
      </c>
      <c r="B8" s="15">
        <v>70</v>
      </c>
      <c r="C8" s="15"/>
      <c r="F8" s="9" t="s">
        <v>150</v>
      </c>
      <c r="G8" s="26">
        <f>(1+(B21-1)/2*G5^2)^(-B21/(B21-1))*G3</f>
        <v>4.9987002079736573</v>
      </c>
      <c r="I8" s="9"/>
      <c r="J8" s="21"/>
      <c r="L8" s="9" t="s">
        <v>172</v>
      </c>
      <c r="M8" s="4">
        <f>(G18-J24)/(G3-J24)</f>
        <v>-0.15439380506961345</v>
      </c>
      <c r="P8" t="s">
        <v>15</v>
      </c>
      <c r="Q8">
        <v>0</v>
      </c>
      <c r="R8" s="5">
        <f>J28</f>
        <v>182.92532342624773</v>
      </c>
      <c r="S8" t="s">
        <v>145</v>
      </c>
      <c r="T8" s="5">
        <f>Q11-Q9</f>
        <v>80.843650952377345</v>
      </c>
    </row>
    <row r="9" spans="1:20" x14ac:dyDescent="0.25">
      <c r="A9" t="s">
        <v>83</v>
      </c>
      <c r="B9" s="15">
        <v>2.7</v>
      </c>
      <c r="C9" s="15">
        <v>5.4</v>
      </c>
      <c r="F9" s="9" t="s">
        <v>134</v>
      </c>
      <c r="G9" s="26">
        <f>SQRT(B21*B20*G7)</f>
        <v>433.40365674071029</v>
      </c>
      <c r="Q9" s="5">
        <f>J30</f>
        <v>235.99230321285302</v>
      </c>
      <c r="R9">
        <f t="shared" si="0"/>
        <v>0</v>
      </c>
    </row>
    <row r="10" spans="1:20" ht="18.75" thickBot="1" x14ac:dyDescent="0.3">
      <c r="A10" t="s">
        <v>8</v>
      </c>
      <c r="B10" s="15"/>
      <c r="C10" s="15">
        <v>2000</v>
      </c>
      <c r="F10" s="14" t="s">
        <v>152</v>
      </c>
      <c r="G10" s="17">
        <f>G6*COS(RADIANS(B5))</f>
        <v>8.6680731348142057</v>
      </c>
      <c r="I10" t="s">
        <v>92</v>
      </c>
      <c r="P10" t="s">
        <v>71</v>
      </c>
      <c r="Q10">
        <v>0</v>
      </c>
      <c r="R10">
        <f t="shared" si="0"/>
        <v>182.92532342624773</v>
      </c>
    </row>
    <row r="11" spans="1:20" ht="17.25" thickTop="1" thickBot="1" x14ac:dyDescent="0.3">
      <c r="A11" s="1" t="s">
        <v>93</v>
      </c>
      <c r="C11" s="17">
        <f>C10*PI()/30</f>
        <v>209.43951023931953</v>
      </c>
      <c r="F11" t="s">
        <v>174</v>
      </c>
      <c r="G11" s="32">
        <f>B15*G3*100000/SQRT(G4)*SQRT(B21/B20)*G5*(1+(B21-1)/2*G5^2)^(-(B21+1)/(2*(B21-1)))</f>
        <v>4.611575346959504</v>
      </c>
      <c r="I11" t="s">
        <v>115</v>
      </c>
      <c r="Q11" s="5">
        <f>J29</f>
        <v>316.83595416523036</v>
      </c>
      <c r="R11">
        <f t="shared" si="0"/>
        <v>0</v>
      </c>
    </row>
    <row r="12" spans="1:20" ht="18.75" thickTop="1" x14ac:dyDescent="0.25">
      <c r="A12" s="14" t="s">
        <v>192</v>
      </c>
      <c r="B12">
        <f>C4*C11</f>
        <v>83.775804095727821</v>
      </c>
      <c r="I12" s="14" t="s">
        <v>117</v>
      </c>
      <c r="J12" s="17">
        <f>(D4^2-D3^2)*PI()</f>
        <v>9.550441666912983E-2</v>
      </c>
      <c r="P12" t="s">
        <v>75</v>
      </c>
      <c r="Q12" s="5">
        <f>Q5</f>
        <v>-423.26563064440154</v>
      </c>
      <c r="R12">
        <v>0</v>
      </c>
    </row>
    <row r="13" spans="1:20" ht="18" x14ac:dyDescent="0.25">
      <c r="F13" t="s">
        <v>119</v>
      </c>
      <c r="G13" s="19"/>
      <c r="I13" s="14" t="s">
        <v>149</v>
      </c>
      <c r="J13" s="17">
        <f>J24*100000/(B20*J22)</f>
        <v>1.4562728395142599</v>
      </c>
      <c r="Q13" s="5">
        <f>Q7</f>
        <v>-504.6328803723772</v>
      </c>
      <c r="R13">
        <v>0</v>
      </c>
    </row>
    <row r="14" spans="1:20" ht="18.75" thickBot="1" x14ac:dyDescent="0.3">
      <c r="A14" s="14" t="s">
        <v>101</v>
      </c>
      <c r="B14" s="34">
        <v>3</v>
      </c>
      <c r="F14" s="14" t="s">
        <v>153</v>
      </c>
      <c r="G14" s="18">
        <f>SQRT((G4-G19)*2*B22)</f>
        <v>537.91393952868123</v>
      </c>
      <c r="I14" s="9" t="s">
        <v>109</v>
      </c>
      <c r="J14" s="17">
        <f>C3+(C4-C3)*B18</f>
        <v>0.38600000000000001</v>
      </c>
      <c r="P14" t="s">
        <v>76</v>
      </c>
      <c r="Q14" s="5">
        <f>Q11</f>
        <v>316.83595416523036</v>
      </c>
      <c r="R14">
        <f>R12</f>
        <v>0</v>
      </c>
    </row>
    <row r="15" spans="1:20" ht="19.5" thickTop="1" thickBot="1" x14ac:dyDescent="0.3">
      <c r="A15" s="9" t="s">
        <v>103</v>
      </c>
      <c r="B15" s="21">
        <f>PI()*(B4^2-B3^2)</f>
        <v>0.15378410198587394</v>
      </c>
      <c r="F15" s="14" t="s">
        <v>125</v>
      </c>
      <c r="G15" s="18">
        <f>SQRT(G14^2*(1-B9/100))</f>
        <v>530.60241082010316</v>
      </c>
      <c r="I15" t="s">
        <v>89</v>
      </c>
      <c r="J15" s="32">
        <f>J28*J13*J12</f>
        <v>25.441343258626645</v>
      </c>
      <c r="Q15" s="5">
        <f>Q9</f>
        <v>235.99230321285302</v>
      </c>
      <c r="R15">
        <f>R13</f>
        <v>0</v>
      </c>
    </row>
    <row r="16" spans="1:20" ht="18.75" thickTop="1" x14ac:dyDescent="0.25">
      <c r="A16" t="s">
        <v>178</v>
      </c>
      <c r="B16" s="21">
        <f>PI()*(C4^2-C3^2)</f>
        <v>6.7908666799997047E-2</v>
      </c>
      <c r="F16" s="9" t="s">
        <v>100</v>
      </c>
      <c r="G16" s="20">
        <f>G4</f>
        <v>500</v>
      </c>
      <c r="I16" s="14" t="s">
        <v>146</v>
      </c>
      <c r="J16" s="5">
        <f>C10*PI()/30*J14</f>
        <v>80.843650952377345</v>
      </c>
    </row>
    <row r="17" spans="1:10" ht="18" x14ac:dyDescent="0.25">
      <c r="A17" t="s">
        <v>181</v>
      </c>
      <c r="B17" s="21">
        <f>PI()*(D4^2-D3^2)</f>
        <v>9.550441666912983E-2</v>
      </c>
      <c r="F17" s="9" t="s">
        <v>102</v>
      </c>
      <c r="G17" s="20">
        <f>G3</f>
        <v>5</v>
      </c>
    </row>
    <row r="18" spans="1:10" ht="18" x14ac:dyDescent="0.25">
      <c r="A18" t="s">
        <v>16</v>
      </c>
      <c r="B18">
        <v>0.5</v>
      </c>
      <c r="F18" s="9" t="s">
        <v>104</v>
      </c>
      <c r="G18" s="27">
        <v>1.1520206497679553</v>
      </c>
      <c r="I18" s="14"/>
      <c r="J18" s="4"/>
    </row>
    <row r="19" spans="1:10" ht="18" x14ac:dyDescent="0.25">
      <c r="A19" t="s">
        <v>85</v>
      </c>
      <c r="F19" s="9" t="s">
        <v>168</v>
      </c>
      <c r="G19" s="18">
        <f>(G18/G17)^((B21-1)/B21)*G16</f>
        <v>356.32998692191376</v>
      </c>
      <c r="I19" s="14" t="s">
        <v>111</v>
      </c>
      <c r="J19" s="17"/>
    </row>
    <row r="20" spans="1:10" ht="18" x14ac:dyDescent="0.25">
      <c r="A20" t="s">
        <v>87</v>
      </c>
      <c r="B20" s="15">
        <v>289</v>
      </c>
      <c r="F20" s="9" t="s">
        <v>105</v>
      </c>
      <c r="G20" s="17">
        <f>G16-G15^2/(2*B22)</f>
        <v>360.20907727502208</v>
      </c>
      <c r="I20" s="9" t="s">
        <v>171</v>
      </c>
      <c r="J20" s="23">
        <f>J6-(G25^2-J16^2)/(2*B22)</f>
        <v>462.46996857144791</v>
      </c>
    </row>
    <row r="21" spans="1:10" ht="18" x14ac:dyDescent="0.25">
      <c r="A21" s="9" t="s">
        <v>86</v>
      </c>
      <c r="B21" s="15">
        <v>1.3</v>
      </c>
      <c r="F21" s="9" t="s">
        <v>169</v>
      </c>
      <c r="G21" s="17">
        <f>(G16/G20)^(B21/(B21-1))*G18</f>
        <v>4.7708246398135401</v>
      </c>
      <c r="I21" s="14" t="s">
        <v>118</v>
      </c>
      <c r="J21" s="17">
        <f>(J24/J23)^((B21-1)/B21)*J20</f>
        <v>392.21823398921629</v>
      </c>
    </row>
    <row r="22" spans="1:10" ht="18" x14ac:dyDescent="0.25">
      <c r="A22" t="s">
        <v>88</v>
      </c>
      <c r="B22" s="24">
        <v>1007</v>
      </c>
      <c r="F22" s="14" t="s">
        <v>116</v>
      </c>
      <c r="G22" s="18">
        <f>G18*100000/(B20*G20)</f>
        <v>1.1066435782768831</v>
      </c>
      <c r="I22" s="14" t="s">
        <v>126</v>
      </c>
      <c r="J22" s="17">
        <f>J20-J26^2/(2*B22)</f>
        <v>396.01182765665681</v>
      </c>
    </row>
    <row r="23" spans="1:10" ht="18" x14ac:dyDescent="0.25">
      <c r="A23" t="s">
        <v>41</v>
      </c>
      <c r="B23" t="s">
        <v>154</v>
      </c>
      <c r="F23" s="9" t="s">
        <v>90</v>
      </c>
      <c r="G23" s="38">
        <f>B25*(G20/273.15)^1.5*(273.15+110.4)/(G20+110.4)</f>
        <v>2.117918007050763E-5</v>
      </c>
      <c r="I23" s="9" t="s">
        <v>113</v>
      </c>
      <c r="J23" s="17">
        <f>J5</f>
        <v>3.4034838456609138</v>
      </c>
    </row>
    <row r="24" spans="1:10" ht="18" x14ac:dyDescent="0.25">
      <c r="B24" t="s">
        <v>44</v>
      </c>
      <c r="F24" s="9" t="s">
        <v>109</v>
      </c>
      <c r="G24" s="22">
        <f>B3+(B4-B3)*B18</f>
        <v>0.38849999999999996</v>
      </c>
      <c r="I24" s="14" t="s">
        <v>114</v>
      </c>
      <c r="J24" s="17">
        <f>G3/B14</f>
        <v>1.6666666666666667</v>
      </c>
    </row>
    <row r="25" spans="1:10" ht="18" x14ac:dyDescent="0.25">
      <c r="A25" s="9" t="s">
        <v>193</v>
      </c>
      <c r="B25" s="33">
        <v>1.7159999999999998E-5</v>
      </c>
      <c r="F25" s="9" t="s">
        <v>108</v>
      </c>
      <c r="G25" s="17">
        <f>C11*G24</f>
        <v>81.367249727975633</v>
      </c>
      <c r="I25" s="14" t="s">
        <v>130</v>
      </c>
      <c r="J25" s="17">
        <f>SQRT((J20-J21)*2*B22)</f>
        <v>376.14756871288495</v>
      </c>
    </row>
    <row r="26" spans="1:10" ht="18" x14ac:dyDescent="0.25">
      <c r="F26" s="14" t="s">
        <v>120</v>
      </c>
      <c r="G26" s="17">
        <f>G15*COS(RADIANS(B6))</f>
        <v>163.96516219972938</v>
      </c>
      <c r="I26" s="14" t="s">
        <v>129</v>
      </c>
      <c r="J26" s="17">
        <f>SQRT(J25^2*(1-C9/100))</f>
        <v>365.8506468524954</v>
      </c>
    </row>
    <row r="27" spans="1:10" ht="18.75" thickBot="1" x14ac:dyDescent="0.3">
      <c r="F27" s="14" t="s">
        <v>121</v>
      </c>
      <c r="G27" s="10">
        <f>PI()*(B4^2-B3^2)</f>
        <v>0.15378410198587394</v>
      </c>
      <c r="I27" s="14" t="s">
        <v>137</v>
      </c>
      <c r="J27" s="5">
        <f>J25*COS(RADIANS(C6))</f>
        <v>188.0737843564425</v>
      </c>
    </row>
    <row r="28" spans="1:10" ht="19.5" thickTop="1" thickBot="1" x14ac:dyDescent="0.3">
      <c r="F28" t="s">
        <v>89</v>
      </c>
      <c r="G28" s="30">
        <f>B16*G22*G26</f>
        <v>12.322095079134813</v>
      </c>
      <c r="I28" s="14" t="s">
        <v>128</v>
      </c>
      <c r="J28" s="5">
        <f>J26*COS(RADIANS(C6))</f>
        <v>182.92532342624773</v>
      </c>
    </row>
    <row r="29" spans="1:10" ht="18.75" thickTop="1" x14ac:dyDescent="0.25">
      <c r="F29" s="14" t="s">
        <v>122</v>
      </c>
      <c r="G29" s="5">
        <f>G15*SIN(RADIANS(B6))</f>
        <v>504.6328803723772</v>
      </c>
      <c r="I29" s="14" t="s">
        <v>124</v>
      </c>
      <c r="J29" s="5">
        <f>J26*SIN(RADIANS(C6))</f>
        <v>316.83595416523036</v>
      </c>
    </row>
    <row r="30" spans="1:10" ht="18" x14ac:dyDescent="0.25">
      <c r="F30" s="14" t="s">
        <v>177</v>
      </c>
      <c r="G30" s="10">
        <f>G26/SQRT(B21*B20*G20)</f>
        <v>0.4457113146163097</v>
      </c>
      <c r="I30" s="14" t="s">
        <v>131</v>
      </c>
      <c r="J30" s="5">
        <f>J29-J16</f>
        <v>235.99230321285302</v>
      </c>
    </row>
    <row r="31" spans="1:10" ht="18" x14ac:dyDescent="0.25">
      <c r="F31" s="14" t="s">
        <v>183</v>
      </c>
      <c r="G31" s="5">
        <f>G14/SQRT(B21*B20*G20)</f>
        <v>1.4622272556027289</v>
      </c>
      <c r="I31" s="14" t="s">
        <v>132</v>
      </c>
      <c r="J31" s="5">
        <f>SQRT(J30^2+J28^2)</f>
        <v>298.58673970272775</v>
      </c>
    </row>
    <row r="32" spans="1:10" x14ac:dyDescent="0.25">
      <c r="I32" s="14" t="s">
        <v>136</v>
      </c>
      <c r="J32" s="5">
        <f>SQRT(B21*B20*J21)</f>
        <v>383.87027823178568</v>
      </c>
    </row>
    <row r="33" spans="6:10" x14ac:dyDescent="0.25">
      <c r="F33" t="s">
        <v>127</v>
      </c>
      <c r="G33" s="33">
        <f>G28-J15</f>
        <v>-13.119248179491832</v>
      </c>
      <c r="I33" s="14" t="s">
        <v>134</v>
      </c>
      <c r="J33" s="5">
        <f>SQRT(B21*B20*J22)</f>
        <v>385.72223639635553</v>
      </c>
    </row>
    <row r="34" spans="6:10" ht="18" x14ac:dyDescent="0.25">
      <c r="I34" s="9" t="s">
        <v>135</v>
      </c>
      <c r="J34" s="5">
        <f>J27/J32</f>
        <v>0.48994099054181317</v>
      </c>
    </row>
    <row r="35" spans="6:10" ht="18" x14ac:dyDescent="0.25">
      <c r="I35" s="9" t="s">
        <v>156</v>
      </c>
      <c r="J35" s="5">
        <f>J28/J33</f>
        <v>0.47424106303863606</v>
      </c>
    </row>
    <row r="36" spans="6:10" ht="18" x14ac:dyDescent="0.25">
      <c r="I36" s="14" t="s">
        <v>157</v>
      </c>
      <c r="J36" s="5">
        <f>J26/J33</f>
        <v>0.948482126077272</v>
      </c>
    </row>
    <row r="37" spans="6:10" ht="18" x14ac:dyDescent="0.25">
      <c r="I37" s="14" t="s">
        <v>138</v>
      </c>
      <c r="J37" s="5">
        <f>(1+(B21-1)/2*J34^2)*J21</f>
        <v>406.34057163713493</v>
      </c>
    </row>
    <row r="38" spans="6:10" ht="18" x14ac:dyDescent="0.25">
      <c r="I38" s="14" t="s">
        <v>139</v>
      </c>
      <c r="J38" s="5">
        <f>(1+(B21-1)/2*J35^2)*J22</f>
        <v>409.37155907158791</v>
      </c>
    </row>
    <row r="39" spans="6:10" x14ac:dyDescent="0.25">
      <c r="I39" s="14" t="s">
        <v>182</v>
      </c>
      <c r="J39" s="5">
        <f>J34*SQRT(B21*J22*B20)</f>
        <v>188.98113457403386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2:L26"/>
  <sheetViews>
    <sheetView workbookViewId="0">
      <selection activeCell="E15" sqref="E15"/>
    </sheetView>
  </sheetViews>
  <sheetFormatPr defaultColWidth="8.85546875" defaultRowHeight="15" x14ac:dyDescent="0.25"/>
  <cols>
    <col min="1" max="1" width="13.42578125" bestFit="1" customWidth="1"/>
    <col min="2" max="2" width="8.140625" customWidth="1"/>
    <col min="4" max="4" width="13.7109375" bestFit="1" customWidth="1"/>
    <col min="5" max="5" width="12" bestFit="1" customWidth="1"/>
  </cols>
  <sheetData>
    <row r="2" spans="1:12" x14ac:dyDescent="0.25">
      <c r="A2" t="s">
        <v>77</v>
      </c>
      <c r="D2" t="s">
        <v>0</v>
      </c>
      <c r="J2" t="s">
        <v>2</v>
      </c>
      <c r="K2" t="s">
        <v>3</v>
      </c>
      <c r="L2" t="s">
        <v>4</v>
      </c>
    </row>
    <row r="3" spans="1:12" x14ac:dyDescent="0.25">
      <c r="A3" t="s">
        <v>8</v>
      </c>
      <c r="B3" s="12">
        <v>6500</v>
      </c>
      <c r="D3" t="s">
        <v>16</v>
      </c>
      <c r="E3" s="3">
        <v>0.5</v>
      </c>
      <c r="J3" t="s">
        <v>1</v>
      </c>
      <c r="K3">
        <v>0</v>
      </c>
      <c r="L3">
        <f>B6</f>
        <v>115</v>
      </c>
    </row>
    <row r="4" spans="1:12" ht="18" x14ac:dyDescent="0.25">
      <c r="A4" s="2" t="s">
        <v>9</v>
      </c>
      <c r="B4">
        <v>0.35499999999999998</v>
      </c>
      <c r="D4" t="s">
        <v>5</v>
      </c>
      <c r="E4" s="5">
        <f>B3*PI()/30*(B4+E3*(B5-B4))</f>
        <v>256.9560991248652</v>
      </c>
      <c r="K4">
        <f>E4</f>
        <v>256.9560991248652</v>
      </c>
      <c r="L4">
        <f>B6</f>
        <v>115</v>
      </c>
    </row>
    <row r="5" spans="1:12" ht="18" x14ac:dyDescent="0.25">
      <c r="A5" s="2" t="s">
        <v>10</v>
      </c>
      <c r="B5">
        <v>0.4</v>
      </c>
      <c r="D5" t="s">
        <v>17</v>
      </c>
      <c r="J5" t="s">
        <v>70</v>
      </c>
      <c r="K5">
        <f>K3</f>
        <v>0</v>
      </c>
      <c r="L5">
        <f>L4</f>
        <v>115</v>
      </c>
    </row>
    <row r="6" spans="1:12" ht="18.75" x14ac:dyDescent="0.25">
      <c r="A6" t="s">
        <v>69</v>
      </c>
      <c r="B6" s="12">
        <v>115</v>
      </c>
      <c r="D6" s="1" t="s">
        <v>7</v>
      </c>
      <c r="E6" s="12">
        <v>72</v>
      </c>
      <c r="G6" t="s">
        <v>70</v>
      </c>
      <c r="H6">
        <f>SQRT((H7-E4)^2+B6^2)</f>
        <v>150.43150265174455</v>
      </c>
      <c r="K6">
        <f>K7+$B$6*TAN(RADIANS(E6))</f>
        <v>610.88970590001918</v>
      </c>
      <c r="L6">
        <v>0</v>
      </c>
    </row>
    <row r="7" spans="1:12" ht="18.75" x14ac:dyDescent="0.25">
      <c r="A7" t="s">
        <v>29</v>
      </c>
      <c r="B7">
        <v>3</v>
      </c>
      <c r="D7" s="6" t="s">
        <v>12</v>
      </c>
      <c r="E7" s="5">
        <f>DEGREES(ACOS(B6/H6))</f>
        <v>40.140355203180611</v>
      </c>
      <c r="G7" t="s">
        <v>14</v>
      </c>
      <c r="H7">
        <f>B6*TAN(RADIANS(E6))</f>
        <v>353.93360677515403</v>
      </c>
      <c r="J7" t="s">
        <v>14</v>
      </c>
      <c r="K7">
        <f>K4</f>
        <v>256.9560991248652</v>
      </c>
      <c r="L7">
        <f>L4</f>
        <v>115</v>
      </c>
    </row>
    <row r="8" spans="1:12" ht="18.75" x14ac:dyDescent="0.25">
      <c r="A8" t="s">
        <v>31</v>
      </c>
      <c r="B8">
        <v>1.4</v>
      </c>
      <c r="D8" s="6" t="s">
        <v>13</v>
      </c>
      <c r="E8" s="12">
        <v>70</v>
      </c>
      <c r="G8" t="s">
        <v>15</v>
      </c>
      <c r="H8">
        <f>SQRT(B6^2+(H9-E4)^2)</f>
        <v>129.25342896703512</v>
      </c>
      <c r="K8">
        <f>K7+H7*SIN(RADIANS(E6))</f>
        <v>593.56696218422189</v>
      </c>
      <c r="L8">
        <v>0</v>
      </c>
    </row>
    <row r="9" spans="1:12" ht="18.75" x14ac:dyDescent="0.25">
      <c r="A9" t="s">
        <v>72</v>
      </c>
      <c r="B9">
        <v>1.7</v>
      </c>
      <c r="D9" s="6" t="s">
        <v>11</v>
      </c>
      <c r="E9" s="5">
        <f>DEGREES(ATAN(((B6*TAN(RADIANS(E8)))-E4)/B6))</f>
        <v>27.161296052386746</v>
      </c>
      <c r="G9" t="s">
        <v>71</v>
      </c>
      <c r="H9">
        <f>B6*TAN(RADIANS(E8))</f>
        <v>315.95990323728148</v>
      </c>
      <c r="J9" t="s">
        <v>15</v>
      </c>
      <c r="K9">
        <f>K7</f>
        <v>256.9560991248652</v>
      </c>
      <c r="L9">
        <f>L7</f>
        <v>115</v>
      </c>
    </row>
    <row r="10" spans="1:12" x14ac:dyDescent="0.25">
      <c r="A10" t="s">
        <v>73</v>
      </c>
      <c r="B10">
        <v>0.15</v>
      </c>
      <c r="D10" t="s">
        <v>68</v>
      </c>
      <c r="E10">
        <v>0</v>
      </c>
      <c r="K10">
        <f>-K7-H8*SIN(RADIANS(E9))</f>
        <v>-315.95990323728148</v>
      </c>
      <c r="L10">
        <v>0</v>
      </c>
    </row>
    <row r="11" spans="1:12" x14ac:dyDescent="0.25">
      <c r="A11" t="s">
        <v>74</v>
      </c>
      <c r="B11" s="13">
        <f>(1+(B8-1)/B8*B10^2)^((B8-1)/B8)</f>
        <v>1.001832533124698</v>
      </c>
      <c r="J11" t="s">
        <v>71</v>
      </c>
      <c r="K11">
        <v>0</v>
      </c>
      <c r="L11">
        <f>L9</f>
        <v>115</v>
      </c>
    </row>
    <row r="12" spans="1:12" ht="15.75" x14ac:dyDescent="0.25">
      <c r="D12" s="6" t="s">
        <v>18</v>
      </c>
      <c r="K12">
        <f>K5-$B$6*TAN(RADIANS(E8))</f>
        <v>-315.95990323728148</v>
      </c>
      <c r="L12">
        <v>0</v>
      </c>
    </row>
    <row r="13" spans="1:12" ht="17.25" x14ac:dyDescent="0.25">
      <c r="D13" s="2" t="s">
        <v>19</v>
      </c>
      <c r="E13" s="11">
        <f>E4*B6*(TAN(RADIANS(E7))+TAN(RADIANS(E8)))</f>
        <v>106106.78628439171</v>
      </c>
    </row>
    <row r="14" spans="1:12" x14ac:dyDescent="0.25">
      <c r="D14" s="7" t="s">
        <v>20</v>
      </c>
      <c r="E14" s="4">
        <f>B6/E4</f>
        <v>0.44754726738016409</v>
      </c>
      <c r="K14" t="s">
        <v>3</v>
      </c>
      <c r="L14" t="s">
        <v>4</v>
      </c>
    </row>
    <row r="15" spans="1:12" x14ac:dyDescent="0.25">
      <c r="D15" s="7" t="s">
        <v>22</v>
      </c>
      <c r="E15" s="4">
        <f>E14*2*(TAN(RADIANS(E7))+TAN(RADIANS(E8)))</f>
        <v>3.2140697363786455</v>
      </c>
      <c r="J15" t="s">
        <v>70</v>
      </c>
      <c r="K15">
        <v>0</v>
      </c>
      <c r="L15">
        <f>B6</f>
        <v>115</v>
      </c>
    </row>
    <row r="16" spans="1:12" x14ac:dyDescent="0.25">
      <c r="D16" s="7" t="s">
        <v>21</v>
      </c>
      <c r="E16" s="4">
        <f>E14/2*(TAN(RADIANS(E8))-TAN(RADIANS(E7)))</f>
        <v>0.4261085771709594</v>
      </c>
      <c r="K16">
        <f>-H6*SIN(RADIANS(E7))</f>
        <v>-96.977507650288828</v>
      </c>
      <c r="L16">
        <v>0</v>
      </c>
    </row>
    <row r="17" spans="4:12" x14ac:dyDescent="0.25">
      <c r="D17" s="7" t="s">
        <v>30</v>
      </c>
      <c r="E17" s="10">
        <f>SQRT(2/(B8-1)*((1/B7)^((1-B8)/B8)-1))</f>
        <v>1.3578256637768369</v>
      </c>
      <c r="J17" t="s">
        <v>14</v>
      </c>
      <c r="K17">
        <v>0</v>
      </c>
      <c r="L17">
        <f t="shared" ref="L17:L22" si="0">L15</f>
        <v>115</v>
      </c>
    </row>
    <row r="18" spans="4:12" x14ac:dyDescent="0.25">
      <c r="K18">
        <f>-H7*SIN(RADIANS(E6))</f>
        <v>-336.61086305935675</v>
      </c>
      <c r="L18">
        <f t="shared" si="0"/>
        <v>0</v>
      </c>
    </row>
    <row r="19" spans="4:12" x14ac:dyDescent="0.25">
      <c r="J19" t="s">
        <v>15</v>
      </c>
      <c r="K19">
        <v>0</v>
      </c>
      <c r="L19">
        <f t="shared" si="0"/>
        <v>115</v>
      </c>
    </row>
    <row r="20" spans="4:12" x14ac:dyDescent="0.25">
      <c r="K20">
        <f>H8*SIN(RADIANS(E9))</f>
        <v>59.003804112416283</v>
      </c>
      <c r="L20">
        <f t="shared" si="0"/>
        <v>0</v>
      </c>
    </row>
    <row r="21" spans="4:12" x14ac:dyDescent="0.25">
      <c r="J21" t="s">
        <v>71</v>
      </c>
      <c r="K21">
        <v>0</v>
      </c>
      <c r="L21">
        <f t="shared" si="0"/>
        <v>115</v>
      </c>
    </row>
    <row r="22" spans="4:12" x14ac:dyDescent="0.25">
      <c r="K22">
        <f>H9*SIN(RADIANS(E8))</f>
        <v>296.90518953630306</v>
      </c>
      <c r="L22">
        <f t="shared" si="0"/>
        <v>0</v>
      </c>
    </row>
    <row r="23" spans="4:12" x14ac:dyDescent="0.25">
      <c r="J23" t="s">
        <v>75</v>
      </c>
      <c r="K23">
        <f>K16</f>
        <v>-96.977507650288828</v>
      </c>
      <c r="L23">
        <v>0</v>
      </c>
    </row>
    <row r="24" spans="4:12" x14ac:dyDescent="0.25">
      <c r="K24">
        <f>K18</f>
        <v>-336.61086305935675</v>
      </c>
      <c r="L24">
        <v>0</v>
      </c>
    </row>
    <row r="25" spans="4:12" x14ac:dyDescent="0.25">
      <c r="J25" t="s">
        <v>76</v>
      </c>
      <c r="K25">
        <f>K22</f>
        <v>296.90518953630306</v>
      </c>
      <c r="L25">
        <f>L23</f>
        <v>0</v>
      </c>
    </row>
    <row r="26" spans="4:12" x14ac:dyDescent="0.25">
      <c r="K26">
        <f>K20</f>
        <v>59.003804112416283</v>
      </c>
      <c r="L26">
        <f>L24</f>
        <v>0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S49"/>
  <sheetViews>
    <sheetView zoomScaleNormal="100" workbookViewId="0">
      <selection activeCell="E5" sqref="E5"/>
    </sheetView>
  </sheetViews>
  <sheetFormatPr defaultColWidth="8.85546875" defaultRowHeight="15" x14ac:dyDescent="0.25"/>
  <cols>
    <col min="1" max="1" width="18.28515625" bestFit="1" customWidth="1"/>
    <col min="2" max="2" width="11" customWidth="1"/>
    <col min="5" max="5" width="11.28515625" bestFit="1" customWidth="1"/>
    <col min="6" max="6" width="12.28515625" customWidth="1"/>
    <col min="8" max="8" width="16" customWidth="1"/>
    <col min="9" max="9" width="10.140625" customWidth="1"/>
    <col min="11" max="11" width="12.42578125" bestFit="1" customWidth="1"/>
    <col min="12" max="12" width="14.42578125" customWidth="1"/>
    <col min="13" max="13" width="10" customWidth="1"/>
    <col min="14" max="14" width="7.28515625" customWidth="1"/>
  </cols>
  <sheetData>
    <row r="1" spans="1:19" x14ac:dyDescent="0.25">
      <c r="A1" t="s">
        <v>165</v>
      </c>
    </row>
    <row r="2" spans="1:19" x14ac:dyDescent="0.25">
      <c r="A2" t="s">
        <v>77</v>
      </c>
      <c r="B2" t="s">
        <v>79</v>
      </c>
      <c r="C2" t="s">
        <v>80</v>
      </c>
      <c r="E2" t="s">
        <v>91</v>
      </c>
      <c r="H2" s="9" t="s">
        <v>94</v>
      </c>
      <c r="K2" t="s">
        <v>18</v>
      </c>
      <c r="O2" t="s">
        <v>143</v>
      </c>
    </row>
    <row r="3" spans="1:19" ht="18" x14ac:dyDescent="0.25">
      <c r="A3" s="14" t="s">
        <v>96</v>
      </c>
      <c r="B3" s="15">
        <f>0.69/2</f>
        <v>0.34499999999999997</v>
      </c>
      <c r="C3" s="15">
        <f>0.68/2</f>
        <v>0.34</v>
      </c>
      <c r="E3" s="14" t="s">
        <v>95</v>
      </c>
      <c r="F3" s="16">
        <v>20</v>
      </c>
      <c r="H3" s="14" t="s">
        <v>148</v>
      </c>
      <c r="I3" s="17">
        <f>SQRT(I4^2+F17^2)</f>
        <v>220.98882008762851</v>
      </c>
      <c r="K3" s="9" t="s">
        <v>133</v>
      </c>
      <c r="L3" s="5">
        <f>(F4-I34)/(F4-I33)</f>
        <v>0.94472723858212093</v>
      </c>
      <c r="P3" t="s">
        <v>3</v>
      </c>
      <c r="Q3" t="s">
        <v>4</v>
      </c>
    </row>
    <row r="4" spans="1:19" ht="18" x14ac:dyDescent="0.25">
      <c r="A4" s="14" t="s">
        <v>97</v>
      </c>
      <c r="B4" s="15">
        <f>0.79/2</f>
        <v>0.39500000000000002</v>
      </c>
      <c r="C4" s="15">
        <f>0.79/2</f>
        <v>0.39500000000000002</v>
      </c>
      <c r="E4" s="9" t="s">
        <v>99</v>
      </c>
      <c r="F4" s="16">
        <v>1800</v>
      </c>
      <c r="H4" s="14" t="s">
        <v>123</v>
      </c>
      <c r="I4" s="17">
        <f>F19-F20</f>
        <v>86.673339737858328</v>
      </c>
      <c r="K4" s="14" t="s">
        <v>140</v>
      </c>
      <c r="L4" s="5">
        <f>(F25-I17)/(F7-I17)</f>
        <v>1.0012445767394664</v>
      </c>
      <c r="M4" s="10">
        <f>2*F17/F20*(TAN(RADIANS(C6))-TAN(RADIANS(C5)))</f>
        <v>1.111998986155224</v>
      </c>
      <c r="N4">
        <f>1-(1-(F26/F3)^((B19-1)/B19))/(1-(I11/F3)^((B19-1)/B19))</f>
        <v>0.97218894250076437</v>
      </c>
      <c r="O4" t="s">
        <v>70</v>
      </c>
      <c r="P4" s="5">
        <v>0</v>
      </c>
      <c r="Q4" s="5">
        <f>F17</f>
        <v>203.28253929545457</v>
      </c>
    </row>
    <row r="5" spans="1:19" ht="18" x14ac:dyDescent="0.25">
      <c r="A5" t="s">
        <v>78</v>
      </c>
      <c r="B5" s="15">
        <v>0</v>
      </c>
      <c r="C5" s="17">
        <f>DEGREES(ATAN(I4/F17))</f>
        <v>23.091888947535153</v>
      </c>
      <c r="E5" s="9" t="s">
        <v>159</v>
      </c>
      <c r="F5" s="27">
        <v>0.25179209749279757</v>
      </c>
      <c r="H5" s="9" t="s">
        <v>98</v>
      </c>
      <c r="I5" s="17">
        <f>(I6/F25)^(B19/(B19-1))*F26</f>
        <v>20.638916090910868</v>
      </c>
      <c r="K5" s="14" t="s">
        <v>142</v>
      </c>
      <c r="L5" s="4">
        <f>1/(TAN(RADIANS(C6))-TAN(RADIANS(C5)))</f>
        <v>0.72585853372287212</v>
      </c>
      <c r="P5" s="5">
        <f>-I4</f>
        <v>-86.673339737858328</v>
      </c>
      <c r="Q5" s="5">
        <v>0</v>
      </c>
      <c r="R5" t="s">
        <v>76</v>
      </c>
      <c r="S5" s="5">
        <f>P7-P5</f>
        <v>-503.70202212556353</v>
      </c>
    </row>
    <row r="6" spans="1:19" ht="18" x14ac:dyDescent="0.35">
      <c r="A6" t="s">
        <v>81</v>
      </c>
      <c r="B6" s="15">
        <v>71</v>
      </c>
      <c r="C6" s="15">
        <v>61</v>
      </c>
      <c r="E6" s="14" t="s">
        <v>151</v>
      </c>
      <c r="F6" s="18">
        <f>F5*F10</f>
        <v>206.0837065945517</v>
      </c>
      <c r="G6" s="5"/>
      <c r="H6" t="s">
        <v>106</v>
      </c>
      <c r="I6" s="17">
        <f>F25+I3^2/(2*B20)</f>
        <v>1807.7495725583055</v>
      </c>
      <c r="K6" s="14" t="s">
        <v>155</v>
      </c>
      <c r="L6" s="4">
        <f>2*L5*(TAN(RADIANS(C6))+TAN(RADIANS(C5)))</f>
        <v>3.2379338336294179</v>
      </c>
      <c r="O6" t="s">
        <v>14</v>
      </c>
      <c r="P6">
        <v>0</v>
      </c>
      <c r="Q6" s="5">
        <f>Q4</f>
        <v>203.28253929545457</v>
      </c>
    </row>
    <row r="7" spans="1:19" ht="18" x14ac:dyDescent="0.25">
      <c r="A7" t="s">
        <v>82</v>
      </c>
      <c r="B7" s="15">
        <v>45</v>
      </c>
      <c r="C7" s="15">
        <v>62</v>
      </c>
      <c r="E7" s="14" t="s">
        <v>161</v>
      </c>
      <c r="F7" s="26">
        <f>F4/(1+(B19-1)/2*F5^2)</f>
        <v>1783.0434545686389</v>
      </c>
      <c r="H7" s="9" t="s">
        <v>110</v>
      </c>
      <c r="I7" s="21"/>
      <c r="K7" s="14" t="s">
        <v>144</v>
      </c>
      <c r="L7" s="24">
        <f>B20*(F4-I34)</f>
        <v>312795.4410807566</v>
      </c>
      <c r="P7" s="5">
        <f>-F19</f>
        <v>-590.37536186342186</v>
      </c>
      <c r="Q7">
        <f t="shared" ref="Q7:Q11" si="0">Q5</f>
        <v>0</v>
      </c>
    </row>
    <row r="8" spans="1:19" ht="18" x14ac:dyDescent="0.25">
      <c r="A8" t="s">
        <v>84</v>
      </c>
      <c r="B8" s="15">
        <v>70</v>
      </c>
      <c r="C8" s="15"/>
      <c r="E8" s="9" t="s">
        <v>150</v>
      </c>
      <c r="F8" s="18">
        <f>(1+(B19-1)/2*F5^2)^(-B19/(B19-1))*F3</f>
        <v>19.196298419376525</v>
      </c>
      <c r="H8" s="9" t="s">
        <v>107</v>
      </c>
      <c r="I8" s="21"/>
      <c r="O8" t="s">
        <v>15</v>
      </c>
      <c r="P8">
        <v>0</v>
      </c>
      <c r="Q8" s="5">
        <f>I19</f>
        <v>431.07805464169587</v>
      </c>
      <c r="R8" t="s">
        <v>145</v>
      </c>
      <c r="S8" s="5">
        <f>P11-P9</f>
        <v>500.29863008417465</v>
      </c>
    </row>
    <row r="9" spans="1:19" ht="18" x14ac:dyDescent="0.25">
      <c r="A9" t="s">
        <v>83</v>
      </c>
      <c r="B9" s="15">
        <v>2.7</v>
      </c>
      <c r="C9" s="15">
        <v>5.4</v>
      </c>
      <c r="E9" s="14" t="s">
        <v>160</v>
      </c>
      <c r="F9" s="26">
        <f>F8*100000/(B18*F7)</f>
        <v>3.7252697207981083</v>
      </c>
      <c r="P9" s="5">
        <f>I21</f>
        <v>277.38676673894884</v>
      </c>
      <c r="Q9">
        <f t="shared" si="0"/>
        <v>0</v>
      </c>
    </row>
    <row r="10" spans="1:19" x14ac:dyDescent="0.25">
      <c r="A10" t="s">
        <v>8</v>
      </c>
      <c r="B10" s="15"/>
      <c r="C10" s="15">
        <v>13000</v>
      </c>
      <c r="E10" s="9" t="s">
        <v>134</v>
      </c>
      <c r="F10" s="26">
        <f>SQRT(B19*B18*F7)</f>
        <v>818.4677305070968</v>
      </c>
      <c r="H10" t="s">
        <v>92</v>
      </c>
      <c r="O10" t="s">
        <v>71</v>
      </c>
      <c r="P10">
        <v>0</v>
      </c>
      <c r="Q10">
        <f t="shared" si="0"/>
        <v>431.07805464169587</v>
      </c>
    </row>
    <row r="11" spans="1:19" ht="18" x14ac:dyDescent="0.25">
      <c r="A11" s="1" t="s">
        <v>93</v>
      </c>
      <c r="C11" s="17">
        <f>C10*PI()/30</f>
        <v>1361.3568165555771</v>
      </c>
      <c r="E11" s="9" t="s">
        <v>162</v>
      </c>
      <c r="F11" s="18">
        <f>F13/F10</f>
        <v>0.77339289499192165</v>
      </c>
      <c r="H11" s="14" t="s">
        <v>114</v>
      </c>
      <c r="I11" s="17">
        <f>F3/B13</f>
        <v>6.666666666666667</v>
      </c>
      <c r="P11" s="5">
        <f>I20</f>
        <v>777.68539682312348</v>
      </c>
      <c r="Q11">
        <f t="shared" si="0"/>
        <v>0</v>
      </c>
    </row>
    <row r="12" spans="1:19" ht="18" x14ac:dyDescent="0.25">
      <c r="E12" s="14" t="s">
        <v>152</v>
      </c>
      <c r="F12" s="17"/>
      <c r="H12" s="9" t="s">
        <v>112</v>
      </c>
      <c r="I12" s="23">
        <f>I6</f>
        <v>1807.7495725583055</v>
      </c>
      <c r="O12" t="s">
        <v>75</v>
      </c>
      <c r="P12" s="5">
        <f>P5</f>
        <v>-86.673339737858328</v>
      </c>
      <c r="Q12">
        <v>0</v>
      </c>
    </row>
    <row r="13" spans="1:19" ht="18" x14ac:dyDescent="0.25">
      <c r="A13" s="14" t="s">
        <v>101</v>
      </c>
      <c r="B13">
        <v>3</v>
      </c>
      <c r="E13" s="14" t="s">
        <v>153</v>
      </c>
      <c r="F13" s="18">
        <f>F6/COS(RADIANS(B6))</f>
        <v>632.99712755435155</v>
      </c>
      <c r="H13" s="9" t="s">
        <v>113</v>
      </c>
      <c r="I13" s="17">
        <f>I5</f>
        <v>20.638916090910868</v>
      </c>
      <c r="P13" s="5">
        <f>P7</f>
        <v>-590.37536186342186</v>
      </c>
      <c r="Q13">
        <v>0</v>
      </c>
    </row>
    <row r="14" spans="1:19" ht="18" x14ac:dyDescent="0.25">
      <c r="A14" s="9" t="s">
        <v>103</v>
      </c>
      <c r="B14" s="21">
        <f>PI()*(B4^2-B3^2)</f>
        <v>0.1162389281828225</v>
      </c>
      <c r="E14" t="s">
        <v>89</v>
      </c>
      <c r="F14" s="18">
        <f>F9*B14*F6</f>
        <v>89.238646808098906</v>
      </c>
      <c r="H14" s="14" t="s">
        <v>118</v>
      </c>
      <c r="I14" s="17">
        <f>(I11/I13)^((B19-1)/B19)*I12</f>
        <v>1392.7775975117456</v>
      </c>
      <c r="O14" t="s">
        <v>76</v>
      </c>
      <c r="P14" s="5">
        <f>P11</f>
        <v>777.68539682312348</v>
      </c>
      <c r="Q14">
        <f>Q12</f>
        <v>0</v>
      </c>
    </row>
    <row r="15" spans="1:19" ht="18" x14ac:dyDescent="0.25">
      <c r="A15" t="s">
        <v>16</v>
      </c>
      <c r="B15">
        <v>0.5</v>
      </c>
      <c r="F15" s="19"/>
      <c r="H15" s="14" t="s">
        <v>130</v>
      </c>
      <c r="I15" s="17">
        <f>SQRT((I12-I14)*2*B20)</f>
        <v>914.19557959102588</v>
      </c>
      <c r="P15" s="5">
        <f>P9</f>
        <v>277.38676673894884</v>
      </c>
      <c r="Q15">
        <f>Q13</f>
        <v>0</v>
      </c>
    </row>
    <row r="16" spans="1:19" ht="18" x14ac:dyDescent="0.25">
      <c r="E16" t="s">
        <v>119</v>
      </c>
      <c r="F16" s="19"/>
      <c r="H16" s="14" t="s">
        <v>129</v>
      </c>
      <c r="I16" s="17">
        <f>SQRT(I15^2*(1-C9/100))</f>
        <v>889.16976198339535</v>
      </c>
    </row>
    <row r="17" spans="1:9" ht="18" x14ac:dyDescent="0.25">
      <c r="A17" t="s">
        <v>85</v>
      </c>
      <c r="E17" s="14" t="s">
        <v>163</v>
      </c>
      <c r="F17" s="18">
        <f>F18*COS(RADIANS(B6))</f>
        <v>203.28253929545457</v>
      </c>
      <c r="H17" s="14" t="s">
        <v>166</v>
      </c>
      <c r="I17" s="17">
        <f>I12-I16^2/(2*B20)</f>
        <v>1415.1860841642599</v>
      </c>
    </row>
    <row r="18" spans="1:9" ht="18" x14ac:dyDescent="0.25">
      <c r="A18" t="s">
        <v>87</v>
      </c>
      <c r="B18" s="15">
        <v>289</v>
      </c>
      <c r="E18" s="14" t="s">
        <v>125</v>
      </c>
      <c r="F18" s="18">
        <f>SQRT(F13^2*(1-B9/100))</f>
        <v>624.39319236981942</v>
      </c>
      <c r="H18" s="14" t="s">
        <v>146</v>
      </c>
      <c r="I18" s="5">
        <f>C10*PI()/30*I25</f>
        <v>500.29863008417465</v>
      </c>
    </row>
    <row r="19" spans="1:9" ht="18" x14ac:dyDescent="0.25">
      <c r="A19" s="9" t="s">
        <v>86</v>
      </c>
      <c r="B19" s="15">
        <v>1.3</v>
      </c>
      <c r="E19" s="14" t="s">
        <v>122</v>
      </c>
      <c r="F19" s="17">
        <f>F18*SIN(RADIANS(B6))</f>
        <v>590.37536186342186</v>
      </c>
      <c r="H19" s="14" t="s">
        <v>128</v>
      </c>
      <c r="I19" s="5">
        <f>I16*COS(RADIANS(C6))</f>
        <v>431.07805464169587</v>
      </c>
    </row>
    <row r="20" spans="1:9" ht="18" x14ac:dyDescent="0.25">
      <c r="A20" t="s">
        <v>88</v>
      </c>
      <c r="B20" s="24">
        <v>1007</v>
      </c>
      <c r="E20" s="9" t="s">
        <v>108</v>
      </c>
      <c r="F20" s="17">
        <f>C11*F29</f>
        <v>503.70202212556353</v>
      </c>
      <c r="H20" s="14" t="s">
        <v>124</v>
      </c>
      <c r="I20" s="5">
        <f>I16*SIN(RADIANS(C6))</f>
        <v>777.68539682312348</v>
      </c>
    </row>
    <row r="21" spans="1:9" ht="18" x14ac:dyDescent="0.25">
      <c r="A21" t="s">
        <v>41</v>
      </c>
      <c r="B21" t="s">
        <v>154</v>
      </c>
      <c r="E21" s="14" t="s">
        <v>116</v>
      </c>
      <c r="F21" s="18">
        <f>F14/(F17*B14)</f>
        <v>3.7766027263694815</v>
      </c>
      <c r="H21" s="14" t="s">
        <v>131</v>
      </c>
      <c r="I21" s="5">
        <f>I20-I18</f>
        <v>277.38676673894884</v>
      </c>
    </row>
    <row r="22" spans="1:9" ht="18" x14ac:dyDescent="0.25">
      <c r="B22" t="s">
        <v>44</v>
      </c>
      <c r="E22" s="9" t="s">
        <v>100</v>
      </c>
      <c r="F22" s="20">
        <f>F4</f>
        <v>1800</v>
      </c>
      <c r="H22" s="14" t="s">
        <v>132</v>
      </c>
      <c r="I22" s="5">
        <f>SQRT(I21^2+I19^2)</f>
        <v>512.61262914169106</v>
      </c>
    </row>
    <row r="23" spans="1:9" ht="18" x14ac:dyDescent="0.25">
      <c r="B23" s="5"/>
      <c r="E23" s="9" t="s">
        <v>167</v>
      </c>
      <c r="F23" s="29">
        <f>(F17/SQRT(B19*B18*F22))^2</f>
        <v>6.1106365573016339E-2</v>
      </c>
      <c r="H23" s="14" t="s">
        <v>117</v>
      </c>
      <c r="I23" s="21">
        <f>(C4^2-C3^2)*PI()</f>
        <v>0.12699888302136739</v>
      </c>
    </row>
    <row r="24" spans="1:9" ht="18" x14ac:dyDescent="0.25">
      <c r="B24" s="5"/>
      <c r="E24" s="9" t="s">
        <v>164</v>
      </c>
      <c r="F24" s="18">
        <f>SQRT(F23/(1-(B19-1)/2*F23))</f>
        <v>0.24833776411681419</v>
      </c>
      <c r="H24" s="14" t="s">
        <v>149</v>
      </c>
      <c r="I24" s="17">
        <f>I11*100000/(B18*I17)</f>
        <v>1.6300365731291457</v>
      </c>
    </row>
    <row r="25" spans="1:9" ht="18" x14ac:dyDescent="0.25">
      <c r="E25" s="9" t="s">
        <v>105</v>
      </c>
      <c r="F25" s="18">
        <f>F22/(1+(B19-1)/2*F24^2)</f>
        <v>1783.5012812952855</v>
      </c>
      <c r="H25" s="9" t="s">
        <v>109</v>
      </c>
      <c r="I25" s="17">
        <f>C3+(C4-C3)*B15</f>
        <v>0.36750000000000005</v>
      </c>
    </row>
    <row r="26" spans="1:9" ht="18" x14ac:dyDescent="0.25">
      <c r="E26" s="9" t="s">
        <v>104</v>
      </c>
      <c r="F26" s="18">
        <f>F21*B18*F25/100000</f>
        <v>19.465814066113158</v>
      </c>
      <c r="H26" t="s">
        <v>89</v>
      </c>
      <c r="I26" s="24">
        <f>I19*I24*I23</f>
        <v>89.238685486573658</v>
      </c>
    </row>
    <row r="27" spans="1:9" ht="18" x14ac:dyDescent="0.25">
      <c r="E27" s="9" t="s">
        <v>102</v>
      </c>
      <c r="F27" s="18">
        <f>(F22/F25)^(B19/(B19-1))*F26</f>
        <v>20.258249469405243</v>
      </c>
      <c r="H27" t="s">
        <v>127</v>
      </c>
      <c r="I27" s="25">
        <f>I26-F14</f>
        <v>3.8678474751918657E-5</v>
      </c>
    </row>
    <row r="28" spans="1:9" x14ac:dyDescent="0.25">
      <c r="E28" s="9" t="s">
        <v>90</v>
      </c>
      <c r="F28" s="28"/>
      <c r="H28" s="14" t="s">
        <v>136</v>
      </c>
      <c r="I28" s="5">
        <f>SQRT(B19*B18*I14)</f>
        <v>723.37164955862272</v>
      </c>
    </row>
    <row r="29" spans="1:9" ht="18" x14ac:dyDescent="0.25">
      <c r="E29" s="9" t="s">
        <v>109</v>
      </c>
      <c r="F29" s="22">
        <f>B3+(B4-B3)*B15</f>
        <v>0.37</v>
      </c>
      <c r="H29" s="14" t="s">
        <v>134</v>
      </c>
      <c r="I29" s="5">
        <f>SQRT(B19*B18*I17)</f>
        <v>729.1676157239242</v>
      </c>
    </row>
    <row r="30" spans="1:9" ht="18" x14ac:dyDescent="0.25">
      <c r="E30" s="9" t="s">
        <v>89</v>
      </c>
      <c r="F30" s="5">
        <f>F14</f>
        <v>89.238646808098906</v>
      </c>
      <c r="H30" s="9" t="s">
        <v>158</v>
      </c>
      <c r="I30" s="5">
        <f>F49/I28</f>
        <v>0.61270138530150819</v>
      </c>
    </row>
    <row r="31" spans="1:9" ht="18" x14ac:dyDescent="0.25">
      <c r="H31" s="9" t="s">
        <v>156</v>
      </c>
      <c r="I31" s="5">
        <f>I19/I29</f>
        <v>0.59119199117711463</v>
      </c>
    </row>
    <row r="32" spans="1:9" ht="18" x14ac:dyDescent="0.25">
      <c r="H32" s="14" t="s">
        <v>157</v>
      </c>
      <c r="I32" s="5">
        <f>I16/I29</f>
        <v>1.219431229266291</v>
      </c>
    </row>
    <row r="33" spans="5:9" ht="18" x14ac:dyDescent="0.25">
      <c r="H33" s="14" t="s">
        <v>138</v>
      </c>
      <c r="I33" s="5">
        <f>(1+(B19-1)/2*I30^2)*I14</f>
        <v>1471.2055281766195</v>
      </c>
    </row>
    <row r="34" spans="5:9" ht="18" x14ac:dyDescent="0.25">
      <c r="H34" s="14" t="s">
        <v>139</v>
      </c>
      <c r="I34" s="5">
        <f>(1+(B19-1)/2*I31^2)*I17</f>
        <v>1489.3789065732308</v>
      </c>
    </row>
    <row r="40" spans="5:9" x14ac:dyDescent="0.25">
      <c r="E40" s="14"/>
      <c r="F40" s="4"/>
    </row>
    <row r="41" spans="5:9" x14ac:dyDescent="0.25">
      <c r="E41" s="14"/>
      <c r="F41" s="17"/>
    </row>
    <row r="49" spans="5:6" ht="18" x14ac:dyDescent="0.25">
      <c r="E49" s="14" t="s">
        <v>137</v>
      </c>
      <c r="F49" s="5">
        <f>I15*COS(RADIANS(C6))</f>
        <v>443.21081177240529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N45"/>
  <sheetViews>
    <sheetView workbookViewId="0">
      <selection activeCell="D37" sqref="D37"/>
    </sheetView>
  </sheetViews>
  <sheetFormatPr defaultColWidth="8.85546875" defaultRowHeight="15" x14ac:dyDescent="0.25"/>
  <cols>
    <col min="1" max="1" width="7.42578125" customWidth="1"/>
    <col min="2" max="2" width="6" customWidth="1"/>
    <col min="3" max="3" width="11.140625" bestFit="1" customWidth="1"/>
    <col min="8" max="8" width="9.140625" customWidth="1"/>
    <col min="9" max="9" width="11" customWidth="1"/>
    <col min="12" max="12" width="12.42578125" bestFit="1" customWidth="1"/>
  </cols>
  <sheetData>
    <row r="2" spans="1:14" x14ac:dyDescent="0.25">
      <c r="A2" t="s">
        <v>41</v>
      </c>
      <c r="B2" t="s">
        <v>43</v>
      </c>
      <c r="G2" t="s">
        <v>51</v>
      </c>
      <c r="L2" t="s">
        <v>18</v>
      </c>
      <c r="M2" t="s">
        <v>67</v>
      </c>
      <c r="N2" t="s">
        <v>55</v>
      </c>
    </row>
    <row r="3" spans="1:14" x14ac:dyDescent="0.25">
      <c r="B3" s="8" t="s">
        <v>44</v>
      </c>
      <c r="G3" t="s">
        <v>38</v>
      </c>
      <c r="L3" t="s">
        <v>23</v>
      </c>
      <c r="M3" s="5" t="e">
        <f ca="1">Enthalpy($B$2,"TP",$B$3,J22,J21)-Enthalpy($B$2,"TP",$B$3,J15,J14)</f>
        <v>#NAME?</v>
      </c>
      <c r="N3" s="5" t="e">
        <f ca="1">Enthalpy($B$2,"TP",$B$3,J24,J23)-Enthalpy($B$2,"TP",$B$3,J15,J14)</f>
        <v>#NAME?</v>
      </c>
    </row>
    <row r="4" spans="1:14" x14ac:dyDescent="0.25">
      <c r="H4" t="s">
        <v>39</v>
      </c>
      <c r="J4">
        <v>0.85</v>
      </c>
      <c r="L4" t="s">
        <v>24</v>
      </c>
      <c r="M4" s="5" t="e">
        <f ca="1">Enthalpy($B$2,"TP",$B$3,J31,J30)-Enthalpy($B$2,"TP",$B$3,J15,J14)</f>
        <v>#NAME?</v>
      </c>
      <c r="N4" s="5" t="e">
        <f ca="1">Enthalpy($B$2,"TP",$B$3,J33,J32)-Enthalpy($B$2,"TP",$B$3,J15,J14)</f>
        <v>#NAME?</v>
      </c>
    </row>
    <row r="5" spans="1:14" x14ac:dyDescent="0.25">
      <c r="H5" t="s">
        <v>42</v>
      </c>
      <c r="J5">
        <v>210</v>
      </c>
      <c r="L5" t="s">
        <v>6</v>
      </c>
    </row>
    <row r="6" spans="1:14" x14ac:dyDescent="0.25">
      <c r="H6" t="s">
        <v>50</v>
      </c>
      <c r="J6">
        <v>29.1</v>
      </c>
    </row>
    <row r="7" spans="1:14" x14ac:dyDescent="0.25">
      <c r="H7" t="s">
        <v>5</v>
      </c>
      <c r="J7" t="e">
        <f ca="1">SQRT(GammaK($B$2,"TP",B3,J5,J6)*287*J5)*J4</f>
        <v>#NAME?</v>
      </c>
    </row>
    <row r="8" spans="1:14" x14ac:dyDescent="0.25">
      <c r="H8" t="s">
        <v>31</v>
      </c>
      <c r="J8" t="e">
        <f ca="1">GammaK($B$2,"TP",B3,J5,J6)</f>
        <v>#NAME?</v>
      </c>
    </row>
    <row r="9" spans="1:14" x14ac:dyDescent="0.25">
      <c r="H9" t="s">
        <v>62</v>
      </c>
      <c r="J9" t="e">
        <f ca="1">J8*287/(J8-1)</f>
        <v>#NAME?</v>
      </c>
    </row>
    <row r="10" spans="1:14" x14ac:dyDescent="0.25">
      <c r="G10" t="s">
        <v>60</v>
      </c>
    </row>
    <row r="11" spans="1:14" ht="18" x14ac:dyDescent="0.25">
      <c r="H11" s="9" t="s">
        <v>54</v>
      </c>
      <c r="J11">
        <v>1</v>
      </c>
    </row>
    <row r="12" spans="1:14" x14ac:dyDescent="0.25">
      <c r="H12" t="s">
        <v>58</v>
      </c>
      <c r="J12" t="e">
        <f ca="1">J6*(1+(J8-1)/2*J4^2)^(J8/(J8-1))</f>
        <v>#NAME?</v>
      </c>
    </row>
    <row r="13" spans="1:14" x14ac:dyDescent="0.25">
      <c r="H13" t="s">
        <v>59</v>
      </c>
      <c r="J13" t="e">
        <f ca="1">J5*(1+(J8-1)/2*J4^2)</f>
        <v>#NAME?</v>
      </c>
    </row>
    <row r="14" spans="1:14" x14ac:dyDescent="0.25">
      <c r="H14" t="s">
        <v>52</v>
      </c>
      <c r="J14" t="e">
        <f ca="1">((J8-1)/2*J4^2*J11+1)^(J8/(J8-1))*J6</f>
        <v>#NAME?</v>
      </c>
    </row>
    <row r="15" spans="1:14" x14ac:dyDescent="0.25">
      <c r="H15" t="s">
        <v>53</v>
      </c>
      <c r="J15" t="e">
        <f ca="1">(J14/J6)^((J8-1)/J8)*J5</f>
        <v>#NAME?</v>
      </c>
    </row>
    <row r="16" spans="1:14" x14ac:dyDescent="0.25">
      <c r="G16" t="s">
        <v>23</v>
      </c>
    </row>
    <row r="17" spans="7:10" x14ac:dyDescent="0.25">
      <c r="H17" t="s">
        <v>26</v>
      </c>
      <c r="J17">
        <v>4</v>
      </c>
    </row>
    <row r="18" spans="7:10" x14ac:dyDescent="0.25">
      <c r="H18" t="s">
        <v>46</v>
      </c>
      <c r="J18">
        <v>2.98</v>
      </c>
    </row>
    <row r="19" spans="7:10" ht="18" x14ac:dyDescent="0.25">
      <c r="H19" s="9" t="s">
        <v>61</v>
      </c>
      <c r="J19">
        <v>0.8</v>
      </c>
    </row>
    <row r="20" spans="7:10" x14ac:dyDescent="0.25">
      <c r="H20" t="s">
        <v>32</v>
      </c>
      <c r="J20">
        <v>50</v>
      </c>
    </row>
    <row r="21" spans="7:10" x14ac:dyDescent="0.25">
      <c r="H21" t="s">
        <v>57</v>
      </c>
      <c r="J21" t="e">
        <f ca="1">J14*J18</f>
        <v>#NAME?</v>
      </c>
    </row>
    <row r="22" spans="7:10" x14ac:dyDescent="0.25">
      <c r="H22" t="s">
        <v>56</v>
      </c>
      <c r="J22" t="e">
        <f ca="1">(J21/J6)^((J8-1)/J8)*J5</f>
        <v>#NAME?</v>
      </c>
    </row>
    <row r="23" spans="7:10" x14ac:dyDescent="0.25">
      <c r="H23" t="s">
        <v>45</v>
      </c>
      <c r="J23" t="e">
        <f ca="1">(1+J19*(J22-J15)/J15)^(J8/(J8-1))*J14</f>
        <v>#NAME?</v>
      </c>
    </row>
    <row r="24" spans="7:10" x14ac:dyDescent="0.25">
      <c r="H24" t="s">
        <v>40</v>
      </c>
      <c r="J24" t="e">
        <f ca="1">(1+1/J19*(J18^((J8-1)/J8)-1))*J15</f>
        <v>#NAME?</v>
      </c>
    </row>
    <row r="25" spans="7:10" x14ac:dyDescent="0.25">
      <c r="G25" t="s">
        <v>27</v>
      </c>
    </row>
    <row r="26" spans="7:10" x14ac:dyDescent="0.25">
      <c r="H26" t="s">
        <v>24</v>
      </c>
    </row>
    <row r="27" spans="7:10" x14ac:dyDescent="0.25">
      <c r="I27" t="s">
        <v>35</v>
      </c>
      <c r="J27">
        <v>25</v>
      </c>
    </row>
    <row r="28" spans="7:10" ht="18" x14ac:dyDescent="0.25">
      <c r="I28" s="9" t="s">
        <v>63</v>
      </c>
      <c r="J28">
        <v>0.88</v>
      </c>
    </row>
    <row r="29" spans="7:10" x14ac:dyDescent="0.25">
      <c r="I29" t="s">
        <v>32</v>
      </c>
      <c r="J29">
        <f>J20/J17</f>
        <v>12.5</v>
      </c>
    </row>
    <row r="30" spans="7:10" x14ac:dyDescent="0.25">
      <c r="I30" t="s">
        <v>65</v>
      </c>
      <c r="J30" t="e">
        <f ca="1">J23*J27</f>
        <v>#NAME?</v>
      </c>
    </row>
    <row r="31" spans="7:10" x14ac:dyDescent="0.25">
      <c r="I31" t="s">
        <v>64</v>
      </c>
      <c r="J31" t="e">
        <f ca="1">J22*(J27)^((J8-1)/J8)</f>
        <v>#NAME?</v>
      </c>
    </row>
    <row r="32" spans="7:10" x14ac:dyDescent="0.25">
      <c r="I32" t="s">
        <v>66</v>
      </c>
      <c r="J32" t="e">
        <f ca="1">J23*(1+J28*(J31-J24)/J24)^(J8/(J8-1))</f>
        <v>#NAME?</v>
      </c>
    </row>
    <row r="33" spans="7:10" x14ac:dyDescent="0.25">
      <c r="I33" t="s">
        <v>47</v>
      </c>
      <c r="J33" t="e">
        <f ca="1">J24*(1+1/J28*(J27)^((J8-1)/J8)-1)</f>
        <v>#NAME?</v>
      </c>
    </row>
    <row r="34" spans="7:10" x14ac:dyDescent="0.25">
      <c r="H34" t="s">
        <v>36</v>
      </c>
    </row>
    <row r="35" spans="7:10" x14ac:dyDescent="0.25">
      <c r="I35" t="s">
        <v>37</v>
      </c>
      <c r="J35">
        <v>45000</v>
      </c>
    </row>
    <row r="36" spans="7:10" x14ac:dyDescent="0.25">
      <c r="I36" t="s">
        <v>49</v>
      </c>
      <c r="J36">
        <v>2</v>
      </c>
    </row>
    <row r="37" spans="7:10" x14ac:dyDescent="0.25">
      <c r="I37" t="s">
        <v>48</v>
      </c>
      <c r="J37">
        <v>0.05</v>
      </c>
    </row>
    <row r="38" spans="7:10" x14ac:dyDescent="0.25">
      <c r="J38" t="e">
        <f ca="1">J30*(1-J37)</f>
        <v>#NAME?</v>
      </c>
    </row>
    <row r="39" spans="7:10" x14ac:dyDescent="0.25">
      <c r="H39" t="s">
        <v>6</v>
      </c>
    </row>
    <row r="40" spans="7:10" x14ac:dyDescent="0.25">
      <c r="I40" t="s">
        <v>33</v>
      </c>
      <c r="J40">
        <v>1300</v>
      </c>
    </row>
    <row r="41" spans="7:10" x14ac:dyDescent="0.25">
      <c r="I41" t="s">
        <v>34</v>
      </c>
    </row>
    <row r="42" spans="7:10" x14ac:dyDescent="0.25">
      <c r="I42" t="s">
        <v>29</v>
      </c>
    </row>
    <row r="43" spans="7:10" ht="18" x14ac:dyDescent="0.25">
      <c r="I43" s="2" t="s">
        <v>28</v>
      </c>
      <c r="J43">
        <v>0.9</v>
      </c>
    </row>
    <row r="45" spans="7:10" x14ac:dyDescent="0.25">
      <c r="G45" t="s">
        <v>25</v>
      </c>
    </row>
  </sheetData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Design Type 3</vt:lpstr>
      <vt:lpstr>Design Type 2</vt:lpstr>
      <vt:lpstr>Design Type 1</vt:lpstr>
      <vt:lpstr>Design Type 3 Inlet Mach</vt:lpstr>
      <vt:lpstr>Thermocycle</vt:lpstr>
    </vt:vector>
  </TitlesOfParts>
  <Company>Engineering Computer Network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Juangphanich, Paht</dc:creator>
  <cp:lastModifiedBy>Juangphanich, Paht (GRC-LTE0)</cp:lastModifiedBy>
  <dcterms:created xsi:type="dcterms:W3CDTF">2015-06-11T18:26:47Z</dcterms:created>
  <dcterms:modified xsi:type="dcterms:W3CDTF">2024-07-16T14:38:04Z</dcterms:modified>
</cp:coreProperties>
</file>