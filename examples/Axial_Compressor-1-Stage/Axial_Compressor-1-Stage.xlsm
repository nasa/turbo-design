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pjuangph/Documents/GitHub/turbo-design/examples/Axial_Compressor-1-Stage/"/>
    </mc:Choice>
  </mc:AlternateContent>
  <xr:revisionPtr revIDLastSave="0" documentId="13_ncr:1_{D8575F45-F4E9-0E4C-8112-EF2D8CB155C1}" xr6:coauthVersionLast="47" xr6:coauthVersionMax="47" xr10:uidLastSave="{00000000-0000-0000-0000-000000000000}"/>
  <bookViews>
    <workbookView xWindow="0" yWindow="760" windowWidth="26020" windowHeight="20460" xr2:uid="{00000000-000D-0000-FFFF-FFFF00000000}"/>
  </bookViews>
  <sheets>
    <sheet name="Design Type 3" sheetId="9" r:id="rId1"/>
  </sheets>
  <definedNames>
    <definedName name="solver_adj" localSheetId="0" hidden="1">'Design Type 3'!$I$15,'Design Type 3'!$I$27,'Design Type 3'!$I$40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'Design Type 3'!$I$5</definedName>
    <definedName name="solver_lhs1" localSheetId="0" hidden="1">'Design Type 3'!#REF!</definedName>
    <definedName name="solver_lhs2" localSheetId="0" hidden="1">'Design Type 3'!$E$7</definedName>
    <definedName name="solver_lhs3" localSheetId="0" hidden="1">'Design Type 3'!$E$7</definedName>
    <definedName name="solver_lhs4" localSheetId="0" hidden="1">'Design Type 3'!$E$7</definedName>
    <definedName name="solver_lhs5" localSheetId="0" hidden="1">'Design Type 3'!$E$7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'Design Type 3'!$I$53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hs0" localSheetId="0" hidden="1">0.3</definedName>
    <definedName name="solver_rhs1" localSheetId="0" hidden="1">1</definedName>
    <definedName name="solver_rhs2" localSheetId="0" hidden="1">'Design Type 3'!$E$8</definedName>
    <definedName name="solver_rhs3" localSheetId="0" hidden="1">'Design Type 3'!$E$8</definedName>
    <definedName name="solver_rhs4" localSheetId="0" hidden="1">'Design Type 3'!$E$8</definedName>
    <definedName name="solver_rhs5" localSheetId="0" hidden="1">'Design Type 3'!$E$8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16.7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9" l="1"/>
  <c r="I8" i="9" s="1"/>
  <c r="I16" i="9" s="1"/>
  <c r="I17" i="9" s="1"/>
  <c r="L42" i="9"/>
  <c r="L29" i="9"/>
  <c r="E9" i="9"/>
  <c r="D9" i="9"/>
  <c r="C9" i="9"/>
  <c r="B23" i="9"/>
  <c r="B24" i="9"/>
  <c r="I14" i="9"/>
  <c r="B8" i="9"/>
  <c r="B7" i="9"/>
  <c r="I18" i="9" l="1"/>
  <c r="B9" i="9"/>
  <c r="C2" i="9" l="1"/>
  <c r="D2" i="9"/>
  <c r="B2" i="9"/>
  <c r="B21" i="9"/>
  <c r="L14" i="9" s="1"/>
  <c r="L15" i="9" l="1"/>
  <c r="I19" i="9"/>
  <c r="C16" i="9"/>
  <c r="I7" i="9"/>
  <c r="W15" i="9"/>
  <c r="W14" i="9"/>
  <c r="W7" i="9"/>
  <c r="W9" i="9" s="1"/>
  <c r="W11" i="9" s="1"/>
  <c r="I9" i="9" l="1"/>
  <c r="I21" i="9"/>
  <c r="I10" i="9"/>
  <c r="L16" i="9"/>
  <c r="L22" i="9" s="1"/>
  <c r="L18" i="9"/>
  <c r="L19" i="9" s="1"/>
  <c r="L17" i="9"/>
  <c r="I6" i="9"/>
  <c r="I11" i="9" l="1"/>
  <c r="L20" i="9"/>
  <c r="L23" i="9" s="1"/>
  <c r="T4" i="9"/>
  <c r="R5" i="9"/>
  <c r="R8" i="9"/>
  <c r="I26" i="9" l="1"/>
  <c r="L24" i="9"/>
  <c r="I28" i="9" s="1"/>
  <c r="L21" i="9"/>
  <c r="W4" i="9" l="1"/>
  <c r="W6" i="9" s="1"/>
  <c r="V7" i="9" l="1"/>
  <c r="V13" i="9" s="1"/>
  <c r="S4" i="9"/>
  <c r="V5" i="9" l="1"/>
  <c r="V12" i="9" l="1"/>
  <c r="Y5" i="9"/>
  <c r="R4" i="9" l="1"/>
  <c r="V11" i="9"/>
  <c r="W8" i="9"/>
  <c r="W10" i="9" s="1"/>
  <c r="V9" i="9" l="1"/>
  <c r="V15" i="9" s="1"/>
  <c r="V14" i="9"/>
  <c r="Y8" i="9" l="1"/>
  <c r="R3" i="9" l="1"/>
  <c r="R7" i="9"/>
  <c r="R6" i="9"/>
  <c r="I30" i="9"/>
  <c r="I31" i="9" s="1"/>
  <c r="I29" i="9" l="1"/>
  <c r="I33" i="9"/>
  <c r="L26" i="9"/>
  <c r="L27" i="9" l="1"/>
  <c r="L28" i="9" l="1"/>
  <c r="L34" i="9" s="1"/>
  <c r="L30" i="9"/>
  <c r="L31" i="9" s="1"/>
  <c r="L32" i="9" l="1"/>
  <c r="L35" i="9" s="1"/>
  <c r="L33" i="9" l="1"/>
  <c r="I39" i="9"/>
  <c r="L36" i="9"/>
  <c r="I41" i="9" l="1"/>
  <c r="I51" i="9" s="1"/>
  <c r="I52" i="9"/>
  <c r="I43" i="9" l="1"/>
  <c r="I42" i="9" s="1"/>
  <c r="L39" i="9" l="1"/>
  <c r="L40" i="9" s="1"/>
  <c r="L43" i="9" s="1"/>
  <c r="L44" i="9" s="1"/>
  <c r="I44" i="9"/>
  <c r="I46" i="9"/>
  <c r="L41" i="9" l="1"/>
  <c r="L47" i="9" s="1"/>
  <c r="I53" i="9" s="1"/>
  <c r="L45" i="9" l="1"/>
  <c r="L46" i="9" s="1"/>
</calcChain>
</file>

<file path=xl/sharedStrings.xml><?xml version="1.0" encoding="utf-8"?>
<sst xmlns="http://schemas.openxmlformats.org/spreadsheetml/2006/main" count="119" uniqueCount="106">
  <si>
    <t>x</t>
  </si>
  <si>
    <t>y</t>
  </si>
  <si>
    <t>rpm</t>
  </si>
  <si>
    <t>V2</t>
  </si>
  <si>
    <t>V3</t>
  </si>
  <si>
    <t>% Span</t>
  </si>
  <si>
    <t>Performance</t>
  </si>
  <si>
    <t>Fluid</t>
  </si>
  <si>
    <t>mks</t>
  </si>
  <si>
    <t>W2</t>
  </si>
  <si>
    <t>W3</t>
  </si>
  <si>
    <t>U1</t>
  </si>
  <si>
    <t>U2</t>
  </si>
  <si>
    <t xml:space="preserve">Design Parameters </t>
  </si>
  <si>
    <t>Inlet Angle (deg)</t>
  </si>
  <si>
    <t>Stator</t>
  </si>
  <si>
    <t>Exit Angle (deg)</t>
  </si>
  <si>
    <t>Gas Properties</t>
  </si>
  <si>
    <t>γ</t>
  </si>
  <si>
    <t>R (J/(kg K))</t>
  </si>
  <si>
    <t>Cp (J/(kgK))</t>
  </si>
  <si>
    <t>Stator Inlet</t>
  </si>
  <si>
    <t>ω (rad/s)</t>
  </si>
  <si>
    <r>
      <t>P</t>
    </r>
    <r>
      <rPr>
        <vertAlign val="subscript"/>
        <sz val="11"/>
        <color rgb="FF000000"/>
        <rFont val="Calibri"/>
        <family val="2"/>
        <scheme val="minor"/>
      </rPr>
      <t xml:space="preserve">01 </t>
    </r>
    <r>
      <rPr>
        <sz val="11"/>
        <color rgb="FF000000"/>
        <rFont val="Calibri"/>
        <family val="2"/>
        <scheme val="minor"/>
      </rPr>
      <t>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</si>
  <si>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01 </t>
    </r>
    <r>
      <rPr>
        <sz val="11"/>
        <color theme="1"/>
        <rFont val="Calibri"/>
        <family val="2"/>
        <scheme val="minor"/>
      </rPr>
      <t>(K)</t>
    </r>
  </si>
  <si>
    <t>Stator Exit</t>
  </si>
  <si>
    <r>
      <t>η</t>
    </r>
    <r>
      <rPr>
        <vertAlign val="subscript"/>
        <sz val="11"/>
        <color theme="1"/>
        <rFont val="Calibri"/>
        <family val="2"/>
        <scheme val="minor"/>
      </rPr>
      <t>t</t>
    </r>
  </si>
  <si>
    <t>a (m/s)</t>
  </si>
  <si>
    <t>Ʌ</t>
  </si>
  <si>
    <t>φ</t>
  </si>
  <si>
    <t>Velocity Triangles</t>
  </si>
  <si>
    <t>W (m/s)^2</t>
  </si>
  <si>
    <t>U3</t>
  </si>
  <si>
    <t>air</t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</si>
  <si>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p </t>
    </r>
    <r>
      <rPr>
        <sz val="11"/>
        <color theme="1"/>
        <rFont val="Calibri"/>
        <family val="2"/>
        <scheme val="minor"/>
      </rPr>
      <t>(Pressure deg reaction)</t>
    </r>
  </si>
  <si>
    <t>Ψ (blade loading)</t>
  </si>
  <si>
    <r>
      <t>M</t>
    </r>
    <r>
      <rPr>
        <vertAlign val="subscript"/>
        <sz val="11"/>
        <color theme="1"/>
        <rFont val="Calibri"/>
        <family val="2"/>
        <scheme val="minor"/>
      </rPr>
      <t>1,ax</t>
    </r>
  </si>
  <si>
    <t>μ_ref</t>
  </si>
  <si>
    <t>Rotor Exit</t>
  </si>
  <si>
    <t>Rotor Inlet</t>
  </si>
  <si>
    <r>
      <t>r</t>
    </r>
    <r>
      <rPr>
        <sz val="8"/>
        <color theme="1"/>
        <rFont val="Calibri"/>
        <family val="2"/>
        <scheme val="minor"/>
      </rPr>
      <t>mean</t>
    </r>
    <r>
      <rPr>
        <sz val="11"/>
        <color theme="1"/>
        <rFont val="Calibri"/>
        <family val="2"/>
        <scheme val="minor"/>
      </rPr>
      <t xml:space="preserve">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</si>
  <si>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hub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</si>
  <si>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tip [m]</t>
    </r>
  </si>
  <si>
    <t>H2/H1</t>
  </si>
  <si>
    <t>H3/H2</t>
  </si>
  <si>
    <t>H1 [m]</t>
  </si>
  <si>
    <t>P02/P01</t>
  </si>
  <si>
    <t>Rotor</t>
  </si>
  <si>
    <t>P0_loss</t>
  </si>
  <si>
    <t>IGV</t>
  </si>
  <si>
    <t>IGV Inlet</t>
  </si>
  <si>
    <t>Vϴ (m/s)</t>
  </si>
  <si>
    <t>V2 (m/s)</t>
  </si>
  <si>
    <r>
      <t>P</t>
    </r>
    <r>
      <rPr>
        <sz val="11"/>
        <color theme="1"/>
        <rFont val="Calibri (Body)"/>
      </rPr>
      <t>02</t>
    </r>
    <r>
      <rPr>
        <sz val="11"/>
        <color theme="1"/>
        <rFont val="Calibri"/>
        <family val="2"/>
        <scheme val="minor"/>
      </rPr>
      <t xml:space="preserve"> (bar)</t>
    </r>
  </si>
  <si>
    <t>U2 (m/s)</t>
  </si>
  <si>
    <t>Wϴ (m/s)</t>
  </si>
  <si>
    <t>β (deg)</t>
  </si>
  <si>
    <t>T02 (K)</t>
  </si>
  <si>
    <t>P2 (bar) guess</t>
  </si>
  <si>
    <t>M2</t>
  </si>
  <si>
    <t>(𝛄-1)/𝛄</t>
  </si>
  <si>
    <t xml:space="preserve">T2 (K) </t>
  </si>
  <si>
    <t>(𝛄-1)</t>
  </si>
  <si>
    <t>V2m (m/s)</t>
  </si>
  <si>
    <t>W2 (m/s)</t>
  </si>
  <si>
    <t>rho (kg/m^3)</t>
  </si>
  <si>
    <t>massflow (kg/s)</t>
  </si>
  <si>
    <t>massflow(kg/s)</t>
  </si>
  <si>
    <t>U3 (m/s)</t>
  </si>
  <si>
    <t>T02R (K)</t>
  </si>
  <si>
    <t>T03R (K)</t>
  </si>
  <si>
    <t>P3 (bar) guess</t>
  </si>
  <si>
    <t>rho (kg/s)</t>
  </si>
  <si>
    <t>Exit Areas</t>
  </si>
  <si>
    <r>
      <t>P</t>
    </r>
    <r>
      <rPr>
        <sz val="11"/>
        <color theme="1"/>
        <rFont val="Calibri (Body)"/>
      </rPr>
      <t>03R</t>
    </r>
    <r>
      <rPr>
        <sz val="11"/>
        <color theme="1"/>
        <rFont val="Calibri"/>
        <family val="2"/>
        <scheme val="minor"/>
      </rPr>
      <t xml:space="preserve"> (bar)</t>
    </r>
  </si>
  <si>
    <t>P02R (bar)</t>
  </si>
  <si>
    <t>Δs IGV</t>
  </si>
  <si>
    <r>
      <t>V</t>
    </r>
    <r>
      <rPr>
        <vertAlign val="subscript"/>
        <sz val="11"/>
        <color rgb="FF000000"/>
        <rFont val="Calibri"/>
        <family val="2"/>
        <scheme val="minor"/>
      </rPr>
      <t>1m</t>
    </r>
    <r>
      <rPr>
        <sz val="11"/>
        <color rgb="FF000000"/>
        <rFont val="Calibri"/>
        <family val="2"/>
        <scheme val="minor"/>
      </rPr>
      <t xml:space="preserve"> (m/s)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</si>
  <si>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1</t>
    </r>
    <r>
      <rPr>
        <sz val="11"/>
        <color rgb="FF000000"/>
        <rFont val="Calibri"/>
        <family val="2"/>
        <scheme val="minor"/>
      </rPr>
      <t xml:space="preserve"> (K)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</si>
  <si>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(bar)</t>
    </r>
  </si>
  <si>
    <t>T3 (K)</t>
  </si>
  <si>
    <t>M3 rel</t>
  </si>
  <si>
    <t>Δs Rotor</t>
  </si>
  <si>
    <t>W3 (m/s)</t>
  </si>
  <si>
    <t>W3m (m/s)</t>
  </si>
  <si>
    <t>V3 (m/s)</t>
  </si>
  <si>
    <t>⍺3 (deg)</t>
  </si>
  <si>
    <t>T03(K)</t>
  </si>
  <si>
    <t>P03(bar)</t>
  </si>
  <si>
    <t>T04 (K)</t>
  </si>
  <si>
    <t>P04 (K)</t>
  </si>
  <si>
    <t>P4 (bar) guess</t>
  </si>
  <si>
    <t>M4</t>
  </si>
  <si>
    <t>T4 (K)</t>
  </si>
  <si>
    <t>Δs Stator</t>
  </si>
  <si>
    <t>V4 (m/s)</t>
  </si>
  <si>
    <t>V4m (m/s)</t>
  </si>
  <si>
    <t>U4 (m/s)</t>
  </si>
  <si>
    <t>Vθ (m/s)</t>
  </si>
  <si>
    <t>Wθ (m/s)</t>
  </si>
  <si>
    <t>W4 (m/s)</t>
  </si>
  <si>
    <t>β4 (m/s)</t>
  </si>
  <si>
    <t>P04/P01</t>
  </si>
  <si>
    <t>Power (kW)</t>
  </si>
  <si>
    <t>Massflow Balance</t>
  </si>
  <si>
    <t>T0/T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</si>
</sst>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 (Body)"/>
    </font>
    <font>
      <b/>
      <sz val="11"/>
      <color theme="5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5" fillId="3" borderId="1" applyNumberFormat="0" applyAlignment="0" applyProtection="0"/>
    <xf numFmtId="0" fontId="7" fillId="4" borderId="2" applyNumberFormat="0" applyAlignment="0" applyProtection="0"/>
    <xf numFmtId="0" fontId="8" fillId="5" borderId="0" applyNumberFormat="0" applyBorder="0" applyAlignment="0" applyProtection="0"/>
  </cellStyleXfs>
  <cellXfs count="38">
    <xf numFmtId="0" fontId="0" fillId="0" borderId="0" xfId="0"/>
    <xf numFmtId="164" fontId="4" fillId="0" borderId="0" xfId="1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4" fillId="0" borderId="0" xfId="1" applyFill="1" applyBorder="1" applyAlignment="1">
      <alignment horizontal="right"/>
    </xf>
    <xf numFmtId="166" fontId="0" fillId="0" borderId="0" xfId="0" applyNumberFormat="1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164" fontId="4" fillId="0" borderId="0" xfId="1" applyNumberFormat="1" applyFill="1" applyBorder="1" applyAlignment="1">
      <alignment horizontal="right"/>
    </xf>
    <xf numFmtId="2" fontId="5" fillId="0" borderId="0" xfId="2" applyNumberFormat="1" applyFill="1" applyBorder="1" applyAlignment="1">
      <alignment horizontal="right"/>
    </xf>
    <xf numFmtId="0" fontId="4" fillId="0" borderId="0" xfId="1" applyFill="1" applyBorder="1"/>
    <xf numFmtId="166" fontId="5" fillId="0" borderId="0" xfId="2" applyNumberFormat="1" applyFill="1" applyBorder="1" applyAlignment="1">
      <alignment horizontal="right"/>
    </xf>
    <xf numFmtId="1" fontId="0" fillId="0" borderId="0" xfId="0" applyNumberFormat="1" applyFill="1" applyBorder="1"/>
    <xf numFmtId="0" fontId="4" fillId="0" borderId="0" xfId="1" applyNumberFormat="1" applyFill="1" applyBorder="1"/>
    <xf numFmtId="0" fontId="5" fillId="0" borderId="0" xfId="2" applyNumberFormat="1" applyFill="1" applyBorder="1"/>
    <xf numFmtId="0" fontId="1" fillId="0" borderId="0" xfId="0" applyFont="1" applyFill="1" applyBorder="1" applyAlignment="1">
      <alignment vertical="center"/>
    </xf>
    <xf numFmtId="2" fontId="5" fillId="0" borderId="0" xfId="2" applyNumberFormat="1" applyFill="1" applyBorder="1"/>
    <xf numFmtId="2" fontId="7" fillId="0" borderId="0" xfId="3" applyNumberFormat="1" applyFill="1" applyBorder="1"/>
    <xf numFmtId="0" fontId="8" fillId="0" borderId="0" xfId="4" applyNumberFormat="1" applyFill="1" applyBorder="1"/>
    <xf numFmtId="2" fontId="4" fillId="0" borderId="0" xfId="1" applyNumberFormat="1" applyFill="1" applyBorder="1"/>
    <xf numFmtId="0" fontId="0" fillId="0" borderId="0" xfId="0" applyFill="1" applyBorder="1" applyAlignment="1">
      <alignment horizontal="right"/>
    </xf>
    <xf numFmtId="2" fontId="0" fillId="0" borderId="0" xfId="0" applyNumberFormat="1" applyFill="1" applyBorder="1" applyAlignment="1">
      <alignment horizontal="right"/>
    </xf>
    <xf numFmtId="164" fontId="5" fillId="0" borderId="0" xfId="2" applyNumberFormat="1" applyFill="1" applyBorder="1" applyAlignment="1">
      <alignment horizontal="right"/>
    </xf>
    <xf numFmtId="2" fontId="11" fillId="0" borderId="0" xfId="0" applyNumberFormat="1" applyFont="1" applyFill="1" applyBorder="1"/>
    <xf numFmtId="2" fontId="11" fillId="0" borderId="0" xfId="3" applyNumberFormat="1" applyFont="1" applyFill="1" applyBorder="1"/>
    <xf numFmtId="166" fontId="12" fillId="0" borderId="0" xfId="2" applyNumberFormat="1" applyFont="1" applyFill="1" applyBorder="1" applyAlignment="1">
      <alignment horizontal="left" vertical="top"/>
    </xf>
    <xf numFmtId="0" fontId="13" fillId="0" borderId="0" xfId="0" applyFont="1" applyFill="1" applyBorder="1"/>
    <xf numFmtId="0" fontId="13" fillId="0" borderId="0" xfId="0" applyFont="1" applyFill="1" applyBorder="1" applyAlignment="1">
      <alignment vertical="center"/>
    </xf>
    <xf numFmtId="166" fontId="11" fillId="0" borderId="0" xfId="2" applyNumberFormat="1" applyFont="1" applyFill="1" applyBorder="1" applyAlignment="1">
      <alignment horizontal="right"/>
    </xf>
    <xf numFmtId="166" fontId="11" fillId="0" borderId="0" xfId="0" applyNumberFormat="1" applyFont="1" applyFill="1" applyBorder="1"/>
    <xf numFmtId="164" fontId="12" fillId="0" borderId="0" xfId="2" applyNumberFormat="1" applyFont="1" applyFill="1" applyBorder="1" applyAlignment="1">
      <alignment horizontal="left"/>
    </xf>
    <xf numFmtId="1" fontId="11" fillId="0" borderId="0" xfId="0" applyNumberFormat="1" applyFont="1" applyFill="1" applyBorder="1"/>
    <xf numFmtId="164" fontId="11" fillId="0" borderId="0" xfId="2" applyNumberFormat="1" applyFont="1" applyFill="1" applyBorder="1" applyAlignment="1">
      <alignment horizontal="right"/>
    </xf>
    <xf numFmtId="2" fontId="11" fillId="0" borderId="0" xfId="2" applyNumberFormat="1" applyFont="1" applyFill="1" applyBorder="1" applyAlignment="1">
      <alignment horizontal="right"/>
    </xf>
    <xf numFmtId="2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/>
  </cellXfs>
  <cellStyles count="5">
    <cellStyle name="Calculation" xfId="2" builtinId="22"/>
    <cellStyle name="Check Cell" xfId="3" builtinId="23"/>
    <cellStyle name="Good" xfId="4" builtinId="26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3'!$U$4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3'!$V$4:$V$5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3'!$W$4:$W$5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4-4B26-8D5E-5C428F3DF9FB}"/>
            </c:ext>
          </c:extLst>
        </c:ser>
        <c:ser>
          <c:idx val="1"/>
          <c:order val="1"/>
          <c:tx>
            <c:strRef>
              <c:f>'Design Type 3'!$U$6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3'!$V$6:$V$7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3'!$W$6:$W$7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4-4B26-8D5E-5C428F3DF9FB}"/>
            </c:ext>
          </c:extLst>
        </c:ser>
        <c:ser>
          <c:idx val="2"/>
          <c:order val="2"/>
          <c:tx>
            <c:strRef>
              <c:f>'Design Type 3'!$U$8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3'!$V$8:$V$9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3'!$W$8:$W$9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4-4B26-8D5E-5C428F3DF9FB}"/>
            </c:ext>
          </c:extLst>
        </c:ser>
        <c:ser>
          <c:idx val="3"/>
          <c:order val="3"/>
          <c:tx>
            <c:strRef>
              <c:f>'Design Type 3'!$U$10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3'!$V$10:$V$11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3'!$W$10:$W$11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4-4B26-8D5E-5C428F3DF9FB}"/>
            </c:ext>
          </c:extLst>
        </c:ser>
        <c:ser>
          <c:idx val="4"/>
          <c:order val="4"/>
          <c:tx>
            <c:strRef>
              <c:f>'Design Type 3'!$U$12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3'!$V$12:$V$13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3'!$W$12:$W$13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34-4B26-8D5E-5C428F3DF9FB}"/>
            </c:ext>
          </c:extLst>
        </c:ser>
        <c:ser>
          <c:idx val="5"/>
          <c:order val="5"/>
          <c:tx>
            <c:strRef>
              <c:f>'Design Type 3'!$U$14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3'!$V$14:$V$15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'Design Type 3'!$W$14:$W$15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34-4B26-8D5E-5C428F3DF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500544"/>
        <c:axId val="905501104"/>
      </c:scatterChart>
      <c:valAx>
        <c:axId val="905500544"/>
        <c:scaling>
          <c:orientation val="minMax"/>
          <c:max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1104"/>
        <c:crosses val="autoZero"/>
        <c:crossBetween val="midCat"/>
      </c:valAx>
      <c:valAx>
        <c:axId val="905501104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390524</xdr:colOff>
      <xdr:row>15</xdr:row>
      <xdr:rowOff>76200</xdr:rowOff>
    </xdr:from>
    <xdr:to>
      <xdr:col>25</xdr:col>
      <xdr:colOff>552450</xdr:colOff>
      <xdr:row>33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Y53"/>
  <sheetViews>
    <sheetView tabSelected="1" topLeftCell="A16" zoomScale="150" zoomScaleNormal="150" workbookViewId="0">
      <selection activeCell="I37" sqref="I37"/>
    </sheetView>
  </sheetViews>
  <sheetFormatPr baseColWidth="10" defaultColWidth="8.83203125" defaultRowHeight="15" x14ac:dyDescent="0.2"/>
  <cols>
    <col min="1" max="1" width="18.33203125" style="2" bestFit="1" customWidth="1"/>
    <col min="2" max="2" width="7.5" style="2" customWidth="1"/>
    <col min="3" max="3" width="9.6640625" style="2" bestFit="1" customWidth="1"/>
    <col min="4" max="7" width="8.83203125" style="2"/>
    <col min="8" max="8" width="15" style="2" bestFit="1" customWidth="1"/>
    <col min="9" max="9" width="12.33203125" style="2" customWidth="1"/>
    <col min="10" max="10" width="4.5" style="2" customWidth="1"/>
    <col min="11" max="12" width="12.33203125" style="2" customWidth="1"/>
    <col min="13" max="13" width="8.83203125" style="2"/>
    <col min="14" max="14" width="16" style="2" customWidth="1"/>
    <col min="15" max="15" width="10.5" style="2" bestFit="1" customWidth="1"/>
    <col min="16" max="16" width="8.83203125" style="2"/>
    <col min="17" max="17" width="18.5" style="2" customWidth="1"/>
    <col min="18" max="18" width="10.33203125" style="2" customWidth="1"/>
    <col min="19" max="19" width="10" style="2" customWidth="1"/>
    <col min="20" max="20" width="13.33203125" style="2" bestFit="1" customWidth="1"/>
    <col min="21" max="16384" width="8.83203125" style="2"/>
  </cols>
  <sheetData>
    <row r="2" spans="1:25" x14ac:dyDescent="0.2">
      <c r="A2" s="2" t="s">
        <v>40</v>
      </c>
      <c r="B2" s="3">
        <f>AVERAGE(C7:C8)</f>
        <v>0.32499999999999996</v>
      </c>
      <c r="C2" s="3">
        <f>AVERAGE(D7:D8)</f>
        <v>0.32999999999999996</v>
      </c>
      <c r="D2" s="3">
        <f>AVERAGE(E7:E8)</f>
        <v>0.33050000000000002</v>
      </c>
      <c r="E2" s="3"/>
      <c r="F2" s="3"/>
      <c r="H2" s="28" t="s">
        <v>50</v>
      </c>
      <c r="N2" s="4"/>
      <c r="Q2" s="2" t="s">
        <v>6</v>
      </c>
      <c r="U2" s="2" t="s">
        <v>30</v>
      </c>
    </row>
    <row r="3" spans="1:25" ht="17" x14ac:dyDescent="0.2">
      <c r="A3" s="2" t="s">
        <v>45</v>
      </c>
      <c r="B3" s="2">
        <v>0.04</v>
      </c>
      <c r="H3" s="5" t="s">
        <v>23</v>
      </c>
      <c r="I3" s="6">
        <v>2</v>
      </c>
      <c r="J3" s="6"/>
      <c r="K3" s="6" t="s">
        <v>105</v>
      </c>
      <c r="L3" s="6">
        <f>(1+($B$22-1)/2*I5^2)</f>
        <v>1.008</v>
      </c>
      <c r="N3" s="4"/>
      <c r="O3" s="7"/>
      <c r="Q3" s="4" t="s">
        <v>26</v>
      </c>
      <c r="R3" s="3" t="e">
        <f>(I38-O38)/(I38-O37)</f>
        <v>#DIV/0!</v>
      </c>
      <c r="V3" s="2" t="s">
        <v>0</v>
      </c>
      <c r="W3" s="2" t="s">
        <v>1</v>
      </c>
    </row>
    <row r="4" spans="1:25" ht="17" x14ac:dyDescent="0.2">
      <c r="A4" s="2" t="s">
        <v>43</v>
      </c>
      <c r="B4" s="2">
        <v>1.159</v>
      </c>
      <c r="H4" s="4" t="s">
        <v>24</v>
      </c>
      <c r="I4" s="6">
        <v>280</v>
      </c>
      <c r="J4" s="6"/>
      <c r="K4" s="6"/>
      <c r="L4" s="6"/>
      <c r="N4" s="5"/>
      <c r="O4" s="7"/>
      <c r="Q4" s="5" t="s">
        <v>28</v>
      </c>
      <c r="R4" s="8" t="e">
        <f>(#REF!-O24)/(I7-O24)</f>
        <v>#REF!</v>
      </c>
      <c r="S4" s="9">
        <f>2*I36/I26*(TAN(RADIANS(D13))-TAN(RADIANS(D12)))</f>
        <v>0</v>
      </c>
      <c r="T4" s="8">
        <f>1-(1-(I27/I3)^((B22-1)/B22))/(1-(O25/I3)^((B22-1)/B22))</f>
        <v>0.98139164382313238</v>
      </c>
      <c r="U4" s="2" t="s">
        <v>9</v>
      </c>
      <c r="V4" s="8">
        <v>0</v>
      </c>
      <c r="W4" s="8">
        <f>I36</f>
        <v>0</v>
      </c>
    </row>
    <row r="5" spans="1:25" ht="17" x14ac:dyDescent="0.2">
      <c r="A5" s="2" t="s">
        <v>44</v>
      </c>
      <c r="B5" s="2">
        <v>1.3169999999999999</v>
      </c>
      <c r="H5" s="4" t="s">
        <v>36</v>
      </c>
      <c r="I5" s="10">
        <v>0.2</v>
      </c>
      <c r="J5" s="10"/>
      <c r="K5" s="10"/>
      <c r="L5" s="10"/>
      <c r="N5" s="5"/>
      <c r="O5" s="8"/>
      <c r="Q5" s="5" t="s">
        <v>29</v>
      </c>
      <c r="R5" s="3">
        <f>(I27-O25)/(I8-O25)</f>
        <v>0.96285326564923446</v>
      </c>
      <c r="V5" s="8">
        <f>O6</f>
        <v>0</v>
      </c>
      <c r="W5" s="8">
        <v>0</v>
      </c>
      <c r="X5" s="2" t="s">
        <v>12</v>
      </c>
      <c r="Y5" s="8">
        <f>V7-V5</f>
        <v>0</v>
      </c>
    </row>
    <row r="6" spans="1:25" ht="17" x14ac:dyDescent="0.2">
      <c r="A6" s="2" t="s">
        <v>13</v>
      </c>
      <c r="B6" s="2" t="s">
        <v>49</v>
      </c>
      <c r="C6" s="2" t="s">
        <v>47</v>
      </c>
      <c r="D6" s="2" t="s">
        <v>21</v>
      </c>
      <c r="E6" s="2" t="s">
        <v>25</v>
      </c>
      <c r="H6" s="5" t="s">
        <v>77</v>
      </c>
      <c r="I6" s="11">
        <f>I5*I9</f>
        <v>66.718467108689879</v>
      </c>
      <c r="J6" s="11"/>
      <c r="K6" s="11"/>
      <c r="L6" s="11"/>
      <c r="M6" s="8"/>
      <c r="N6" s="5"/>
      <c r="O6" s="8"/>
      <c r="Q6" s="5" t="s">
        <v>35</v>
      </c>
      <c r="R6" s="3">
        <f>B25*(I4-O38)/AVERAGE(I26,O17)^2</f>
        <v>3.0930420789095816</v>
      </c>
      <c r="U6" s="2" t="s">
        <v>3</v>
      </c>
      <c r="V6" s="2">
        <v>0</v>
      </c>
      <c r="W6" s="8">
        <f>W4</f>
        <v>0</v>
      </c>
    </row>
    <row r="7" spans="1:25" ht="17" x14ac:dyDescent="0.2">
      <c r="A7" s="5" t="s">
        <v>41</v>
      </c>
      <c r="B7" s="3">
        <f>C7</f>
        <v>0.3</v>
      </c>
      <c r="C7" s="1">
        <v>0.3</v>
      </c>
      <c r="D7" s="1">
        <v>0.31</v>
      </c>
      <c r="E7" s="1">
        <v>0.311</v>
      </c>
      <c r="F7" s="1"/>
      <c r="G7" s="12"/>
      <c r="H7" s="5" t="s">
        <v>78</v>
      </c>
      <c r="I7" s="13">
        <f>(1+(B22-1)/2*I5^2)^(-1)*I4</f>
        <v>277.77777777777777</v>
      </c>
      <c r="J7" s="13"/>
      <c r="K7" s="13"/>
      <c r="L7" s="13"/>
      <c r="N7" s="4"/>
      <c r="O7" s="8"/>
      <c r="Q7" s="5" t="s">
        <v>31</v>
      </c>
      <c r="R7" s="7">
        <f>B25*(I4-O38)</f>
        <v>281680</v>
      </c>
      <c r="V7" s="8">
        <f>O4</f>
        <v>0</v>
      </c>
      <c r="W7" s="2">
        <f t="shared" ref="W7:W11" si="0">W5</f>
        <v>0</v>
      </c>
    </row>
    <row r="8" spans="1:25" ht="17" x14ac:dyDescent="0.2">
      <c r="A8" s="5" t="s">
        <v>42</v>
      </c>
      <c r="B8" s="3">
        <f>C8</f>
        <v>0.35</v>
      </c>
      <c r="C8" s="1">
        <v>0.35</v>
      </c>
      <c r="D8" s="1">
        <v>0.35</v>
      </c>
      <c r="E8" s="1">
        <v>0.35</v>
      </c>
      <c r="F8" s="1"/>
      <c r="G8" s="12"/>
      <c r="H8" s="4" t="s">
        <v>79</v>
      </c>
      <c r="I8" s="24">
        <f>I3/L3^(1/B24)</f>
        <v>1.9449934059115532</v>
      </c>
      <c r="J8" s="13"/>
      <c r="K8" s="13"/>
      <c r="L8" s="13"/>
      <c r="O8" s="8"/>
      <c r="Q8" s="4" t="s">
        <v>34</v>
      </c>
      <c r="R8" s="7">
        <f>(I27-O25)/(I3-O25)</f>
        <v>0.93637162627408299</v>
      </c>
      <c r="U8" s="2" t="s">
        <v>4</v>
      </c>
      <c r="V8" s="2">
        <v>0</v>
      </c>
      <c r="W8" s="8">
        <f>O29</f>
        <v>0</v>
      </c>
      <c r="X8" s="2" t="s">
        <v>32</v>
      </c>
      <c r="Y8" s="8">
        <f>V11-V9</f>
        <v>0</v>
      </c>
    </row>
    <row r="9" spans="1:25" x14ac:dyDescent="0.2">
      <c r="A9" s="2" t="s">
        <v>73</v>
      </c>
      <c r="B9" s="3">
        <f>PI()*(B8^2-B7^2)</f>
        <v>0.10210176124166824</v>
      </c>
      <c r="C9" s="3">
        <f>PI()*(C8^2-C7^2)</f>
        <v>0.10210176124166824</v>
      </c>
      <c r="D9" s="3">
        <f>PI()*(D8^2-D7^2)</f>
        <v>8.2938046054770467E-2</v>
      </c>
      <c r="E9" s="3">
        <f>PI()*(E8^2-E7^2)</f>
        <v>8.0987117016891222E-2</v>
      </c>
      <c r="F9" s="1"/>
      <c r="H9" s="4" t="s">
        <v>27</v>
      </c>
      <c r="I9" s="13">
        <f>SQRT(B22*B21*I7)</f>
        <v>333.59233554344939</v>
      </c>
      <c r="J9" s="13"/>
      <c r="K9" s="13"/>
      <c r="L9" s="13"/>
      <c r="N9" s="4"/>
      <c r="O9" s="14"/>
      <c r="V9" s="8">
        <f>O31</f>
        <v>0</v>
      </c>
      <c r="W9" s="2">
        <f t="shared" si="0"/>
        <v>0</v>
      </c>
    </row>
    <row r="10" spans="1:25" x14ac:dyDescent="0.2">
      <c r="E10" s="1"/>
      <c r="F10" s="1"/>
      <c r="H10" s="4" t="s">
        <v>72</v>
      </c>
      <c r="I10" s="13">
        <f>I8*100000/(B21*I7)</f>
        <v>2.4468877182047448</v>
      </c>
      <c r="J10" s="13"/>
      <c r="K10" s="13"/>
      <c r="L10" s="13"/>
      <c r="N10" s="4"/>
      <c r="U10" s="2" t="s">
        <v>10</v>
      </c>
      <c r="V10" s="2">
        <v>0</v>
      </c>
      <c r="W10" s="2">
        <f t="shared" si="0"/>
        <v>0</v>
      </c>
    </row>
    <row r="11" spans="1:25" x14ac:dyDescent="0.2">
      <c r="A11" s="5"/>
      <c r="B11" s="3" t="s">
        <v>49</v>
      </c>
      <c r="C11" s="1" t="s">
        <v>47</v>
      </c>
      <c r="D11" s="1" t="s">
        <v>15</v>
      </c>
      <c r="E11" s="1"/>
      <c r="F11" s="1"/>
      <c r="H11" s="4" t="s">
        <v>66</v>
      </c>
      <c r="I11" s="13">
        <f>I10*I6*B9</f>
        <v>16.668377757113618</v>
      </c>
      <c r="J11" s="13"/>
      <c r="K11" s="13"/>
      <c r="L11" s="13"/>
      <c r="V11" s="8">
        <f>O30</f>
        <v>0</v>
      </c>
      <c r="W11" s="2">
        <f t="shared" si="0"/>
        <v>0</v>
      </c>
    </row>
    <row r="12" spans="1:25" x14ac:dyDescent="0.2">
      <c r="A12" s="2" t="s">
        <v>14</v>
      </c>
      <c r="B12" s="2">
        <v>0</v>
      </c>
      <c r="C12" s="15">
        <v>50</v>
      </c>
      <c r="D12" s="16">
        <v>50</v>
      </c>
      <c r="U12" s="2" t="s">
        <v>11</v>
      </c>
      <c r="V12" s="8">
        <f>V5</f>
        <v>0</v>
      </c>
      <c r="W12" s="2">
        <v>0</v>
      </c>
    </row>
    <row r="13" spans="1:25" x14ac:dyDescent="0.2">
      <c r="A13" s="2" t="s">
        <v>16</v>
      </c>
      <c r="B13" s="2">
        <v>30</v>
      </c>
      <c r="C13" s="15">
        <v>-20</v>
      </c>
      <c r="D13" s="15">
        <v>20</v>
      </c>
      <c r="H13" s="29" t="s">
        <v>39</v>
      </c>
      <c r="I13" s="13"/>
      <c r="J13" s="13"/>
      <c r="K13" s="13"/>
      <c r="L13" s="13"/>
      <c r="V13" s="8">
        <f>V7</f>
        <v>0</v>
      </c>
      <c r="W13" s="2">
        <v>0</v>
      </c>
    </row>
    <row r="14" spans="1:25" x14ac:dyDescent="0.2">
      <c r="A14" s="4" t="s">
        <v>48</v>
      </c>
      <c r="B14" s="12">
        <v>0.1</v>
      </c>
      <c r="C14" s="12">
        <v>0.1</v>
      </c>
      <c r="D14" s="2">
        <v>0.1</v>
      </c>
      <c r="H14" s="4" t="s">
        <v>57</v>
      </c>
      <c r="I14" s="13">
        <f>I4</f>
        <v>280</v>
      </c>
      <c r="J14" s="13"/>
      <c r="K14" s="4" t="s">
        <v>27</v>
      </c>
      <c r="L14" s="11">
        <f>SQRT($B$22*$B$21*I18)</f>
        <v>332.83652929057115</v>
      </c>
      <c r="N14" s="5"/>
      <c r="O14" s="3"/>
      <c r="U14" s="2" t="s">
        <v>12</v>
      </c>
      <c r="V14" s="8">
        <f>V11</f>
        <v>0</v>
      </c>
      <c r="W14" s="2">
        <f>W12</f>
        <v>0</v>
      </c>
    </row>
    <row r="15" spans="1:25" x14ac:dyDescent="0.2">
      <c r="A15" s="2" t="s">
        <v>2</v>
      </c>
      <c r="B15" s="12"/>
      <c r="C15" s="12">
        <v>7500</v>
      </c>
      <c r="H15" s="4" t="s">
        <v>58</v>
      </c>
      <c r="I15" s="24">
        <v>1.9089796789336668</v>
      </c>
      <c r="J15" s="13"/>
      <c r="K15" s="5" t="s">
        <v>52</v>
      </c>
      <c r="L15" s="18">
        <f>L14*I17</f>
        <v>83.48538416413848</v>
      </c>
      <c r="N15" s="4"/>
      <c r="V15" s="8">
        <f>V9</f>
        <v>0</v>
      </c>
      <c r="W15" s="2">
        <f>W13</f>
        <v>0</v>
      </c>
    </row>
    <row r="16" spans="1:25" ht="16" x14ac:dyDescent="0.2">
      <c r="A16" s="17" t="s">
        <v>22</v>
      </c>
      <c r="C16" s="18">
        <f>C15*PI()/30</f>
        <v>785.39816339744834</v>
      </c>
      <c r="H16" s="4" t="s">
        <v>53</v>
      </c>
      <c r="I16" s="11">
        <f>I3-B9*(I3-I8)</f>
        <v>1.994383729863664</v>
      </c>
      <c r="J16" s="11"/>
      <c r="K16" s="2" t="s">
        <v>63</v>
      </c>
      <c r="L16" s="25">
        <f>L15*COS(RADIANS(B13))</f>
        <v>72.300463530847011</v>
      </c>
      <c r="O16" s="19"/>
    </row>
    <row r="17" spans="1:15" x14ac:dyDescent="0.2">
      <c r="H17" s="4" t="s">
        <v>59</v>
      </c>
      <c r="I17" s="11">
        <f>SQRT(((I16/I15)^$B$24-1)*2/$B$23)</f>
        <v>0.25082999255545813</v>
      </c>
      <c r="J17" s="11"/>
      <c r="K17" s="4" t="s">
        <v>54</v>
      </c>
      <c r="L17" s="13">
        <f>C16*B2</f>
        <v>255.25440310417068</v>
      </c>
      <c r="N17" s="5"/>
      <c r="O17" s="8"/>
    </row>
    <row r="18" spans="1:15" x14ac:dyDescent="0.2">
      <c r="A18" s="5" t="s">
        <v>46</v>
      </c>
      <c r="B18" s="20">
        <v>1.2</v>
      </c>
      <c r="H18" s="4" t="s">
        <v>61</v>
      </c>
      <c r="I18" s="11">
        <f>I14/(1+B23/2*I17^2)</f>
        <v>276.52050459818616</v>
      </c>
      <c r="J18" s="11"/>
      <c r="K18" s="4" t="s">
        <v>51</v>
      </c>
      <c r="L18" s="13">
        <f>SIN(RADIANS($B$13))*L15</f>
        <v>41.742692082069233</v>
      </c>
      <c r="N18" s="5"/>
      <c r="O18" s="14"/>
    </row>
    <row r="19" spans="1:15" x14ac:dyDescent="0.2">
      <c r="A19" s="2" t="s">
        <v>5</v>
      </c>
      <c r="B19" s="2">
        <v>0.5</v>
      </c>
      <c r="H19" s="4" t="s">
        <v>65</v>
      </c>
      <c r="I19" s="11">
        <f>I15*100000/($B$21*I18)</f>
        <v>2.4125002758424747</v>
      </c>
      <c r="J19" s="11"/>
      <c r="K19" s="5" t="s">
        <v>55</v>
      </c>
      <c r="L19" s="18">
        <f>L18-L17</f>
        <v>-213.51171102210145</v>
      </c>
      <c r="N19" s="4"/>
      <c r="O19" s="14"/>
    </row>
    <row r="20" spans="1:15" x14ac:dyDescent="0.2">
      <c r="A20" s="2" t="s">
        <v>17</v>
      </c>
      <c r="J20" s="11"/>
      <c r="K20" s="2" t="s">
        <v>64</v>
      </c>
      <c r="L20" s="25">
        <f>SQRT(L19^2+L16^2)</f>
        <v>225.42095681271672</v>
      </c>
      <c r="N20" s="4"/>
      <c r="O20" s="8"/>
    </row>
    <row r="21" spans="1:15" x14ac:dyDescent="0.2">
      <c r="A21" s="2" t="s">
        <v>19</v>
      </c>
      <c r="B21" s="21">
        <f>286.158462</f>
        <v>286.15846199999999</v>
      </c>
      <c r="H21" s="4" t="s">
        <v>76</v>
      </c>
      <c r="I21" s="8">
        <f>$B$25*LN(I18/I7)-$B$21*LN(I15/I8)</f>
        <v>0.78453570606498246</v>
      </c>
      <c r="J21" s="18"/>
      <c r="K21" s="5" t="s">
        <v>56</v>
      </c>
      <c r="L21" s="18">
        <f>DEGREES(ASIN(L19/L20))</f>
        <v>-71.292600039146322</v>
      </c>
      <c r="N21" s="4"/>
      <c r="O21" s="8"/>
    </row>
    <row r="22" spans="1:15" x14ac:dyDescent="0.2">
      <c r="A22" s="4" t="s">
        <v>18</v>
      </c>
      <c r="B22" s="12">
        <v>1.4</v>
      </c>
      <c r="J22" s="13"/>
      <c r="K22" s="2" t="s">
        <v>67</v>
      </c>
      <c r="L22" s="26">
        <f>I19*B9*L16</f>
        <v>17.809088290796403</v>
      </c>
      <c r="N22" s="4"/>
      <c r="O22" s="8"/>
    </row>
    <row r="23" spans="1:15" x14ac:dyDescent="0.2">
      <c r="A23" s="4" t="s">
        <v>62</v>
      </c>
      <c r="B23" s="12">
        <f>B22-1</f>
        <v>0.39999999999999991</v>
      </c>
      <c r="J23" s="13"/>
      <c r="K23" s="27" t="s">
        <v>69</v>
      </c>
      <c r="L23" s="13">
        <f>I18+L20^2/(2*$B$25)</f>
        <v>301.77627386774913</v>
      </c>
      <c r="N23" s="5"/>
      <c r="O23" s="14"/>
    </row>
    <row r="24" spans="1:15" x14ac:dyDescent="0.2">
      <c r="A24" s="4" t="s">
        <v>60</v>
      </c>
      <c r="B24" s="12">
        <f>(B22-1)/B22</f>
        <v>0.28571428571428564</v>
      </c>
      <c r="K24" s="2" t="s">
        <v>75</v>
      </c>
      <c r="L24" s="11">
        <f>I15*(L23/I18)^$B$24</f>
        <v>1.957250339699252</v>
      </c>
      <c r="N24" s="5"/>
      <c r="O24" s="14"/>
    </row>
    <row r="25" spans="1:15" x14ac:dyDescent="0.2">
      <c r="A25" s="2" t="s">
        <v>20</v>
      </c>
      <c r="B25" s="7">
        <v>1006</v>
      </c>
      <c r="H25" s="28" t="s">
        <v>38</v>
      </c>
      <c r="I25" s="22"/>
      <c r="J25" s="22"/>
      <c r="K25" s="22"/>
      <c r="L25" s="22"/>
      <c r="N25" s="5"/>
      <c r="O25" s="8"/>
    </row>
    <row r="26" spans="1:15" x14ac:dyDescent="0.2">
      <c r="A26" s="2" t="s">
        <v>7</v>
      </c>
      <c r="B26" s="2" t="s">
        <v>33</v>
      </c>
      <c r="H26" s="5" t="s">
        <v>70</v>
      </c>
      <c r="I26" s="36">
        <f>L23</f>
        <v>301.77627386774913</v>
      </c>
      <c r="J26" s="23"/>
      <c r="K26" s="4" t="s">
        <v>27</v>
      </c>
      <c r="L26" s="11">
        <f>SQRT($B$22*$B$21*I30)</f>
        <v>345.64060389676172</v>
      </c>
      <c r="N26" s="5"/>
      <c r="O26" s="14"/>
    </row>
    <row r="27" spans="1:15" x14ac:dyDescent="0.2">
      <c r="B27" s="2" t="s">
        <v>8</v>
      </c>
      <c r="H27" s="4" t="s">
        <v>71</v>
      </c>
      <c r="I27" s="37">
        <v>1.872743252548166</v>
      </c>
      <c r="J27" s="8"/>
      <c r="K27" s="8" t="s">
        <v>83</v>
      </c>
      <c r="L27" s="25">
        <f>I29*L26</f>
        <v>84.579580727326672</v>
      </c>
      <c r="N27" s="5"/>
      <c r="O27" s="14"/>
    </row>
    <row r="28" spans="1:15" x14ac:dyDescent="0.2">
      <c r="A28" s="4" t="s">
        <v>37</v>
      </c>
      <c r="B28" s="8">
        <v>1.2250000000000001</v>
      </c>
      <c r="H28" s="4" t="s">
        <v>74</v>
      </c>
      <c r="I28" s="35">
        <f>L24-$C$14*(L24-I15)</f>
        <v>1.9524232736226934</v>
      </c>
      <c r="J28" s="7"/>
      <c r="K28" s="7" t="s">
        <v>84</v>
      </c>
      <c r="L28" s="25">
        <f>L27*COS(RADIANS(C13))</f>
        <v>79.47880787863491</v>
      </c>
      <c r="N28" s="5"/>
      <c r="O28" s="8"/>
    </row>
    <row r="29" spans="1:15" x14ac:dyDescent="0.2">
      <c r="H29" s="5" t="s">
        <v>81</v>
      </c>
      <c r="I29" s="35">
        <f>SQRT(2/$B$23*(I26/I30-1))</f>
        <v>0.24470383332795434</v>
      </c>
      <c r="J29" s="7"/>
      <c r="K29" s="4" t="s">
        <v>68</v>
      </c>
      <c r="L29" s="30">
        <f>C16*$C$2</f>
        <v>259.18139392115791</v>
      </c>
      <c r="N29" s="5"/>
      <c r="O29" s="8"/>
    </row>
    <row r="30" spans="1:15" x14ac:dyDescent="0.2">
      <c r="H30" s="5" t="s">
        <v>80</v>
      </c>
      <c r="I30" s="31">
        <f>I26*(I27/I28)^$B$24</f>
        <v>298.20497313457582</v>
      </c>
      <c r="J30" s="7"/>
      <c r="K30" s="7" t="s">
        <v>55</v>
      </c>
      <c r="L30" s="31">
        <f>SIN(RADIANS($C$13))*L27</f>
        <v>-28.927920322785237</v>
      </c>
      <c r="N30" s="5"/>
      <c r="O30" s="8"/>
    </row>
    <row r="31" spans="1:15" x14ac:dyDescent="0.2">
      <c r="H31" s="4" t="s">
        <v>65</v>
      </c>
      <c r="I31" s="35">
        <f>I27*100000/($B$21*I30)</f>
        <v>2.1946070305876626</v>
      </c>
      <c r="J31" s="7"/>
      <c r="K31" s="7" t="s">
        <v>51</v>
      </c>
      <c r="L31" s="31">
        <f>L29+L30</f>
        <v>230.25347359837266</v>
      </c>
      <c r="N31" s="5"/>
      <c r="O31" s="8"/>
    </row>
    <row r="32" spans="1:15" x14ac:dyDescent="0.2">
      <c r="H32" s="4"/>
      <c r="I32" s="7"/>
      <c r="J32" s="7"/>
      <c r="K32" s="7" t="s">
        <v>85</v>
      </c>
      <c r="L32" s="25">
        <f>SQRT(L31^2+L28^2)</f>
        <v>243.58477580900959</v>
      </c>
      <c r="N32" s="5"/>
      <c r="O32" s="8"/>
    </row>
    <row r="33" spans="8:15" x14ac:dyDescent="0.2">
      <c r="H33" s="4" t="s">
        <v>82</v>
      </c>
      <c r="I33" s="8">
        <f>$B$25*LN(I30/I18)-$B$21*LN(I27/I15)</f>
        <v>81.433182240284751</v>
      </c>
      <c r="J33" s="8"/>
      <c r="K33" s="8" t="s">
        <v>86</v>
      </c>
      <c r="L33" s="18">
        <f>DEGREES(ASIN(L31/L32))</f>
        <v>70.956369035711134</v>
      </c>
      <c r="N33" s="5"/>
      <c r="O33" s="8"/>
    </row>
    <row r="34" spans="8:15" x14ac:dyDescent="0.2">
      <c r="H34" s="4"/>
      <c r="I34" s="3"/>
      <c r="J34" s="7"/>
      <c r="K34" s="2" t="s">
        <v>67</v>
      </c>
      <c r="L34" s="26">
        <f>I31*C9*L28</f>
        <v>17.809074235618152</v>
      </c>
      <c r="N34" s="5"/>
      <c r="O34" s="8"/>
    </row>
    <row r="35" spans="8:15" x14ac:dyDescent="0.2">
      <c r="I35" s="19"/>
      <c r="J35" s="3"/>
      <c r="K35" s="27" t="s">
        <v>87</v>
      </c>
      <c r="L35" s="13">
        <f>I30+L32^2/(2*B25)</f>
        <v>327.69480564249108</v>
      </c>
      <c r="N35" s="5"/>
      <c r="O35" s="8"/>
    </row>
    <row r="36" spans="8:15" x14ac:dyDescent="0.2">
      <c r="H36" s="5"/>
      <c r="I36" s="8"/>
      <c r="J36" s="19"/>
      <c r="K36" s="2" t="s">
        <v>88</v>
      </c>
      <c r="L36" s="11">
        <f>I27*(L35/I30)^$B$24</f>
        <v>1.9238870743898362</v>
      </c>
      <c r="N36" s="5"/>
      <c r="O36" s="8"/>
    </row>
    <row r="37" spans="8:15" x14ac:dyDescent="0.2">
      <c r="H37" s="4"/>
      <c r="I37" s="8"/>
      <c r="J37" s="8"/>
      <c r="K37" s="8"/>
      <c r="L37" s="8"/>
      <c r="N37" s="5"/>
      <c r="O37" s="8"/>
    </row>
    <row r="38" spans="8:15" x14ac:dyDescent="0.2">
      <c r="H38" s="29" t="s">
        <v>25</v>
      </c>
      <c r="I38" s="14"/>
      <c r="J38" s="8"/>
      <c r="K38" s="8"/>
      <c r="L38" s="8"/>
      <c r="N38" s="5"/>
      <c r="O38" s="8"/>
    </row>
    <row r="39" spans="8:15" x14ac:dyDescent="0.2">
      <c r="H39" s="5" t="s">
        <v>89</v>
      </c>
      <c r="I39" s="33">
        <f>L35</f>
        <v>327.69480564249108</v>
      </c>
      <c r="J39" s="14"/>
      <c r="K39" s="14" t="s">
        <v>27</v>
      </c>
      <c r="L39" s="13">
        <f>SQRT($B$22*$B$21*I43)</f>
        <v>358.26460325064596</v>
      </c>
      <c r="N39" s="5"/>
      <c r="O39" s="8"/>
    </row>
    <row r="40" spans="8:15" x14ac:dyDescent="0.2">
      <c r="H40" s="2" t="s">
        <v>91</v>
      </c>
      <c r="I40" s="34">
        <v>1.7731120865140699</v>
      </c>
      <c r="J40" s="3"/>
      <c r="K40" s="3" t="s">
        <v>95</v>
      </c>
      <c r="L40" s="31">
        <f>I42*L39</f>
        <v>120.99942729036103</v>
      </c>
      <c r="N40" s="5"/>
      <c r="O40" s="3"/>
    </row>
    <row r="41" spans="8:15" x14ac:dyDescent="0.2">
      <c r="H41" s="4" t="s">
        <v>90</v>
      </c>
      <c r="I41" s="34">
        <f>L36-$C$14*(L36-I27)</f>
        <v>1.9187726922056692</v>
      </c>
      <c r="J41" s="24"/>
      <c r="K41" s="32" t="s">
        <v>96</v>
      </c>
      <c r="L41" s="13">
        <f>L40*COS(RADIANS(D13))</f>
        <v>113.70226894407332</v>
      </c>
    </row>
    <row r="42" spans="8:15" x14ac:dyDescent="0.2">
      <c r="H42" s="4" t="s">
        <v>92</v>
      </c>
      <c r="I42" s="35">
        <f>SQRT(2/$B$23*(I39/I43-1))</f>
        <v>0.33773760006569353</v>
      </c>
      <c r="K42" s="2" t="s">
        <v>97</v>
      </c>
      <c r="L42" s="30">
        <f>C2*$C$16</f>
        <v>259.18139392115791</v>
      </c>
    </row>
    <row r="43" spans="8:15" x14ac:dyDescent="0.2">
      <c r="H43" s="4" t="s">
        <v>93</v>
      </c>
      <c r="I43" s="31">
        <f>I39*(I40/I41)^B24</f>
        <v>320.38573774140656</v>
      </c>
      <c r="J43" s="8"/>
      <c r="K43" s="8" t="s">
        <v>98</v>
      </c>
      <c r="L43" s="8">
        <f>L40*SIN(RADIANS($D$13))</f>
        <v>41.384241464173108</v>
      </c>
    </row>
    <row r="44" spans="8:15" x14ac:dyDescent="0.2">
      <c r="H44" s="4" t="s">
        <v>65</v>
      </c>
      <c r="I44" s="35">
        <f>I40*100000/($B$21*I43)</f>
        <v>1.9339997891719696</v>
      </c>
      <c r="K44" s="2" t="s">
        <v>99</v>
      </c>
      <c r="L44" s="8">
        <f>L43-L42</f>
        <v>-217.7971524569848</v>
      </c>
    </row>
    <row r="45" spans="8:15" x14ac:dyDescent="0.2">
      <c r="K45" s="2" t="s">
        <v>100</v>
      </c>
      <c r="L45" s="8">
        <f>SQRT(L44^2+L41^2)</f>
        <v>245.69046701368262</v>
      </c>
    </row>
    <row r="46" spans="8:15" x14ac:dyDescent="0.2">
      <c r="H46" s="4" t="s">
        <v>94</v>
      </c>
      <c r="I46" s="8">
        <f>$B$25*LN(I43/I30)-$B$21*LN(I40/I27)</f>
        <v>87.818825832594996</v>
      </c>
      <c r="K46" s="2" t="s">
        <v>101</v>
      </c>
      <c r="L46" s="8">
        <f>DEGREES(ASIN(L44/L45))</f>
        <v>-62.432928160866602</v>
      </c>
    </row>
    <row r="47" spans="8:15" x14ac:dyDescent="0.2">
      <c r="K47" s="2" t="s">
        <v>66</v>
      </c>
      <c r="L47" s="8">
        <f>I44*E9*L41</f>
        <v>17.809080327362633</v>
      </c>
    </row>
    <row r="51" spans="8:9" x14ac:dyDescent="0.2">
      <c r="H51" s="2" t="s">
        <v>102</v>
      </c>
      <c r="I51" s="3">
        <f>I41/I3</f>
        <v>0.95938634610283458</v>
      </c>
    </row>
    <row r="52" spans="8:9" x14ac:dyDescent="0.2">
      <c r="H52" s="2" t="s">
        <v>103</v>
      </c>
      <c r="I52" s="14">
        <f>$B$25*(I4-I39)/1000</f>
        <v>-47.980974476346027</v>
      </c>
    </row>
    <row r="53" spans="8:9" x14ac:dyDescent="0.2">
      <c r="H53" s="2" t="s">
        <v>104</v>
      </c>
      <c r="I53" s="7">
        <f>2*STDEV(L47,L34,L22)</f>
        <v>1.4096658325491428E-5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 Type 3</vt:lpstr>
    </vt:vector>
  </TitlesOfParts>
  <Company>Engineering Computer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Juangphanich, Paht</dc:creator>
  <cp:lastModifiedBy>Juangphanich, Paht (GRC-LTE0)</cp:lastModifiedBy>
  <dcterms:created xsi:type="dcterms:W3CDTF">2015-06-11T18:26:47Z</dcterms:created>
  <dcterms:modified xsi:type="dcterms:W3CDTF">2025-11-28T18:14:36Z</dcterms:modified>
</cp:coreProperties>
</file>