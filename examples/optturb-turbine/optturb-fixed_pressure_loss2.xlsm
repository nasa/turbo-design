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TD3\examples\optturb-turbine\"/>
    </mc:Choice>
  </mc:AlternateContent>
  <xr:revisionPtr revIDLastSave="0" documentId="13_ncr:1_{68569FC4-0239-4E6A-863F-C52B4463FF96}" xr6:coauthVersionLast="47" xr6:coauthVersionMax="47" xr10:uidLastSave="{00000000-0000-0000-0000-000000000000}"/>
  <bookViews>
    <workbookView xWindow="-105" yWindow="0" windowWidth="26010" windowHeight="20985" xr2:uid="{00000000-000D-0000-FFFF-FFFF00000000}"/>
  </bookViews>
  <sheets>
    <sheet name="Design Type 3" sheetId="9" r:id="rId1"/>
  </sheets>
  <definedNames>
    <definedName name="solver_adj" localSheetId="0" hidden="1">'Design Type 3'!$B$14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0" localSheetId="0" hidden="1">'Design Type 3'!$G$5</definedName>
    <definedName name="solver_lhs1" localSheetId="0" hidden="1">'Design Type 3'!$B$14</definedName>
    <definedName name="solver_lhs2" localSheetId="0" hidden="1">'Design Type 3'!$D$7</definedName>
    <definedName name="solver_lhs3" localSheetId="0" hidden="1">'Design Type 3'!$D$7</definedName>
    <definedName name="solver_lhs4" localSheetId="0" hidden="1">'Design Type 3'!$D$7</definedName>
    <definedName name="solver_lhs5" localSheetId="0" hidden="1">'Design Type 3'!$D$7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'Design Type 3'!$G$31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hs0" localSheetId="0" hidden="1">0.3</definedName>
    <definedName name="solver_rhs1" localSheetId="0" hidden="1">1</definedName>
    <definedName name="solver_rhs2" localSheetId="0" hidden="1">'Design Type 3'!$D$8</definedName>
    <definedName name="solver_rhs3" localSheetId="0" hidden="1">'Design Type 3'!$D$8</definedName>
    <definedName name="solver_rhs4" localSheetId="0" hidden="1">'Design Type 3'!$D$8</definedName>
    <definedName name="solver_rhs5" localSheetId="0" hidden="1">'Design Type 3'!$D$8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9" l="1"/>
  <c r="G16" i="9"/>
  <c r="G15" i="9"/>
  <c r="D8" i="9"/>
  <c r="B22" i="9"/>
  <c r="G27" i="9"/>
  <c r="D7" i="9"/>
  <c r="C7" i="9"/>
  <c r="C8" i="9"/>
  <c r="B8" i="9"/>
  <c r="B7" i="9"/>
  <c r="J25" i="9"/>
  <c r="J15" i="9" l="1"/>
  <c r="J17" i="9" s="1"/>
  <c r="C13" i="9"/>
  <c r="G14" i="9" s="1"/>
  <c r="G7" i="9"/>
  <c r="G9" i="9" s="1"/>
  <c r="R15" i="9"/>
  <c r="B18" i="9"/>
  <c r="R14" i="9"/>
  <c r="B17" i="9"/>
  <c r="G11" i="9" s="1"/>
  <c r="G8" i="9"/>
  <c r="R7" i="9"/>
  <c r="R9" i="9" s="1"/>
  <c r="R11" i="9" s="1"/>
  <c r="G6" i="9" l="1"/>
  <c r="G10" i="9" s="1"/>
  <c r="B19" i="9"/>
  <c r="J3" i="9"/>
  <c r="O4" i="9" l="1"/>
  <c r="M5" i="9"/>
  <c r="M8" i="9"/>
  <c r="G17" i="9"/>
  <c r="G18" i="9" s="1"/>
  <c r="G25" i="9" l="1"/>
  <c r="J4" i="9"/>
  <c r="Q7" i="9" s="1"/>
  <c r="G19" i="9"/>
  <c r="G21" i="9" l="1"/>
  <c r="G24" i="9" s="1"/>
  <c r="R4" i="9"/>
  <c r="R6" i="9" s="1"/>
  <c r="J6" i="9"/>
  <c r="Q5" i="9" s="1"/>
  <c r="Q13" i="9"/>
  <c r="G29" i="9"/>
  <c r="G20" i="9"/>
  <c r="G22" i="9"/>
  <c r="G23" i="9" s="1"/>
  <c r="G26" i="9" s="1"/>
  <c r="G28" i="9" l="1"/>
  <c r="Q12" i="9"/>
  <c r="J5" i="9"/>
  <c r="J8" i="9" l="1"/>
  <c r="C9" i="9"/>
  <c r="N4" i="9" s="1"/>
  <c r="T5" i="9"/>
  <c r="J7" i="9" l="1"/>
  <c r="J20" i="9" s="1"/>
  <c r="J19" i="9"/>
  <c r="J9" i="9"/>
  <c r="J23" i="9"/>
  <c r="J18" i="9" l="1"/>
  <c r="J26" i="9"/>
  <c r="J27" i="9" s="1"/>
  <c r="J33" i="9"/>
  <c r="J28" i="9" l="1"/>
  <c r="J39" i="9" l="1"/>
  <c r="J30" i="9"/>
  <c r="J24" i="9"/>
  <c r="R8" i="9"/>
  <c r="R10" i="9" s="1"/>
  <c r="J34" i="9" l="1"/>
  <c r="Q11" i="9"/>
  <c r="J31" i="9"/>
  <c r="J32" i="9" s="1"/>
  <c r="J35" i="9" s="1"/>
  <c r="J22" i="9" s="1"/>
  <c r="J37" i="9" s="1"/>
  <c r="J14" i="9"/>
  <c r="M4" i="9"/>
  <c r="J36" i="9"/>
  <c r="Q9" i="9"/>
  <c r="Q15" i="9" s="1"/>
  <c r="Q14" i="9"/>
  <c r="J38" i="9" l="1"/>
  <c r="M3" i="9" s="1"/>
  <c r="M7" i="9"/>
  <c r="J21" i="9"/>
  <c r="J16" i="9"/>
  <c r="G31" i="9" s="1"/>
  <c r="T8" i="9"/>
  <c r="J40" i="9" l="1"/>
  <c r="M6" i="9"/>
</calcChain>
</file>

<file path=xl/sharedStrings.xml><?xml version="1.0" encoding="utf-8"?>
<sst xmlns="http://schemas.openxmlformats.org/spreadsheetml/2006/main" count="114" uniqueCount="110">
  <si>
    <t>x</t>
  </si>
  <si>
    <t>y</t>
  </si>
  <si>
    <t>rpm</t>
  </si>
  <si>
    <t>V2</t>
  </si>
  <si>
    <t>V3</t>
  </si>
  <si>
    <t>% Span</t>
  </si>
  <si>
    <t>Performance</t>
  </si>
  <si>
    <t>Fluid</t>
  </si>
  <si>
    <t>mks</t>
  </si>
  <si>
    <t>W2</t>
  </si>
  <si>
    <t>W3</t>
  </si>
  <si>
    <t>U1</t>
  </si>
  <si>
    <t>U2</t>
  </si>
  <si>
    <t xml:space="preserve">Design Parameters </t>
  </si>
  <si>
    <t>Inlet Angle (deg)</t>
  </si>
  <si>
    <t>Stator</t>
  </si>
  <si>
    <t>Exit Angle (deg)</t>
  </si>
  <si>
    <t>Gas Properties</t>
  </si>
  <si>
    <t>γ</t>
  </si>
  <si>
    <t>R (J/(kg K))</t>
  </si>
  <si>
    <t>Cp (J/(kgK))</t>
  </si>
  <si>
    <t>mdot (kg/s)</t>
  </si>
  <si>
    <t>μ</t>
  </si>
  <si>
    <t>Stator Inlet</t>
  </si>
  <si>
    <t>Turbine Exit</t>
  </si>
  <si>
    <t>ω (rad/s)</t>
  </si>
  <si>
    <t>Turbine Inlet</t>
  </si>
  <si>
    <r>
      <t>P</t>
    </r>
    <r>
      <rPr>
        <vertAlign val="subscript"/>
        <sz val="11"/>
        <color rgb="FF000000"/>
        <rFont val="Calibri"/>
        <family val="2"/>
        <scheme val="minor"/>
      </rPr>
      <t xml:space="preserve">01 </t>
    </r>
    <r>
      <rPr>
        <sz val="11"/>
        <color rgb="FF000000"/>
        <rFont val="Calibri"/>
        <family val="2"/>
        <scheme val="minor"/>
      </rPr>
      <t>(bar)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</si>
  <si>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01 </t>
    </r>
    <r>
      <rPr>
        <sz val="11"/>
        <color theme="1"/>
        <rFont val="Calibri"/>
        <family val="2"/>
        <scheme val="minor"/>
      </rPr>
      <t>(K)</t>
    </r>
  </si>
  <si>
    <r>
      <t>T</t>
    </r>
    <r>
      <rPr>
        <vertAlign val="subscript"/>
        <sz val="11"/>
        <color theme="1"/>
        <rFont val="Calibri"/>
        <family val="2"/>
        <scheme val="minor"/>
      </rPr>
      <t>02,r</t>
    </r>
    <r>
      <rPr>
        <sz val="11"/>
        <color theme="1"/>
        <rFont val="Calibri"/>
        <family val="2"/>
        <scheme val="minor"/>
      </rPr>
      <t xml:space="preserve"> (K)</t>
    </r>
  </si>
  <si>
    <r>
      <t>U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(m/s)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</si>
  <si>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%span </t>
    </r>
    <r>
      <rPr>
        <sz val="11"/>
        <color theme="1"/>
        <rFont val="Calibri"/>
        <family val="2"/>
        <scheme val="minor"/>
      </rPr>
      <t>(m)</t>
    </r>
  </si>
  <si>
    <r>
      <t>H</t>
    </r>
    <r>
      <rPr>
        <vertAlign val="subscript"/>
        <sz val="11"/>
        <color theme="1"/>
        <rFont val="Calibri"/>
        <family val="2"/>
        <scheme val="minor"/>
      </rPr>
      <t>02,r</t>
    </r>
    <r>
      <rPr>
        <sz val="11"/>
        <color theme="1"/>
        <rFont val="Calibri"/>
        <family val="2"/>
        <scheme val="minor"/>
      </rPr>
      <t xml:space="preserve"> (J/kg)</t>
    </r>
  </si>
  <si>
    <r>
      <t>H</t>
    </r>
    <r>
      <rPr>
        <vertAlign val="subscript"/>
        <sz val="11"/>
        <color rgb="FF000000"/>
        <rFont val="Calibri"/>
        <family val="2"/>
        <scheme val="minor"/>
      </rPr>
      <t xml:space="preserve">03,r </t>
    </r>
    <r>
      <rPr>
        <sz val="11"/>
        <color rgb="FF000000"/>
        <rFont val="Calibri"/>
        <family val="2"/>
        <scheme val="minor"/>
      </rPr>
      <t>(J/kg)</t>
    </r>
  </si>
  <si>
    <t>Conservation of Mass</t>
  </si>
  <si>
    <r>
      <t>ρ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(kg/m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</si>
  <si>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 xml:space="preserve">3s,is </t>
    </r>
    <r>
      <rPr>
        <sz val="11"/>
        <color rgb="FF000000"/>
        <rFont val="Calibri"/>
        <family val="2"/>
        <scheme val="minor"/>
      </rPr>
      <t>(K)</t>
    </r>
  </si>
  <si>
    <t>Stator Exit</t>
  </si>
  <si>
    <r>
      <t>V</t>
    </r>
    <r>
      <rPr>
        <vertAlign val="subscript"/>
        <sz val="11"/>
        <color rgb="FF000000"/>
        <rFont val="Calibri"/>
        <family val="2"/>
        <scheme val="minor"/>
      </rPr>
      <t xml:space="preserve">2,ax </t>
    </r>
    <r>
      <rPr>
        <sz val="11"/>
        <color rgb="FF000000"/>
        <rFont val="Calibri"/>
        <family val="2"/>
        <scheme val="minor"/>
      </rPr>
      <t>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</si>
  <si>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2u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</si>
  <si>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2u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</si>
  <si>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3u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</si>
  <si>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3,ax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</si>
  <si>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3,is</t>
    </r>
    <r>
      <rPr>
        <sz val="11"/>
        <color rgb="FF000000"/>
        <rFont val="Calibri"/>
        <family val="2"/>
        <scheme val="minor"/>
      </rPr>
      <t xml:space="preserve"> 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</si>
  <si>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3u</t>
    </r>
    <r>
      <rPr>
        <sz val="11"/>
        <color rgb="FF000000"/>
        <rFont val="Calibri"/>
        <family val="2"/>
        <scheme val="minor"/>
      </rPr>
      <t xml:space="preserve"> (m/s) 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</si>
  <si>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(m/s) </t>
    </r>
  </si>
  <si>
    <r>
      <t>η</t>
    </r>
    <r>
      <rPr>
        <vertAlign val="subscript"/>
        <sz val="11"/>
        <color theme="1"/>
        <rFont val="Calibri"/>
        <family val="2"/>
        <scheme val="minor"/>
      </rPr>
      <t>t</t>
    </r>
  </si>
  <si>
    <t>a (m/s)</t>
  </si>
  <si>
    <t>a,is (m/s)</t>
  </si>
  <si>
    <r>
      <t>W</t>
    </r>
    <r>
      <rPr>
        <vertAlign val="subscript"/>
        <sz val="11"/>
        <color rgb="FF000000"/>
        <rFont val="Calibri"/>
        <family val="2"/>
        <scheme val="minor"/>
      </rPr>
      <t>3,ax,is</t>
    </r>
    <r>
      <rPr>
        <sz val="11"/>
        <color rgb="FF000000"/>
        <rFont val="Calibri"/>
        <family val="2"/>
        <scheme val="minor"/>
      </rPr>
      <t xml:space="preserve"> (m/s)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</si>
  <si>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03,is</t>
    </r>
    <r>
      <rPr>
        <sz val="11"/>
        <color rgb="FF000000"/>
        <rFont val="Calibri"/>
        <family val="2"/>
        <scheme val="minor"/>
      </rPr>
      <t xml:space="preserve"> (K)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</si>
  <si>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03</t>
    </r>
    <r>
      <rPr>
        <sz val="11"/>
        <color rgb="FF000000"/>
        <rFont val="Calibri"/>
        <family val="2"/>
        <scheme val="minor"/>
      </rPr>
      <t xml:space="preserve"> (K)</t>
    </r>
  </si>
  <si>
    <t>Ʌ</t>
  </si>
  <si>
    <r>
      <t>T</t>
    </r>
    <r>
      <rPr>
        <vertAlign val="subscript"/>
        <sz val="11"/>
        <color rgb="FF000000"/>
        <rFont val="Calibri"/>
        <family val="2"/>
        <scheme val="minor"/>
      </rPr>
      <t>1s</t>
    </r>
    <r>
      <rPr>
        <sz val="11"/>
        <color rgb="FF000000"/>
        <rFont val="Calibri"/>
        <family val="2"/>
        <scheme val="minor"/>
      </rPr>
      <t xml:space="preserve"> (K)</t>
    </r>
  </si>
  <si>
    <t>φ</t>
  </si>
  <si>
    <t>Velocity Triangles</t>
  </si>
  <si>
    <t>W (m/s)^2</t>
  </si>
  <si>
    <t>U3</t>
  </si>
  <si>
    <r>
      <t>U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</si>
  <si>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(m/s)</t>
    </r>
  </si>
  <si>
    <r>
      <t>ρ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(kg/m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</si>
  <si>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1,s </t>
    </r>
    <r>
      <rPr>
        <sz val="11"/>
        <color theme="1"/>
        <rFont val="Calibri"/>
        <family val="2"/>
        <scheme val="minor"/>
      </rPr>
      <t>(bar)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</si>
  <si>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1,ax</t>
    </r>
    <r>
      <rPr>
        <sz val="11"/>
        <color rgb="FF000000"/>
        <rFont val="Calibri"/>
        <family val="2"/>
        <scheme val="minor"/>
      </rPr>
      <t xml:space="preserve"> 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</si>
  <si>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1</t>
    </r>
    <r>
      <rPr>
        <sz val="11"/>
        <color rgb="FF000000"/>
        <rFont val="Calibri"/>
        <family val="2"/>
        <scheme val="minor"/>
      </rPr>
      <t xml:space="preserve"> 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</si>
  <si>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(m/s)</t>
    </r>
  </si>
  <si>
    <t>air</t>
  </si>
  <si>
    <r>
      <t>M</t>
    </r>
    <r>
      <rPr>
        <vertAlign val="subscript"/>
        <sz val="11"/>
        <color rgb="FF000000"/>
        <rFont val="Calibri"/>
        <family val="2"/>
        <scheme val="minor"/>
      </rPr>
      <t>3,r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</si>
  <si>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</si>
  <si>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(K)</t>
    </r>
  </si>
  <si>
    <r>
      <t>T</t>
    </r>
    <r>
      <rPr>
        <vertAlign val="subscript"/>
        <sz val="11"/>
        <color theme="1"/>
        <rFont val="Calibri"/>
        <family val="2"/>
        <scheme val="minor"/>
      </rPr>
      <t>s2,is</t>
    </r>
    <r>
      <rPr>
        <sz val="11"/>
        <color theme="1"/>
        <rFont val="Calibri"/>
        <family val="2"/>
        <scheme val="minor"/>
      </rPr>
      <t xml:space="preserve"> (K)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</si>
  <si>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02 </t>
    </r>
    <r>
      <rPr>
        <sz val="11"/>
        <color theme="1"/>
        <rFont val="Calibri"/>
        <family val="2"/>
        <scheme val="minor"/>
      </rPr>
      <t>(bar)</t>
    </r>
  </si>
  <si>
    <r>
      <t>P</t>
    </r>
    <r>
      <rPr>
        <vertAlign val="subscript"/>
        <sz val="11"/>
        <color theme="1"/>
        <rFont val="Calibri"/>
        <family val="2"/>
        <scheme val="minor"/>
      </rPr>
      <t>02,r,is</t>
    </r>
    <r>
      <rPr>
        <sz val="11"/>
        <color theme="1"/>
        <rFont val="Calibri"/>
        <family val="2"/>
        <scheme val="minor"/>
      </rPr>
      <t xml:space="preserve"> (bar)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</si>
  <si>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03,r </t>
    </r>
    <r>
      <rPr>
        <sz val="11"/>
        <color theme="1"/>
        <rFont val="Calibri"/>
        <family val="2"/>
        <scheme val="minor"/>
      </rPr>
      <t>(K) - correction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</si>
  <si>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p </t>
    </r>
    <r>
      <rPr>
        <sz val="11"/>
        <color theme="1"/>
        <rFont val="Calibri"/>
        <family val="2"/>
        <scheme val="minor"/>
      </rPr>
      <t>(Pressure deg reaction)</t>
    </r>
  </si>
  <si>
    <t>Ψ (blade loading)</t>
  </si>
  <si>
    <t>massflow inlet</t>
  </si>
  <si>
    <r>
      <t>M</t>
    </r>
    <r>
      <rPr>
        <vertAlign val="subscript"/>
        <sz val="11"/>
        <color theme="1"/>
        <rFont val="Calibri"/>
        <family val="2"/>
        <scheme val="minor"/>
      </rPr>
      <t>1,ax</t>
    </r>
  </si>
  <si>
    <t>μ_ref</t>
  </si>
  <si>
    <t>Rotor Exit</t>
  </si>
  <si>
    <t>Rotor Inlet</t>
  </si>
  <si>
    <t>V3_ax</t>
  </si>
  <si>
    <t>Design Type 3: Degree of reaction is known</t>
  </si>
  <si>
    <r>
      <t>P</t>
    </r>
    <r>
      <rPr>
        <vertAlign val="subscript"/>
        <sz val="11"/>
        <color rgb="FF000000"/>
        <rFont val="Calibri"/>
        <family val="2"/>
        <scheme val="minor"/>
      </rPr>
      <t>01</t>
    </r>
    <r>
      <rPr>
        <sz val="11"/>
        <color rgb="FF000000"/>
        <rFont val="Calibri"/>
        <family val="2"/>
        <scheme val="minor"/>
      </rPr>
      <t>/P</t>
    </r>
    <r>
      <rPr>
        <vertAlign val="subscript"/>
        <sz val="11"/>
        <color rgb="FF000000"/>
        <rFont val="Calibri"/>
        <family val="2"/>
        <scheme val="minor"/>
      </rPr>
      <t>3</t>
    </r>
  </si>
  <si>
    <r>
      <t>P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(bar)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</si>
  <si>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(bar)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</si>
  <si>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2is</t>
    </r>
    <r>
      <rPr>
        <sz val="11"/>
        <color rgb="FF000000"/>
        <rFont val="Calibri"/>
        <family val="2"/>
        <scheme val="minor"/>
      </rPr>
      <t xml:space="preserve"> (m/s)</t>
    </r>
  </si>
  <si>
    <r>
      <t>T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(K)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</si>
  <si>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(kJ/kg)</t>
    </r>
  </si>
  <si>
    <r>
      <t>a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(m/s)</t>
    </r>
  </si>
  <si>
    <r>
      <t>U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(m/s)</t>
    </r>
  </si>
  <si>
    <r>
      <t>r</t>
    </r>
    <r>
      <rPr>
        <sz val="8"/>
        <color theme="1"/>
        <rFont val="Calibri"/>
        <family val="2"/>
        <scheme val="minor"/>
      </rPr>
      <t>mean</t>
    </r>
    <r>
      <rPr>
        <sz val="11"/>
        <color theme="1"/>
        <rFont val="Calibri"/>
        <family val="2"/>
        <scheme val="minor"/>
      </rPr>
      <t xml:space="preserve"> [m]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</si>
  <si>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hub [m]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</si>
  <si>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tip [m]</t>
    </r>
  </si>
  <si>
    <t>H2/H1</t>
  </si>
  <si>
    <t>H3/H2</t>
  </si>
  <si>
    <t>H1 [m]</t>
  </si>
  <si>
    <t>V2**2/V2_is**2</t>
  </si>
  <si>
    <t>rp</t>
  </si>
  <si>
    <t>P0_Loss</t>
  </si>
  <si>
    <t>change to match massflow</t>
  </si>
  <si>
    <t>massflow_error</t>
  </si>
  <si>
    <r>
      <t>T</t>
    </r>
    <r>
      <rPr>
        <sz val="8"/>
        <color theme="1"/>
        <rFont val="Calibri"/>
        <family val="2"/>
        <scheme val="minor"/>
      </rPr>
      <t>02</t>
    </r>
    <r>
      <rPr>
        <sz val="11"/>
        <color theme="1"/>
        <rFont val="Calibri"/>
        <family val="2"/>
        <scheme val="minor"/>
      </rPr>
      <t xml:space="preserve"> [K]</t>
    </r>
  </si>
  <si>
    <t>Area 2 [m2]</t>
  </si>
  <si>
    <t>Area 3 [m2]</t>
  </si>
  <si>
    <r>
      <t>W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(m/s)</t>
    </r>
  </si>
  <si>
    <r>
      <t>P</t>
    </r>
    <r>
      <rPr>
        <vertAlign val="subscript"/>
        <sz val="11"/>
        <color theme="1"/>
        <rFont val="Calibri"/>
        <family val="2"/>
        <scheme val="minor"/>
      </rPr>
      <t>03,r,is</t>
    </r>
    <r>
      <rPr>
        <sz val="11"/>
        <color theme="1"/>
        <rFont val="Calibri"/>
        <family val="2"/>
        <scheme val="minor"/>
      </rPr>
      <t xml:space="preserve"> (Bar)</t>
    </r>
  </si>
  <si>
    <r>
      <t>P</t>
    </r>
    <r>
      <rPr>
        <vertAlign val="subscript"/>
        <sz val="11"/>
        <color theme="1"/>
        <rFont val="Calibri"/>
        <family val="2"/>
        <scheme val="minor"/>
      </rPr>
      <t>03,r</t>
    </r>
    <r>
      <rPr>
        <sz val="11"/>
        <color theme="1"/>
        <rFont val="Calibri"/>
        <family val="2"/>
        <scheme val="minor"/>
      </rPr>
      <t xml:space="preserve"> (Bar)</t>
    </r>
  </si>
  <si>
    <t>M3</t>
  </si>
  <si>
    <r>
      <t>P</t>
    </r>
    <r>
      <rPr>
        <sz val="8"/>
        <color theme="1"/>
        <rFont val="Calibri"/>
        <family val="2"/>
        <scheme val="minor"/>
      </rPr>
      <t>03</t>
    </r>
    <r>
      <rPr>
        <sz val="11"/>
        <color theme="1"/>
        <rFont val="Calibri"/>
        <family val="2"/>
        <scheme val="minor"/>
      </rPr>
      <t xml:space="preserve"> (Bar)</t>
    </r>
  </si>
  <si>
    <t>Area 1 [m2]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</si>
</sst>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4" fillId="3" borderId="1" applyNumberFormat="0" applyAlignment="0" applyProtection="0"/>
    <xf numFmtId="0" fontId="5" fillId="4" borderId="1" applyNumberFormat="0" applyAlignment="0" applyProtection="0"/>
    <xf numFmtId="0" fontId="8" fillId="5" borderId="2" applyNumberFormat="0" applyAlignment="0" applyProtection="0"/>
    <xf numFmtId="0" fontId="9" fillId="6" borderId="0" applyNumberFormat="0" applyBorder="0" applyAlignment="0" applyProtection="0"/>
  </cellStyleXfs>
  <cellXfs count="25">
    <xf numFmtId="0" fontId="0" fillId="0" borderId="0" xfId="0"/>
    <xf numFmtId="0" fontId="1" fillId="0" borderId="0" xfId="0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165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4" fillId="3" borderId="1" xfId="1"/>
    <xf numFmtId="0" fontId="4" fillId="3" borderId="1" xfId="1" applyAlignment="1">
      <alignment horizontal="right"/>
    </xf>
    <xf numFmtId="2" fontId="5" fillId="4" borderId="1" xfId="2" applyNumberFormat="1"/>
    <xf numFmtId="2" fontId="5" fillId="4" borderId="1" xfId="2" applyNumberFormat="1" applyAlignment="1">
      <alignment horizontal="right"/>
    </xf>
    <xf numFmtId="0" fontId="0" fillId="0" borderId="0" xfId="0" applyAlignment="1">
      <alignment horizontal="right"/>
    </xf>
    <xf numFmtId="164" fontId="5" fillId="4" borderId="1" xfId="2" applyNumberFormat="1"/>
    <xf numFmtId="166" fontId="0" fillId="0" borderId="0" xfId="0" applyNumberFormat="1"/>
    <xf numFmtId="166" fontId="5" fillId="4" borderId="1" xfId="2" applyNumberFormat="1" applyAlignment="1">
      <alignment horizontal="right"/>
    </xf>
    <xf numFmtId="164" fontId="4" fillId="2" borderId="1" xfId="1" applyNumberFormat="1" applyFill="1" applyAlignment="1">
      <alignment horizontal="right"/>
    </xf>
    <xf numFmtId="2" fontId="8" fillId="5" borderId="2" xfId="3" applyNumberFormat="1"/>
    <xf numFmtId="0" fontId="9" fillId="6" borderId="0" xfId="4" applyNumberFormat="1"/>
    <xf numFmtId="0" fontId="4" fillId="0" borderId="4" xfId="1" applyFill="1" applyBorder="1"/>
    <xf numFmtId="164" fontId="5" fillId="4" borderId="1" xfId="2" applyNumberFormat="1" applyAlignment="1">
      <alignment horizontal="right"/>
    </xf>
    <xf numFmtId="2" fontId="0" fillId="0" borderId="0" xfId="0" applyNumberFormat="1" applyAlignment="1">
      <alignment horizontal="right"/>
    </xf>
    <xf numFmtId="2" fontId="4" fillId="3" borderId="1" xfId="1" applyNumberFormat="1"/>
    <xf numFmtId="164" fontId="4" fillId="3" borderId="1" xfId="1" applyNumberFormat="1"/>
    <xf numFmtId="164" fontId="4" fillId="3" borderId="3" xfId="1" applyNumberFormat="1" applyBorder="1"/>
  </cellXfs>
  <cellStyles count="5">
    <cellStyle name="Calculation" xfId="2" builtinId="22"/>
    <cellStyle name="Check Cell" xfId="3" builtinId="23"/>
    <cellStyle name="Good" xfId="4" builtinId="26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Triangles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'Design Type 3'!$P$4</c:f>
              <c:strCache>
                <c:ptCount val="1"/>
                <c:pt idx="0">
                  <c:v>W2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3'!$Q$4:$Q$5</c:f>
              <c:numCache>
                <c:formatCode>0.00</c:formatCode>
                <c:ptCount val="2"/>
                <c:pt idx="0">
                  <c:v>0</c:v>
                </c:pt>
                <c:pt idx="1">
                  <c:v>100.70881877026079</c:v>
                </c:pt>
              </c:numCache>
            </c:numRef>
          </c:xVal>
          <c:yVal>
            <c:numRef>
              <c:f>'Design Type 3'!$R$4:$R$5</c:f>
              <c:numCache>
                <c:formatCode>0.00</c:formatCode>
                <c:ptCount val="2"/>
                <c:pt idx="0">
                  <c:v>124.19657860345075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4-4B26-8D5E-5C428F3DF9FB}"/>
            </c:ext>
          </c:extLst>
        </c:ser>
        <c:ser>
          <c:idx val="1"/>
          <c:order val="1"/>
          <c:tx>
            <c:strRef>
              <c:f>'Design Type 3'!$P$6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3'!$Q$6:$Q$7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406.22870433186819</c:v>
                </c:pt>
              </c:numCache>
            </c:numRef>
          </c:xVal>
          <c:yVal>
            <c:numRef>
              <c:f>'Design Type 3'!$R$6:$R$7</c:f>
              <c:numCache>
                <c:formatCode>General</c:formatCode>
                <c:ptCount val="2"/>
                <c:pt idx="0" formatCode="0.00">
                  <c:v>124.19657860345075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4-4B26-8D5E-5C428F3DF9FB}"/>
            </c:ext>
          </c:extLst>
        </c:ser>
        <c:ser>
          <c:idx val="2"/>
          <c:order val="2"/>
          <c:tx>
            <c:strRef>
              <c:f>'Design Type 3'!$P$8</c:f>
              <c:strCache>
                <c:ptCount val="1"/>
                <c:pt idx="0">
                  <c:v>V3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3'!$Q$8:$Q$9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-116.42161514664122</c:v>
                </c:pt>
              </c:numCache>
            </c:numRef>
          </c:xVal>
          <c:yVal>
            <c:numRef>
              <c:f>'Design Type 3'!$R$8:$R$9</c:f>
              <c:numCache>
                <c:formatCode>General</c:formatCode>
                <c:ptCount val="2"/>
                <c:pt idx="0" formatCode="0.00">
                  <c:v>173.9117368168983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4-4B26-8D5E-5C428F3DF9FB}"/>
            </c:ext>
          </c:extLst>
        </c:ser>
        <c:ser>
          <c:idx val="3"/>
          <c:order val="3"/>
          <c:tx>
            <c:strRef>
              <c:f>'Design Type 3'!$P$10</c:f>
              <c:strCache>
                <c:ptCount val="1"/>
                <c:pt idx="0">
                  <c:v>W3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3'!$Q$10:$Q$11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-421.94150070824861</c:v>
                </c:pt>
              </c:numCache>
            </c:numRef>
          </c:xVal>
          <c:yVal>
            <c:numRef>
              <c:f>'Design Type 3'!$R$10:$R$11</c:f>
              <c:numCache>
                <c:formatCode>General</c:formatCode>
                <c:ptCount val="2"/>
                <c:pt idx="0">
                  <c:v>173.9117368168983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4-4B26-8D5E-5C428F3DF9FB}"/>
            </c:ext>
          </c:extLst>
        </c:ser>
        <c:ser>
          <c:idx val="4"/>
          <c:order val="4"/>
          <c:tx>
            <c:strRef>
              <c:f>'Design Type 3'!$P$12</c:f>
              <c:strCache>
                <c:ptCount val="1"/>
                <c:pt idx="0">
                  <c:v>U1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3'!$Q$12:$Q$13</c:f>
              <c:numCache>
                <c:formatCode>0.00</c:formatCode>
                <c:ptCount val="2"/>
                <c:pt idx="0">
                  <c:v>100.70881877026079</c:v>
                </c:pt>
                <c:pt idx="1">
                  <c:v>406.22870433186819</c:v>
                </c:pt>
              </c:numCache>
            </c:numRef>
          </c:xVal>
          <c:yVal>
            <c:numRef>
              <c:f>'Design Type 3'!$R$12:$R$13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34-4B26-8D5E-5C428F3DF9FB}"/>
            </c:ext>
          </c:extLst>
        </c:ser>
        <c:ser>
          <c:idx val="5"/>
          <c:order val="5"/>
          <c:tx>
            <c:strRef>
              <c:f>'Design Type 3'!$P$14</c:f>
              <c:strCache>
                <c:ptCount val="1"/>
                <c:pt idx="0">
                  <c:v>U2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3'!$Q$14:$Q$15</c:f>
              <c:numCache>
                <c:formatCode>0.00</c:formatCode>
                <c:ptCount val="2"/>
                <c:pt idx="0">
                  <c:v>-421.94150070824861</c:v>
                </c:pt>
                <c:pt idx="1">
                  <c:v>-116.42161514664122</c:v>
                </c:pt>
              </c:numCache>
            </c:numRef>
          </c:xVal>
          <c:yVal>
            <c:numRef>
              <c:f>'Design Type 3'!$R$14:$R$15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34-4B26-8D5E-5C428F3DF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500544"/>
        <c:axId val="905501104"/>
      </c:scatterChart>
      <c:valAx>
        <c:axId val="905500544"/>
        <c:scaling>
          <c:orientation val="minMax"/>
          <c:max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01104"/>
        <c:crosses val="autoZero"/>
        <c:crossBetween val="midCat"/>
      </c:valAx>
      <c:valAx>
        <c:axId val="905501104"/>
        <c:scaling>
          <c:orientation val="minMax"/>
          <c:max val="800"/>
          <c:min val="-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0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390524</xdr:colOff>
      <xdr:row>15</xdr:row>
      <xdr:rowOff>76200</xdr:rowOff>
    </xdr:from>
    <xdr:to>
      <xdr:col>20</xdr:col>
      <xdr:colOff>552450</xdr:colOff>
      <xdr:row>33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40"/>
  <sheetViews>
    <sheetView tabSelected="1" zoomScaleNormal="100" workbookViewId="0">
      <selection activeCell="J37" sqref="J37"/>
    </sheetView>
  </sheetViews>
  <sheetFormatPr defaultColWidth="8.85546875" defaultRowHeight="15" x14ac:dyDescent="0.25"/>
  <cols>
    <col min="1" max="1" width="18.28515625" bestFit="1" customWidth="1"/>
    <col min="2" max="2" width="11" customWidth="1"/>
    <col min="3" max="3" width="12.85546875" customWidth="1"/>
    <col min="6" max="6" width="15" bestFit="1" customWidth="1"/>
    <col min="7" max="7" width="12.28515625" customWidth="1"/>
    <col min="9" max="9" width="16" customWidth="1"/>
    <col min="10" max="10" width="10.42578125" bestFit="1" customWidth="1"/>
    <col min="12" max="12" width="18.42578125" customWidth="1"/>
    <col min="13" max="13" width="10.28515625" customWidth="1"/>
    <col min="14" max="14" width="10" customWidth="1"/>
    <col min="15" max="15" width="13.28515625" bestFit="1" customWidth="1"/>
  </cols>
  <sheetData>
    <row r="1" spans="1:20" x14ac:dyDescent="0.25">
      <c r="A1" t="s">
        <v>81</v>
      </c>
    </row>
    <row r="2" spans="1:20" x14ac:dyDescent="0.25">
      <c r="A2" t="s">
        <v>90</v>
      </c>
      <c r="B2">
        <v>0.38900000000000001</v>
      </c>
      <c r="F2" t="s">
        <v>23</v>
      </c>
      <c r="I2" s="4" t="s">
        <v>26</v>
      </c>
      <c r="L2" t="s">
        <v>6</v>
      </c>
      <c r="P2" t="s">
        <v>55</v>
      </c>
    </row>
    <row r="3" spans="1:20" ht="18" x14ac:dyDescent="0.25">
      <c r="A3" t="s">
        <v>95</v>
      </c>
      <c r="B3">
        <v>0.04</v>
      </c>
      <c r="F3" s="7" t="s">
        <v>27</v>
      </c>
      <c r="G3" s="9">
        <v>5</v>
      </c>
      <c r="I3" s="4" t="s">
        <v>30</v>
      </c>
      <c r="J3" s="14">
        <f>(C7+C8)/2*C13</f>
        <v>305.5198855616074</v>
      </c>
      <c r="L3" s="4" t="s">
        <v>46</v>
      </c>
      <c r="M3" s="2">
        <f>(G27-J38)/(G27-J37)</f>
        <v>0.86656603467600812</v>
      </c>
      <c r="Q3" t="s">
        <v>0</v>
      </c>
      <c r="R3" t="s">
        <v>1</v>
      </c>
    </row>
    <row r="4" spans="1:20" ht="18" x14ac:dyDescent="0.25">
      <c r="A4" t="s">
        <v>93</v>
      </c>
      <c r="B4">
        <v>1.159</v>
      </c>
      <c r="F4" s="4" t="s">
        <v>28</v>
      </c>
      <c r="G4" s="9">
        <v>676</v>
      </c>
      <c r="I4" s="7" t="s">
        <v>39</v>
      </c>
      <c r="J4" s="14">
        <f>G18*SIN(RADIANS(B10))</f>
        <v>406.22870433186819</v>
      </c>
      <c r="L4" s="7" t="s">
        <v>52</v>
      </c>
      <c r="M4" s="3">
        <f>(G19-J24)/(G7-J24)</f>
        <v>0.51392603128316616</v>
      </c>
      <c r="N4" s="5">
        <f>2*G25/G14*(TAN(RADIANS(C10))-TAN(RADIANS(C9)))</f>
        <v>-2.631791405844313</v>
      </c>
      <c r="O4" s="3">
        <f>1-(1-(G15/G3)^((B23-1)/B23))/(1-(J25/G3)^((B23-1)/B23))</f>
        <v>0.51993611202177181</v>
      </c>
      <c r="P4" t="s">
        <v>9</v>
      </c>
      <c r="Q4" s="3">
        <v>0</v>
      </c>
      <c r="R4" s="3">
        <f>G25</f>
        <v>124.19657860345075</v>
      </c>
    </row>
    <row r="5" spans="1:20" ht="18" x14ac:dyDescent="0.25">
      <c r="A5" t="s">
        <v>94</v>
      </c>
      <c r="B5">
        <v>1.3169999999999999</v>
      </c>
      <c r="F5" s="4" t="s">
        <v>76</v>
      </c>
      <c r="G5" s="16">
        <v>0.182</v>
      </c>
      <c r="I5" s="7" t="s">
        <v>59</v>
      </c>
      <c r="J5" s="3">
        <f>SQRT(J6^2+G25^2)</f>
        <v>159.89701784243618</v>
      </c>
      <c r="L5" s="7" t="s">
        <v>54</v>
      </c>
      <c r="M5" s="2">
        <f>(G15-J25)/(G8-J25)</f>
        <v>0.40630258932429197</v>
      </c>
      <c r="Q5" s="3">
        <f>J6</f>
        <v>100.70881877026079</v>
      </c>
      <c r="R5" s="3">
        <v>0</v>
      </c>
      <c r="S5" t="s">
        <v>12</v>
      </c>
      <c r="T5" s="3">
        <f>Q7-Q5</f>
        <v>305.5198855616074</v>
      </c>
    </row>
    <row r="6" spans="1:20" ht="18" x14ac:dyDescent="0.25">
      <c r="A6" t="s">
        <v>13</v>
      </c>
      <c r="B6" t="s">
        <v>15</v>
      </c>
      <c r="C6" t="s">
        <v>79</v>
      </c>
      <c r="D6" t="s">
        <v>78</v>
      </c>
      <c r="F6" s="7" t="s">
        <v>62</v>
      </c>
      <c r="G6" s="11">
        <f>G5*G9</f>
        <v>92.064092132033039</v>
      </c>
      <c r="H6" s="3"/>
      <c r="I6" s="7" t="s">
        <v>40</v>
      </c>
      <c r="J6" s="3">
        <f>J4-J3</f>
        <v>100.70881877026079</v>
      </c>
      <c r="L6" s="7" t="s">
        <v>74</v>
      </c>
      <c r="M6" s="2">
        <f>B24*(G4-J38)/AVERAGE(G14,J17)^2</f>
        <v>1.7106916576568241</v>
      </c>
      <c r="P6" t="s">
        <v>3</v>
      </c>
      <c r="Q6">
        <v>0</v>
      </c>
      <c r="R6" s="3">
        <f>R4</f>
        <v>124.19657860345075</v>
      </c>
    </row>
    <row r="7" spans="1:20" ht="18" x14ac:dyDescent="0.25">
      <c r="A7" s="7" t="s">
        <v>91</v>
      </c>
      <c r="B7" s="23">
        <f>B2-B3/2</f>
        <v>0.36899999999999999</v>
      </c>
      <c r="C7" s="23">
        <f>B2-B3/2*B4</f>
        <v>0.36582000000000003</v>
      </c>
      <c r="D7" s="24">
        <f>B2-B3/2*B4*B5</f>
        <v>0.35847193999999999</v>
      </c>
      <c r="E7" s="19"/>
      <c r="F7" s="7" t="s">
        <v>53</v>
      </c>
      <c r="G7" s="15">
        <f>(1+(B23-1)/2*G5^2)^(-1)*G4</f>
        <v>672.32543224309268</v>
      </c>
      <c r="I7" s="4" t="s">
        <v>71</v>
      </c>
      <c r="J7" s="3">
        <f>(J8/G19)^(B23/(B23-1))*G15</f>
        <v>2.9747445766334359</v>
      </c>
      <c r="L7" s="7" t="s">
        <v>56</v>
      </c>
      <c r="M7" s="14">
        <f>B24*(G4-J38)</f>
        <v>159680.06579581174</v>
      </c>
      <c r="Q7" s="3">
        <f>J4</f>
        <v>406.22870433186819</v>
      </c>
      <c r="R7">
        <f t="shared" ref="R7:R11" si="0">R5</f>
        <v>0</v>
      </c>
    </row>
    <row r="8" spans="1:20" ht="18" x14ac:dyDescent="0.35">
      <c r="A8" s="7" t="s">
        <v>92</v>
      </c>
      <c r="B8" s="23">
        <f>B2+B3/2</f>
        <v>0.40900000000000003</v>
      </c>
      <c r="C8" s="23">
        <f>B2+B3/2*B4</f>
        <v>0.41217999999999999</v>
      </c>
      <c r="D8" s="24">
        <f>B2+B3/2*B4*B5</f>
        <v>0.41952806000000004</v>
      </c>
      <c r="E8" s="19"/>
      <c r="F8" s="4" t="s">
        <v>61</v>
      </c>
      <c r="G8" s="15">
        <f>(1+(B23-1)/2*G5^2)^(-B23/(B23-1))*G3</f>
        <v>4.8913602233999178</v>
      </c>
      <c r="I8" t="s">
        <v>29</v>
      </c>
      <c r="J8" s="3">
        <f>G19+J5^2/(2*B24)</f>
        <v>601.4670384768782</v>
      </c>
      <c r="L8" s="4" t="s">
        <v>73</v>
      </c>
      <c r="M8" s="14">
        <f>(G15-J25)/(G3-J25)</f>
        <v>0.39449199032135585</v>
      </c>
      <c r="P8" t="s">
        <v>4</v>
      </c>
      <c r="Q8">
        <v>0</v>
      </c>
      <c r="R8" s="3">
        <f>J29</f>
        <v>173.9117368168983</v>
      </c>
      <c r="S8" t="s">
        <v>57</v>
      </c>
      <c r="T8" s="3">
        <f>Q11-Q9</f>
        <v>-305.5198855616074</v>
      </c>
    </row>
    <row r="9" spans="1:20" ht="18" x14ac:dyDescent="0.25">
      <c r="A9" t="s">
        <v>14</v>
      </c>
      <c r="B9" s="8">
        <v>0</v>
      </c>
      <c r="C9" s="10">
        <f>DEGREES(ACOS(G25/J5))</f>
        <v>39.03798733887772</v>
      </c>
      <c r="F9" s="4" t="s">
        <v>47</v>
      </c>
      <c r="G9" s="15">
        <f>SQRT(B23*B22*G7)</f>
        <v>505.84666006611559</v>
      </c>
      <c r="I9" s="4" t="s">
        <v>32</v>
      </c>
      <c r="J9" s="6">
        <f>J8*B24</f>
        <v>624924.25297747646</v>
      </c>
      <c r="Q9" s="3">
        <f>J31</f>
        <v>-116.42161514664122</v>
      </c>
      <c r="R9">
        <f t="shared" si="0"/>
        <v>0</v>
      </c>
    </row>
    <row r="10" spans="1:20" ht="18.75" thickBot="1" x14ac:dyDescent="0.3">
      <c r="A10" t="s">
        <v>16</v>
      </c>
      <c r="B10" s="8">
        <v>73</v>
      </c>
      <c r="C10" s="8">
        <v>-67.599999999999994</v>
      </c>
      <c r="F10" s="7" t="s">
        <v>63</v>
      </c>
      <c r="G10" s="10">
        <f>G6*COS(RADIANS(B9))</f>
        <v>92.064092132033039</v>
      </c>
      <c r="I10" s="4"/>
      <c r="P10" t="s">
        <v>10</v>
      </c>
      <c r="Q10">
        <v>0</v>
      </c>
      <c r="R10">
        <f t="shared" si="0"/>
        <v>173.9117368168983</v>
      </c>
    </row>
    <row r="11" spans="1:20" ht="16.5" thickTop="1" thickBot="1" x14ac:dyDescent="0.3">
      <c r="A11" s="4" t="s">
        <v>96</v>
      </c>
      <c r="B11" s="8">
        <v>0.92500000000000004</v>
      </c>
      <c r="C11" s="8">
        <v>0.87</v>
      </c>
      <c r="F11" t="s">
        <v>75</v>
      </c>
      <c r="G11" s="17">
        <f>B17*G3*100000/SQRT(G4)*SQRT(B23/B22)*G5*(1+(B23-1)/2*G5^2)^(-(B23+1)/(2*(B23-1)))</f>
        <v>22.883542190879567</v>
      </c>
      <c r="Q11" s="3">
        <f>J30</f>
        <v>-421.94150070824861</v>
      </c>
      <c r="R11">
        <f t="shared" si="0"/>
        <v>0</v>
      </c>
    </row>
    <row r="12" spans="1:20" ht="15.75" thickTop="1" x14ac:dyDescent="0.25">
      <c r="A12" t="s">
        <v>2</v>
      </c>
      <c r="B12" s="8"/>
      <c r="C12" s="8">
        <v>7500</v>
      </c>
      <c r="I12" t="s">
        <v>24</v>
      </c>
      <c r="P12" t="s">
        <v>11</v>
      </c>
      <c r="Q12" s="3">
        <f>Q5</f>
        <v>100.70881877026079</v>
      </c>
      <c r="R12">
        <v>0</v>
      </c>
    </row>
    <row r="13" spans="1:20" ht="15.75" x14ac:dyDescent="0.25">
      <c r="A13" s="1" t="s">
        <v>25</v>
      </c>
      <c r="C13" s="10">
        <f>C12*PI()/30</f>
        <v>785.39816339744834</v>
      </c>
      <c r="F13" t="s">
        <v>37</v>
      </c>
      <c r="G13" s="12"/>
      <c r="I13" t="s">
        <v>34</v>
      </c>
      <c r="Q13" s="3">
        <f>Q7</f>
        <v>406.22870433186819</v>
      </c>
      <c r="R13">
        <v>0</v>
      </c>
    </row>
    <row r="14" spans="1:20" ht="18" x14ac:dyDescent="0.25">
      <c r="A14" s="7" t="s">
        <v>97</v>
      </c>
      <c r="B14" s="2">
        <v>0.39449199032135579</v>
      </c>
      <c r="C14" t="s">
        <v>99</v>
      </c>
      <c r="F14" s="7" t="s">
        <v>89</v>
      </c>
      <c r="G14" s="21">
        <f>(C7+C8)/2 *C13</f>
        <v>305.5198855616074</v>
      </c>
      <c r="I14" s="7" t="s">
        <v>60</v>
      </c>
      <c r="J14" s="2">
        <f>J25*100000/(B22*J24)</f>
        <v>0.8802902600250414</v>
      </c>
      <c r="P14" t="s">
        <v>12</v>
      </c>
      <c r="Q14" s="3">
        <f>Q11</f>
        <v>-421.94150070824861</v>
      </c>
      <c r="R14">
        <f>R12</f>
        <v>0</v>
      </c>
    </row>
    <row r="15" spans="1:20" ht="18.75" thickBot="1" x14ac:dyDescent="0.3">
      <c r="F15" s="4" t="s">
        <v>84</v>
      </c>
      <c r="G15" s="3">
        <f>G3/B16 + B14*(G3-G3/B16)</f>
        <v>2.7369902668575925</v>
      </c>
      <c r="I15" s="4" t="s">
        <v>31</v>
      </c>
      <c r="J15">
        <f>D7+(D8-D7)*B20</f>
        <v>0.38900000000000001</v>
      </c>
      <c r="Q15" s="3">
        <f>Q9</f>
        <v>-116.42161514664122</v>
      </c>
      <c r="R15">
        <f>R13</f>
        <v>0</v>
      </c>
    </row>
    <row r="16" spans="1:20" ht="19.5" thickTop="1" thickBot="1" x14ac:dyDescent="0.3">
      <c r="A16" s="7" t="s">
        <v>82</v>
      </c>
      <c r="B16" s="18">
        <v>3.96</v>
      </c>
      <c r="F16" s="4" t="s">
        <v>69</v>
      </c>
      <c r="G16" s="14">
        <f>G4*(G15/G3)^((B23-1)/B23)</f>
        <v>582.12254487945711</v>
      </c>
      <c r="I16" t="s">
        <v>21</v>
      </c>
      <c r="J16" s="17">
        <f>J29*J14*B19</f>
        <v>22.846172987559825</v>
      </c>
    </row>
    <row r="17" spans="1:10" ht="18.75" thickTop="1" x14ac:dyDescent="0.25">
      <c r="A17" t="s">
        <v>109</v>
      </c>
      <c r="B17" s="13">
        <f>PI()*(B8^2-B7^2)</f>
        <v>9.7766363379714394E-2</v>
      </c>
      <c r="F17" s="7" t="s">
        <v>85</v>
      </c>
      <c r="G17" s="14">
        <f>SQRT(B24*(G4-G16)*2)</f>
        <v>441.67561823185139</v>
      </c>
      <c r="I17" s="7" t="s">
        <v>58</v>
      </c>
      <c r="J17" s="3">
        <f>C12*PI()/30*J15</f>
        <v>305.5198855616074</v>
      </c>
    </row>
    <row r="18" spans="1:10" ht="18" x14ac:dyDescent="0.25">
      <c r="A18" t="s">
        <v>102</v>
      </c>
      <c r="B18" s="13">
        <f>PI()*(C8^2-C7^2)</f>
        <v>0.11331121515708886</v>
      </c>
      <c r="F18" s="7" t="s">
        <v>64</v>
      </c>
      <c r="G18" s="14">
        <f>SQRT(G17*G17*B11)</f>
        <v>424.79000736828959</v>
      </c>
      <c r="I18" s="7" t="s">
        <v>33</v>
      </c>
      <c r="J18" s="6">
        <f>J19*B24</f>
        <v>624924.25297747646</v>
      </c>
    </row>
    <row r="19" spans="1:10" ht="18" x14ac:dyDescent="0.25">
      <c r="A19" t="s">
        <v>103</v>
      </c>
      <c r="B19" s="13">
        <f>PI()*(D8^2-D7^2)</f>
        <v>0.14923087036188631</v>
      </c>
      <c r="F19" s="4" t="s">
        <v>86</v>
      </c>
      <c r="G19" s="14">
        <f>-((G18^2/2)/B24-G4)</f>
        <v>589.16335401349784</v>
      </c>
      <c r="I19" s="4" t="s">
        <v>72</v>
      </c>
      <c r="J19" s="6">
        <f>J8-(J3^2-J17^2)/(2*B24)</f>
        <v>601.4670384768782</v>
      </c>
    </row>
    <row r="20" spans="1:10" ht="18" x14ac:dyDescent="0.25">
      <c r="A20" t="s">
        <v>5</v>
      </c>
      <c r="B20">
        <v>0.5</v>
      </c>
      <c r="F20" s="4" t="s">
        <v>87</v>
      </c>
      <c r="G20" s="14">
        <f>G19*B24</f>
        <v>612140.72482002422</v>
      </c>
      <c r="I20" s="4" t="s">
        <v>105</v>
      </c>
      <c r="J20" s="3">
        <f>J7</f>
        <v>2.9747445766334359</v>
      </c>
    </row>
    <row r="21" spans="1:10" ht="18" x14ac:dyDescent="0.25">
      <c r="A21" t="s">
        <v>17</v>
      </c>
      <c r="F21" s="7" t="s">
        <v>35</v>
      </c>
      <c r="G21" s="3">
        <f>G15*100000/(B22*G19)</f>
        <v>1.6234201574650324</v>
      </c>
      <c r="I21" s="4" t="s">
        <v>106</v>
      </c>
      <c r="J21" s="3">
        <f>POWER(1+(B23-1)/2*J36^2,B23/(B23-1))*J25</f>
        <v>2.4615090504916539</v>
      </c>
    </row>
    <row r="22" spans="1:10" ht="18" x14ac:dyDescent="0.25">
      <c r="A22" t="s">
        <v>19</v>
      </c>
      <c r="B22" s="22">
        <f>286.158462</f>
        <v>286.15846199999999</v>
      </c>
      <c r="F22" s="4" t="s">
        <v>88</v>
      </c>
      <c r="G22" s="14">
        <f>SQRT(B22*B23*G19)</f>
        <v>473.52943456999714</v>
      </c>
      <c r="I22" s="4" t="s">
        <v>108</v>
      </c>
      <c r="J22" s="3">
        <f>J25*(1+(B23-1)/2*J35^2)^(B23/(B23-1))</f>
        <v>1.4667586077853565</v>
      </c>
    </row>
    <row r="23" spans="1:10" ht="18.75" thickBot="1" x14ac:dyDescent="0.3">
      <c r="A23" s="4" t="s">
        <v>18</v>
      </c>
      <c r="B23" s="8">
        <v>1.33</v>
      </c>
      <c r="F23" s="4" t="s">
        <v>67</v>
      </c>
      <c r="G23" s="2">
        <f>G18/G22</f>
        <v>0.89707202204659808</v>
      </c>
      <c r="I23" s="7" t="s">
        <v>36</v>
      </c>
      <c r="J23" s="6">
        <f>J8/(J7/J25)^((B23-1)/B23)</f>
        <v>486.25904547819522</v>
      </c>
    </row>
    <row r="24" spans="1:10" ht="19.5" thickTop="1" thickBot="1" x14ac:dyDescent="0.3">
      <c r="A24" t="s">
        <v>20</v>
      </c>
      <c r="B24" s="14">
        <v>1039</v>
      </c>
      <c r="F24" t="s">
        <v>21</v>
      </c>
      <c r="G24" s="17">
        <f>G21*B18*G25</f>
        <v>22.846173103758719</v>
      </c>
      <c r="I24" s="7" t="s">
        <v>68</v>
      </c>
      <c r="J24" s="6">
        <f>J19-J27^2/(2*B24)</f>
        <v>501.23608456802401</v>
      </c>
    </row>
    <row r="25" spans="1:10" ht="18.75" thickTop="1" x14ac:dyDescent="0.25">
      <c r="A25" t="s">
        <v>7</v>
      </c>
      <c r="B25" t="s">
        <v>65</v>
      </c>
      <c r="F25" s="7" t="s">
        <v>38</v>
      </c>
      <c r="G25" s="3">
        <f>G18*COS(RADIANS(B10))</f>
        <v>124.19657860345075</v>
      </c>
      <c r="I25" s="7" t="s">
        <v>83</v>
      </c>
      <c r="J25" s="3">
        <f>G3/B16</f>
        <v>1.2626262626262625</v>
      </c>
    </row>
    <row r="26" spans="1:10" ht="18" x14ac:dyDescent="0.25">
      <c r="B26" t="s">
        <v>8</v>
      </c>
      <c r="F26" s="4" t="s">
        <v>70</v>
      </c>
      <c r="G26" s="3">
        <f>G15*(1+(B23-1)/2*G23^2)^((B23)/(B23-1))</f>
        <v>4.5237553289492514</v>
      </c>
      <c r="I26" s="7" t="s">
        <v>43</v>
      </c>
      <c r="J26" s="6">
        <f>SQRT((J19-J23)*2*B24)</f>
        <v>489.28745073960692</v>
      </c>
    </row>
    <row r="27" spans="1:10" ht="18" x14ac:dyDescent="0.25">
      <c r="A27" s="4" t="s">
        <v>77</v>
      </c>
      <c r="B27" s="3">
        <v>1.2250000000000001</v>
      </c>
      <c r="F27" s="4" t="s">
        <v>101</v>
      </c>
      <c r="G27" s="6">
        <f>G4</f>
        <v>676</v>
      </c>
      <c r="I27" s="7" t="s">
        <v>104</v>
      </c>
      <c r="J27" s="6">
        <f>SQRT(J26*J26*C11)</f>
        <v>456.37695189678351</v>
      </c>
    </row>
    <row r="28" spans="1:10" ht="18" x14ac:dyDescent="0.25">
      <c r="F28" s="7" t="s">
        <v>98</v>
      </c>
      <c r="G28" s="2">
        <f>(G3-G26)/(G3-G15)</f>
        <v>0.21044746917170212</v>
      </c>
      <c r="I28" s="7" t="s">
        <v>49</v>
      </c>
      <c r="J28" s="3">
        <f>J26*COS(RADIANS(C10))</f>
        <v>186.45295299680828</v>
      </c>
    </row>
    <row r="29" spans="1:10" ht="18" x14ac:dyDescent="0.25">
      <c r="F29" s="4" t="s">
        <v>22</v>
      </c>
      <c r="G29" s="20">
        <f>B27*(G19/273.15)^1.5*(273.15+110.4)/(G19+110.4)</f>
        <v>2.127564847105996</v>
      </c>
      <c r="I29" s="7" t="s">
        <v>42</v>
      </c>
      <c r="J29" s="3">
        <f>J27*COS(RADIANS(C10))</f>
        <v>173.9117368168983</v>
      </c>
    </row>
    <row r="30" spans="1:10" ht="18" x14ac:dyDescent="0.25">
      <c r="I30" s="7" t="s">
        <v>41</v>
      </c>
      <c r="J30" s="3">
        <f>J27*SIN(RADIANS(C10))</f>
        <v>-421.94150070824861</v>
      </c>
    </row>
    <row r="31" spans="1:10" ht="18" x14ac:dyDescent="0.25">
      <c r="F31" t="s">
        <v>100</v>
      </c>
      <c r="G31" s="3">
        <f>G24-J16</f>
        <v>1.1619889406233597E-7</v>
      </c>
      <c r="I31" s="7" t="s">
        <v>44</v>
      </c>
      <c r="J31" s="3">
        <f>J30+J17</f>
        <v>-116.42161514664122</v>
      </c>
    </row>
    <row r="32" spans="1:10" ht="18" x14ac:dyDescent="0.25">
      <c r="I32" s="7" t="s">
        <v>45</v>
      </c>
      <c r="J32" s="3">
        <f>SQRT(J31^2+J29^2)</f>
        <v>209.28278638249907</v>
      </c>
    </row>
    <row r="33" spans="9:10" x14ac:dyDescent="0.25">
      <c r="I33" s="7" t="s">
        <v>48</v>
      </c>
      <c r="J33" s="3">
        <f>SQRT(B23*B22*J23)</f>
        <v>430.19262776289622</v>
      </c>
    </row>
    <row r="34" spans="9:10" x14ac:dyDescent="0.25">
      <c r="I34" s="7" t="s">
        <v>47</v>
      </c>
      <c r="J34" s="3">
        <f>SQRT(B23*B22*J24)</f>
        <v>436.76746626588459</v>
      </c>
    </row>
    <row r="35" spans="9:10" x14ac:dyDescent="0.25">
      <c r="I35" s="7" t="s">
        <v>107</v>
      </c>
      <c r="J35" s="3">
        <f>J32/J34</f>
        <v>0.47916294721250374</v>
      </c>
    </row>
    <row r="36" spans="9:10" ht="18" x14ac:dyDescent="0.25">
      <c r="I36" s="7" t="s">
        <v>66</v>
      </c>
      <c r="J36" s="3">
        <f>J27/J34</f>
        <v>1.0448968550669513</v>
      </c>
    </row>
    <row r="37" spans="9:10" ht="18" x14ac:dyDescent="0.25">
      <c r="I37" s="7" t="s">
        <v>50</v>
      </c>
      <c r="J37" s="3">
        <f>G4*(J22/G3)^((B23-1)/B23)</f>
        <v>498.64906084199851</v>
      </c>
    </row>
    <row r="38" spans="9:10" ht="18" x14ac:dyDescent="0.25">
      <c r="I38" s="7" t="s">
        <v>51</v>
      </c>
      <c r="J38" s="3">
        <f>J24+J32^2 / (2*B24)</f>
        <v>522.31369990778467</v>
      </c>
    </row>
    <row r="39" spans="9:10" x14ac:dyDescent="0.25">
      <c r="I39" s="7" t="s">
        <v>80</v>
      </c>
      <c r="J39" s="3">
        <f>J29</f>
        <v>173.9117368168983</v>
      </c>
    </row>
    <row r="40" spans="9:10" x14ac:dyDescent="0.25">
      <c r="I40" s="7" t="s">
        <v>98</v>
      </c>
      <c r="J40" s="2">
        <f>(J20-J21)/(J20-J25)</f>
        <v>0.29976638994098842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 Type 3</vt:lpstr>
    </vt:vector>
  </TitlesOfParts>
  <Company>Engineering Computer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Juangphanich, Paht</dc:creator>
  <cp:lastModifiedBy>Paht Juangphanich</cp:lastModifiedBy>
  <dcterms:created xsi:type="dcterms:W3CDTF">2015-06-11T18:26:47Z</dcterms:created>
  <dcterms:modified xsi:type="dcterms:W3CDTF">2024-07-23T01:32:35Z</dcterms:modified>
</cp:coreProperties>
</file>