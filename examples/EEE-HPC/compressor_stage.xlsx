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juangph/Documents/GitHub/turbo-design/examples/EEE-HPC/"/>
    </mc:Choice>
  </mc:AlternateContent>
  <xr:revisionPtr revIDLastSave="0" documentId="13_ncr:1_{AC370F6C-812F-6741-9564-C91A9FB91D5A}" xr6:coauthVersionLast="47" xr6:coauthVersionMax="47" xr10:uidLastSave="{00000000-0000-0000-0000-000000000000}"/>
  <bookViews>
    <workbookView xWindow="0" yWindow="760" windowWidth="34560" windowHeight="20460" xr2:uid="{97437F79-41E5-5C49-B5DD-ED0BC88AE1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C22" i="1"/>
  <c r="C11" i="1"/>
  <c r="C13" i="1" s="1"/>
  <c r="C20" i="1"/>
  <c r="C21" i="1" s="1"/>
  <c r="C19" i="1"/>
  <c r="C7" i="1"/>
  <c r="C28" i="1" s="1"/>
</calcChain>
</file>

<file path=xl/sharedStrings.xml><?xml version="1.0" encoding="utf-8"?>
<sst xmlns="http://schemas.openxmlformats.org/spreadsheetml/2006/main" count="45" uniqueCount="33">
  <si>
    <t>Inlet</t>
  </si>
  <si>
    <t>Ps</t>
  </si>
  <si>
    <t>M</t>
  </si>
  <si>
    <t>alpha0</t>
  </si>
  <si>
    <t>Rotor1</t>
  </si>
  <si>
    <t>r_mean</t>
  </si>
  <si>
    <t>Spool</t>
  </si>
  <si>
    <t>RPM</t>
  </si>
  <si>
    <t xml:space="preserve">U </t>
  </si>
  <si>
    <t>m</t>
  </si>
  <si>
    <t>m/s</t>
  </si>
  <si>
    <t>Pa</t>
  </si>
  <si>
    <t>deg</t>
  </si>
  <si>
    <t>omega</t>
  </si>
  <si>
    <t>rad/s</t>
  </si>
  <si>
    <t>beta2</t>
  </si>
  <si>
    <t>V</t>
  </si>
  <si>
    <t>W</t>
  </si>
  <si>
    <t>h_exit</t>
  </si>
  <si>
    <t>massflow</t>
  </si>
  <si>
    <t>kg/s</t>
  </si>
  <si>
    <t>T0</t>
  </si>
  <si>
    <t>K</t>
  </si>
  <si>
    <t>Ts</t>
  </si>
  <si>
    <t>Fluid</t>
  </si>
  <si>
    <t>R</t>
  </si>
  <si>
    <t>J/(KgK)</t>
  </si>
  <si>
    <t>gamma</t>
  </si>
  <si>
    <t>a</t>
  </si>
  <si>
    <t>area</t>
  </si>
  <si>
    <t>m^2</t>
  </si>
  <si>
    <t>rho</t>
  </si>
  <si>
    <t>kg/m^3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</si>
</sst>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6" formatCode="0.0"/>
  </numFmts>
  <fonts count="4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5"/>
      <name val="Aptos Narrow"/>
      <family val="2"/>
      <scheme val="minor"/>
    </font>
    <font>
      <b/>
      <sz val="18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" fontId="1" fillId="0" borderId="0" xfId="0" applyNumberFormat="1" applyFont="1"/>
    <xf numFmtId="165" fontId="1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/>
    </xf>
    <xf numFmtId="2" fontId="2" fillId="0" borderId="0" xfId="0" applyNumberFormat="1" applyFont="1"/>
    <xf numFmtId="166" fontId="1" fillId="0" borderId="0" xfId="0" applyNumberFormat="1" applyFont="1"/>
    <xf numFmtId="165" fontId="2" fillId="0" borderId="0" xfId="0" applyNumberFormat="1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F1998-C6E3-514E-A026-5D85071A5843}">
  <dimension ref="A1:C34"/>
  <sheetViews>
    <sheetView tabSelected="1" zoomScaleNormal="100" workbookViewId="0">
      <selection activeCell="A8" sqref="A8"/>
    </sheetView>
  </sheetViews>
  <sheetFormatPr baseColWidth="10" defaultRowHeight="24" x14ac:dyDescent="0.3"/>
  <cols>
    <col min="1" max="1" width="16.5" style="1" customWidth="1"/>
    <col min="2" max="2" width="10.5" style="2" bestFit="1" customWidth="1"/>
    <col min="3" max="3" width="16.83203125" style="1" customWidth="1"/>
    <col min="4" max="16384" width="10.83203125" style="1"/>
  </cols>
  <sheetData>
    <row r="1" spans="1:3" x14ac:dyDescent="0.3">
      <c r="A1" s="11" t="s">
        <v>24</v>
      </c>
    </row>
    <row r="2" spans="1:3" x14ac:dyDescent="0.3">
      <c r="A2" s="1" t="s">
        <v>25</v>
      </c>
      <c r="B2" s="2" t="s">
        <v>26</v>
      </c>
      <c r="C2" s="3">
        <v>287.14999999999998</v>
      </c>
    </row>
    <row r="3" spans="1:3" x14ac:dyDescent="0.3">
      <c r="A3" s="1" t="s">
        <v>27</v>
      </c>
      <c r="C3" s="1">
        <v>1.4</v>
      </c>
    </row>
    <row r="5" spans="1:3" x14ac:dyDescent="0.3">
      <c r="A5" s="1" t="s">
        <v>6</v>
      </c>
    </row>
    <row r="6" spans="1:3" x14ac:dyDescent="0.3">
      <c r="A6" s="1" t="s">
        <v>7</v>
      </c>
      <c r="C6" s="1">
        <v>12000</v>
      </c>
    </row>
    <row r="7" spans="1:3" x14ac:dyDescent="0.3">
      <c r="A7" s="1" t="s">
        <v>13</v>
      </c>
      <c r="B7" s="2" t="s">
        <v>14</v>
      </c>
      <c r="C7" s="4">
        <f>C6*PI()/30</f>
        <v>1256.6370614359173</v>
      </c>
    </row>
    <row r="10" spans="1:3" x14ac:dyDescent="0.3">
      <c r="A10" s="11" t="s">
        <v>0</v>
      </c>
    </row>
    <row r="11" spans="1:3" x14ac:dyDescent="0.3">
      <c r="A11" s="1" t="s">
        <v>5</v>
      </c>
      <c r="B11" s="2" t="s">
        <v>9</v>
      </c>
      <c r="C11" s="1">
        <f>0.05</f>
        <v>0.05</v>
      </c>
    </row>
    <row r="12" spans="1:3" x14ac:dyDescent="0.3">
      <c r="A12" s="1" t="s">
        <v>18</v>
      </c>
      <c r="B12" s="2" t="s">
        <v>9</v>
      </c>
      <c r="C12" s="3">
        <v>2.4E-2</v>
      </c>
    </row>
    <row r="13" spans="1:3" x14ac:dyDescent="0.3">
      <c r="A13" s="6" t="s">
        <v>29</v>
      </c>
      <c r="B13" s="7" t="s">
        <v>30</v>
      </c>
      <c r="C13" s="10">
        <f>PI() * ((C11+C12/2)^2 - (C11-C12/2)^2)</f>
        <v>7.5398223686155017E-3</v>
      </c>
    </row>
    <row r="14" spans="1:3" x14ac:dyDescent="0.3">
      <c r="C14" s="5"/>
    </row>
    <row r="15" spans="1:3" x14ac:dyDescent="0.3">
      <c r="A15" s="1" t="s">
        <v>1</v>
      </c>
      <c r="B15" s="2" t="s">
        <v>11</v>
      </c>
      <c r="C15" s="1">
        <v>101325</v>
      </c>
    </row>
    <row r="16" spans="1:3" x14ac:dyDescent="0.3">
      <c r="A16" s="1" t="s">
        <v>23</v>
      </c>
      <c r="B16" s="2" t="s">
        <v>22</v>
      </c>
      <c r="C16" s="1">
        <v>250</v>
      </c>
    </row>
    <row r="17" spans="1:3" x14ac:dyDescent="0.3">
      <c r="A17" s="1" t="s">
        <v>2</v>
      </c>
      <c r="C17" s="1">
        <v>0.7</v>
      </c>
    </row>
    <row r="18" spans="1:3" x14ac:dyDescent="0.3">
      <c r="A18" s="1" t="s">
        <v>3</v>
      </c>
      <c r="B18" s="2" t="s">
        <v>12</v>
      </c>
      <c r="C18" s="1">
        <v>0</v>
      </c>
    </row>
    <row r="19" spans="1:3" x14ac:dyDescent="0.3">
      <c r="A19" s="6" t="s">
        <v>21</v>
      </c>
      <c r="B19" s="7" t="s">
        <v>22</v>
      </c>
      <c r="C19" s="6">
        <f>(1+(C3-1)/2*C17^2) * C16</f>
        <v>274.49999999999994</v>
      </c>
    </row>
    <row r="20" spans="1:3" x14ac:dyDescent="0.3">
      <c r="A20" s="6" t="s">
        <v>28</v>
      </c>
      <c r="B20" s="7" t="s">
        <v>10</v>
      </c>
      <c r="C20" s="8">
        <f>SQRT(C3*C2*C16)</f>
        <v>317.021292660288</v>
      </c>
    </row>
    <row r="21" spans="1:3" x14ac:dyDescent="0.3">
      <c r="A21" s="6" t="s">
        <v>16</v>
      </c>
      <c r="B21" s="7" t="s">
        <v>10</v>
      </c>
      <c r="C21" s="8">
        <f>C20*C17</f>
        <v>221.91490486220158</v>
      </c>
    </row>
    <row r="22" spans="1:3" x14ac:dyDescent="0.3">
      <c r="A22" s="6" t="s">
        <v>31</v>
      </c>
      <c r="B22" s="7" t="s">
        <v>32</v>
      </c>
      <c r="C22" s="8">
        <f>C15/(C2*C16)</f>
        <v>1.4114574264321782</v>
      </c>
    </row>
    <row r="23" spans="1:3" x14ac:dyDescent="0.3">
      <c r="A23" s="6" t="s">
        <v>19</v>
      </c>
      <c r="B23" s="7" t="s">
        <v>20</v>
      </c>
      <c r="C23" s="8">
        <f>C21*C13*C22</f>
        <v>2.361649103084841</v>
      </c>
    </row>
    <row r="25" spans="1:3" x14ac:dyDescent="0.3">
      <c r="A25" s="11" t="s">
        <v>4</v>
      </c>
    </row>
    <row r="26" spans="1:3" x14ac:dyDescent="0.3">
      <c r="A26" s="1" t="s">
        <v>18</v>
      </c>
      <c r="B26" s="2" t="s">
        <v>9</v>
      </c>
      <c r="C26" s="1">
        <v>0.05</v>
      </c>
    </row>
    <row r="27" spans="1:3" x14ac:dyDescent="0.3">
      <c r="A27" s="1" t="s">
        <v>5</v>
      </c>
      <c r="B27" s="2" t="s">
        <v>9</v>
      </c>
      <c r="C27" s="1">
        <v>0.2</v>
      </c>
    </row>
    <row r="28" spans="1:3" x14ac:dyDescent="0.3">
      <c r="A28" s="1" t="s">
        <v>8</v>
      </c>
      <c r="B28" s="2" t="s">
        <v>10</v>
      </c>
      <c r="C28" s="9">
        <f>C7*C27</f>
        <v>251.32741228718348</v>
      </c>
    </row>
    <row r="29" spans="1:3" x14ac:dyDescent="0.3">
      <c r="A29" s="1" t="s">
        <v>15</v>
      </c>
      <c r="B29" s="2" t="s">
        <v>12</v>
      </c>
      <c r="C29" s="1">
        <v>20</v>
      </c>
    </row>
    <row r="30" spans="1:3" x14ac:dyDescent="0.3">
      <c r="A30" s="1" t="s">
        <v>19</v>
      </c>
      <c r="B30" s="2" t="s">
        <v>20</v>
      </c>
    </row>
    <row r="33" spans="1:1" x14ac:dyDescent="0.3">
      <c r="A33" s="1" t="s">
        <v>16</v>
      </c>
    </row>
    <row r="34" spans="1:1" x14ac:dyDescent="0.3">
      <c r="A34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Juangphanich, Paht (GRC-LTE0)</dc:creator>
  <cp:lastModifiedBy>Juangphanich, Paht (GRC-LTE0)</cp:lastModifiedBy>
  <dcterms:created xsi:type="dcterms:W3CDTF">2025-09-26T14:59:38Z</dcterms:created>
  <dcterms:modified xsi:type="dcterms:W3CDTF">2025-09-26T15:35:00Z</dcterms:modified>
</cp:coreProperties>
</file>