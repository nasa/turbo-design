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2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3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79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80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charts/chart81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harts/chart82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harts/chart83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84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charts/chart85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charts/chart86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charts/chart87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charts/chart88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charts/chart89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charts/chart90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charts/chart91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charts/chart92.xml" ContentType="application/vnd.openxmlformats-officedocument.drawingml.chart+xml"/>
  <Override PartName="/xl/charts/style92.xml" ContentType="application/vnd.ms-office.chartstyle+xml"/>
  <Override PartName="/xl/charts/colors92.xml" ContentType="application/vnd.ms-office.chartcolorstyle+xml"/>
  <Override PartName="/xl/charts/chart93.xml" ContentType="application/vnd.openxmlformats-officedocument.drawingml.chart+xml"/>
  <Override PartName="/xl/charts/style93.xml" ContentType="application/vnd.ms-office.chartstyle+xml"/>
  <Override PartName="/xl/charts/colors93.xml" ContentType="application/vnd.ms-office.chartcolorstyle+xml"/>
  <Override PartName="/xl/charts/chart94.xml" ContentType="application/vnd.openxmlformats-officedocument.drawingml.chart+xml"/>
  <Override PartName="/xl/charts/style94.xml" ContentType="application/vnd.ms-office.chartstyle+xml"/>
  <Override PartName="/xl/charts/colors94.xml" ContentType="application/vnd.ms-office.chartcolorstyle+xml"/>
  <Override PartName="/xl/charts/chart95.xml" ContentType="application/vnd.openxmlformats-officedocument.drawingml.chart+xml"/>
  <Override PartName="/xl/charts/style95.xml" ContentType="application/vnd.ms-office.chartstyle+xml"/>
  <Override PartName="/xl/charts/colors95.xml" ContentType="application/vnd.ms-office.chartcolorstyle+xml"/>
  <Override PartName="/xl/charts/chart96.xml" ContentType="application/vnd.openxmlformats-officedocument.drawingml.chart+xml"/>
  <Override PartName="/xl/charts/style96.xml" ContentType="application/vnd.ms-office.chartstyle+xml"/>
  <Override PartName="/xl/charts/colors96.xml" ContentType="application/vnd.ms-office.chartcolorstyle+xml"/>
  <Override PartName="/xl/charts/chart97.xml" ContentType="application/vnd.openxmlformats-officedocument.drawingml.chart+xml"/>
  <Override PartName="/xl/charts/style97.xml" ContentType="application/vnd.ms-office.chartstyle+xml"/>
  <Override PartName="/xl/charts/colors97.xml" ContentType="application/vnd.ms-office.chartcolorstyle+xml"/>
  <Override PartName="/xl/charts/chart98.xml" ContentType="application/vnd.openxmlformats-officedocument.drawingml.chart+xml"/>
  <Override PartName="/xl/charts/style98.xml" ContentType="application/vnd.ms-office.chartstyle+xml"/>
  <Override PartName="/xl/charts/colors98.xml" ContentType="application/vnd.ms-office.chartcolorstyle+xml"/>
  <Override PartName="/xl/charts/chart99.xml" ContentType="application/vnd.openxmlformats-officedocument.drawingml.chart+xml"/>
  <Override PartName="/xl/charts/style99.xml" ContentType="application/vnd.ms-office.chartstyle+xml"/>
  <Override PartName="/xl/charts/colors99.xml" ContentType="application/vnd.ms-office.chartcolorstyle+xml"/>
  <Override PartName="/xl/charts/chart100.xml" ContentType="application/vnd.openxmlformats-officedocument.drawingml.chart+xml"/>
  <Override PartName="/xl/charts/style100.xml" ContentType="application/vnd.ms-office.chartstyle+xml"/>
  <Override PartName="/xl/charts/colors100.xml" ContentType="application/vnd.ms-office.chartcolorstyle+xml"/>
  <Override PartName="/xl/charts/chart101.xml" ContentType="application/vnd.openxmlformats-officedocument.drawingml.chart+xml"/>
  <Override PartName="/xl/charts/style101.xml" ContentType="application/vnd.ms-office.chartstyle+xml"/>
  <Override PartName="/xl/charts/colors101.xml" ContentType="application/vnd.ms-office.chartcolorstyle+xml"/>
  <Override PartName="/xl/charts/chart102.xml" ContentType="application/vnd.openxmlformats-officedocument.drawingml.chart+xml"/>
  <Override PartName="/xl/charts/style102.xml" ContentType="application/vnd.ms-office.chartstyle+xml"/>
  <Override PartName="/xl/charts/colors102.xml" ContentType="application/vnd.ms-office.chartcolorstyle+xml"/>
  <Override PartName="/xl/charts/chart103.xml" ContentType="application/vnd.openxmlformats-officedocument.drawingml.chart+xml"/>
  <Override PartName="/xl/charts/style103.xml" ContentType="application/vnd.ms-office.chartstyle+xml"/>
  <Override PartName="/xl/charts/colors10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/>
  <mc:AlternateContent xmlns:mc="http://schemas.openxmlformats.org/markup-compatibility/2006">
    <mc:Choice Requires="x15">
      <x15ac:absPath xmlns:x15ac="http://schemas.microsoft.com/office/spreadsheetml/2010/11/ac" url="/Users/pjuangph/Downloads/"/>
    </mc:Choice>
  </mc:AlternateContent>
  <xr:revisionPtr revIDLastSave="0" documentId="13_ncr:1_{2C8134CE-8F96-D748-AD03-86A04C341881}" xr6:coauthVersionLast="47" xr6:coauthVersionMax="47" xr10:uidLastSave="{00000000-0000-0000-0000-000000000000}"/>
  <bookViews>
    <workbookView xWindow="34560" yWindow="0" windowWidth="38400" windowHeight="21600" activeTab="3" xr2:uid="{00000000-000D-0000-FFFF-FFFF00000000}"/>
  </bookViews>
  <sheets>
    <sheet name="Design Parameters" sheetId="1" r:id="rId1"/>
    <sheet name="Plots" sheetId="2" r:id="rId2"/>
    <sheet name="Compressor Map" sheetId="3" r:id="rId3"/>
    <sheet name="Detailed Report Data" sheetId="4" r:id="rId4"/>
    <sheet name="For MtLab" sheetId="16" r:id="rId5"/>
    <sheet name="ds Manual Calculations" sheetId="10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2" i="16" l="1"/>
  <c r="I2" i="16"/>
  <c r="K2" i="16"/>
  <c r="H3" i="16"/>
  <c r="I3" i="16"/>
  <c r="K3" i="16"/>
  <c r="H4" i="16"/>
  <c r="I4" i="16"/>
  <c r="K4" i="16"/>
  <c r="H5" i="16"/>
  <c r="I5" i="16"/>
  <c r="K5" i="16"/>
  <c r="H6" i="16"/>
  <c r="I6" i="16"/>
  <c r="K6" i="16"/>
  <c r="H7" i="16"/>
  <c r="I7" i="16"/>
  <c r="K7" i="16"/>
  <c r="H8" i="16"/>
  <c r="I8" i="16"/>
  <c r="K8" i="16"/>
  <c r="H9" i="16"/>
  <c r="I9" i="16"/>
  <c r="K9" i="16"/>
  <c r="H10" i="16"/>
  <c r="I10" i="16"/>
  <c r="K10" i="16"/>
  <c r="H11" i="16"/>
  <c r="I11" i="16"/>
  <c r="K11" i="16"/>
  <c r="H12" i="16"/>
  <c r="I12" i="16"/>
  <c r="K12" i="16"/>
  <c r="H13" i="16"/>
  <c r="I13" i="16"/>
  <c r="K13" i="16"/>
  <c r="H14" i="16"/>
  <c r="I14" i="16"/>
  <c r="K14" i="16"/>
  <c r="H15" i="16"/>
  <c r="I15" i="16"/>
  <c r="K15" i="16"/>
  <c r="H16" i="16"/>
  <c r="I16" i="16"/>
  <c r="K16" i="16"/>
  <c r="H17" i="16"/>
  <c r="I17" i="16"/>
  <c r="K17" i="16"/>
  <c r="H18" i="16"/>
  <c r="I18" i="16"/>
  <c r="K18" i="16"/>
  <c r="H19" i="16"/>
  <c r="I19" i="16"/>
  <c r="K19" i="16"/>
  <c r="H20" i="16"/>
  <c r="I20" i="16"/>
  <c r="K20" i="16"/>
  <c r="H21" i="16"/>
  <c r="I21" i="16"/>
  <c r="K21" i="16"/>
  <c r="H22" i="16"/>
  <c r="I22" i="16"/>
  <c r="K22" i="16"/>
  <c r="H23" i="16"/>
  <c r="I23" i="16"/>
  <c r="K23" i="16"/>
  <c r="H24" i="16"/>
  <c r="I24" i="16"/>
  <c r="K24" i="16"/>
  <c r="H25" i="16"/>
  <c r="I25" i="16"/>
  <c r="K25" i="16"/>
  <c r="H26" i="16"/>
  <c r="I26" i="16"/>
  <c r="K26" i="16"/>
  <c r="H27" i="16"/>
  <c r="I27" i="16"/>
  <c r="K27" i="16"/>
  <c r="H28" i="16"/>
  <c r="I28" i="16"/>
  <c r="K28" i="16"/>
  <c r="H29" i="16"/>
  <c r="I29" i="16"/>
  <c r="K29" i="16"/>
  <c r="H30" i="16"/>
  <c r="I30" i="16"/>
  <c r="K30" i="16"/>
  <c r="H31" i="16"/>
  <c r="I31" i="16"/>
  <c r="K31" i="16"/>
  <c r="H32" i="16"/>
  <c r="I32" i="16"/>
  <c r="K32" i="16"/>
  <c r="H33" i="16"/>
  <c r="I33" i="16"/>
  <c r="K33" i="16"/>
  <c r="H34" i="16"/>
  <c r="I34" i="16"/>
  <c r="K34" i="16"/>
  <c r="H35" i="16"/>
  <c r="I35" i="16"/>
  <c r="K35" i="16"/>
  <c r="H36" i="16"/>
  <c r="I36" i="16"/>
  <c r="K36" i="16"/>
  <c r="H37" i="16"/>
  <c r="I37" i="16"/>
  <c r="K37" i="16"/>
  <c r="H38" i="16"/>
  <c r="I38" i="16"/>
  <c r="K38" i="16"/>
  <c r="H39" i="16"/>
  <c r="I39" i="16"/>
  <c r="K39" i="16"/>
  <c r="H40" i="16"/>
  <c r="I40" i="16"/>
  <c r="K40" i="16"/>
  <c r="H41" i="16"/>
  <c r="I41" i="16"/>
  <c r="K41" i="16"/>
  <c r="H42" i="16"/>
  <c r="I42" i="16"/>
  <c r="K42" i="16"/>
  <c r="H43" i="16"/>
  <c r="I43" i="16"/>
  <c r="K43" i="16"/>
  <c r="H44" i="16"/>
  <c r="I44" i="16"/>
  <c r="K44" i="16"/>
  <c r="H45" i="16"/>
  <c r="I45" i="16"/>
  <c r="K45" i="16"/>
  <c r="H46" i="16"/>
  <c r="I46" i="16"/>
  <c r="K46" i="16"/>
  <c r="H47" i="16"/>
  <c r="I47" i="16"/>
  <c r="K47" i="16"/>
  <c r="H48" i="16"/>
  <c r="I48" i="16"/>
  <c r="K48" i="16"/>
  <c r="H49" i="16"/>
  <c r="I49" i="16"/>
  <c r="K49" i="16"/>
  <c r="H50" i="16"/>
  <c r="I50" i="16"/>
  <c r="K50" i="16"/>
  <c r="H51" i="16"/>
  <c r="I51" i="16"/>
  <c r="K51" i="16"/>
  <c r="H52" i="16"/>
  <c r="I52" i="16"/>
  <c r="K52" i="16"/>
  <c r="H53" i="16"/>
  <c r="I53" i="16"/>
  <c r="K53" i="16"/>
  <c r="H54" i="16"/>
  <c r="I54" i="16"/>
  <c r="K54" i="16"/>
  <c r="H55" i="16"/>
  <c r="I55" i="16"/>
  <c r="K55" i="16"/>
  <c r="H56" i="16"/>
  <c r="I56" i="16"/>
  <c r="K56" i="16"/>
  <c r="H57" i="16"/>
  <c r="I57" i="16"/>
  <c r="K57" i="16"/>
  <c r="H58" i="16"/>
  <c r="I58" i="16"/>
  <c r="K58" i="16"/>
  <c r="H59" i="16"/>
  <c r="I59" i="16"/>
  <c r="K59" i="16"/>
  <c r="H60" i="16"/>
  <c r="I60" i="16"/>
  <c r="K60" i="16"/>
  <c r="H61" i="16"/>
  <c r="I61" i="16"/>
  <c r="K61" i="16"/>
  <c r="H62" i="16"/>
  <c r="I62" i="16"/>
  <c r="K62" i="16"/>
  <c r="H63" i="16"/>
  <c r="I63" i="16"/>
  <c r="K63" i="16"/>
  <c r="H64" i="16"/>
  <c r="I64" i="16"/>
  <c r="K64" i="16"/>
  <c r="H65" i="16"/>
  <c r="I65" i="16"/>
  <c r="K65" i="16"/>
  <c r="H66" i="16"/>
  <c r="I66" i="16"/>
  <c r="K66" i="16"/>
  <c r="H67" i="16"/>
  <c r="I67" i="16"/>
  <c r="K67" i="16"/>
  <c r="H68" i="16"/>
  <c r="I68" i="16"/>
  <c r="K68" i="16"/>
  <c r="H69" i="16"/>
  <c r="I69" i="16"/>
  <c r="K69" i="16"/>
  <c r="H70" i="16"/>
  <c r="I70" i="16"/>
  <c r="K70" i="16"/>
  <c r="H71" i="16"/>
  <c r="I71" i="16"/>
  <c r="K71" i="16"/>
  <c r="H72" i="16"/>
  <c r="I72" i="16"/>
  <c r="K72" i="16"/>
  <c r="H73" i="16"/>
  <c r="I73" i="16"/>
  <c r="K73" i="16"/>
  <c r="H74" i="16"/>
  <c r="I74" i="16"/>
  <c r="K74" i="16"/>
  <c r="H75" i="16"/>
  <c r="I75" i="16"/>
  <c r="K75" i="16"/>
  <c r="H76" i="16"/>
  <c r="I76" i="16"/>
  <c r="K76" i="16"/>
  <c r="H77" i="16"/>
  <c r="I77" i="16"/>
  <c r="K77" i="16"/>
  <c r="H78" i="16"/>
  <c r="I78" i="16"/>
  <c r="K78" i="16"/>
  <c r="H79" i="16"/>
  <c r="I79" i="16"/>
  <c r="K79" i="16"/>
  <c r="H80" i="16"/>
  <c r="I80" i="16"/>
  <c r="K80" i="16"/>
  <c r="H81" i="16"/>
  <c r="I81" i="16"/>
  <c r="K81" i="16"/>
  <c r="H82" i="16"/>
  <c r="I82" i="16"/>
  <c r="K82" i="16"/>
  <c r="H83" i="16"/>
  <c r="I83" i="16"/>
  <c r="K83" i="16"/>
  <c r="H84" i="16"/>
  <c r="I84" i="16"/>
  <c r="K84" i="16"/>
  <c r="H85" i="16"/>
  <c r="I85" i="16"/>
  <c r="K85" i="16"/>
  <c r="H86" i="16"/>
  <c r="I86" i="16"/>
  <c r="K86" i="16"/>
  <c r="H87" i="16"/>
  <c r="I87" i="16"/>
  <c r="K87" i="16"/>
  <c r="H88" i="16"/>
  <c r="I88" i="16"/>
  <c r="K88" i="16"/>
  <c r="H89" i="16"/>
  <c r="I89" i="16"/>
  <c r="K89" i="16"/>
  <c r="H90" i="16"/>
  <c r="I90" i="16"/>
  <c r="K90" i="16"/>
  <c r="H91" i="16"/>
  <c r="I91" i="16"/>
  <c r="K91" i="16"/>
  <c r="H92" i="16"/>
  <c r="I92" i="16"/>
  <c r="K92" i="16"/>
  <c r="H93" i="16"/>
  <c r="I93" i="16"/>
  <c r="K93" i="16"/>
  <c r="H94" i="16"/>
  <c r="I94" i="16"/>
  <c r="K94" i="16"/>
  <c r="H95" i="16"/>
  <c r="I95" i="16"/>
  <c r="K95" i="16"/>
  <c r="H96" i="16"/>
  <c r="I96" i="16"/>
  <c r="K96" i="16"/>
  <c r="H97" i="16"/>
  <c r="I97" i="16"/>
  <c r="K97" i="16"/>
  <c r="H98" i="16"/>
  <c r="I98" i="16"/>
  <c r="K98" i="16"/>
  <c r="H99" i="16"/>
  <c r="I99" i="16"/>
  <c r="K99" i="16"/>
  <c r="H100" i="16"/>
  <c r="I100" i="16"/>
  <c r="K100" i="16"/>
  <c r="H101" i="16"/>
  <c r="I101" i="16"/>
  <c r="K101" i="16"/>
  <c r="H102" i="16"/>
  <c r="I102" i="16"/>
  <c r="K102" i="16"/>
  <c r="H103" i="16"/>
  <c r="I103" i="16"/>
  <c r="K103" i="16"/>
  <c r="H104" i="16"/>
  <c r="I104" i="16"/>
  <c r="K104" i="16"/>
  <c r="H105" i="16"/>
  <c r="I105" i="16"/>
  <c r="K105" i="16"/>
  <c r="H106" i="16"/>
  <c r="I106" i="16"/>
  <c r="K106" i="16"/>
  <c r="H107" i="16"/>
  <c r="I107" i="16"/>
  <c r="K107" i="16"/>
  <c r="H108" i="16"/>
  <c r="I108" i="16"/>
  <c r="K108" i="16"/>
  <c r="H109" i="16"/>
  <c r="I109" i="16"/>
  <c r="K109" i="16"/>
  <c r="H110" i="16"/>
  <c r="I110" i="16"/>
  <c r="K110" i="16"/>
  <c r="H111" i="16"/>
  <c r="I111" i="16"/>
  <c r="K111" i="16"/>
  <c r="H112" i="16"/>
  <c r="I112" i="16"/>
  <c r="K112" i="16"/>
  <c r="H113" i="16"/>
  <c r="I113" i="16"/>
  <c r="K113" i="16"/>
  <c r="H114" i="16"/>
  <c r="I114" i="16"/>
  <c r="K114" i="16"/>
  <c r="H115" i="16"/>
  <c r="I115" i="16"/>
  <c r="K115" i="16"/>
  <c r="H116" i="16"/>
  <c r="I116" i="16"/>
  <c r="K116" i="16"/>
  <c r="H117" i="16"/>
  <c r="I117" i="16"/>
  <c r="K117" i="16"/>
  <c r="H118" i="16"/>
  <c r="I118" i="16"/>
  <c r="K118" i="16"/>
  <c r="H119" i="16"/>
  <c r="I119" i="16"/>
  <c r="K119" i="16"/>
  <c r="H120" i="16"/>
  <c r="I120" i="16"/>
  <c r="K120" i="16"/>
  <c r="H121" i="16"/>
  <c r="I121" i="16"/>
  <c r="K121" i="16"/>
  <c r="H122" i="16"/>
  <c r="I122" i="16"/>
  <c r="K122" i="16"/>
  <c r="H123" i="16"/>
  <c r="I123" i="16"/>
  <c r="K123" i="16"/>
  <c r="H124" i="16"/>
  <c r="I124" i="16"/>
  <c r="K124" i="16"/>
  <c r="H125" i="16"/>
  <c r="I125" i="16"/>
  <c r="K125" i="16"/>
  <c r="H126" i="16"/>
  <c r="I126" i="16"/>
  <c r="K126" i="16"/>
  <c r="H127" i="16"/>
  <c r="I127" i="16"/>
  <c r="K127" i="16"/>
  <c r="H128" i="16"/>
  <c r="I128" i="16"/>
  <c r="K128" i="16"/>
  <c r="H129" i="16"/>
  <c r="I129" i="16"/>
  <c r="K129" i="16"/>
  <c r="H130" i="16"/>
  <c r="I130" i="16"/>
  <c r="K130" i="16"/>
  <c r="H131" i="16"/>
  <c r="I131" i="16"/>
  <c r="K131" i="16"/>
  <c r="H132" i="16"/>
  <c r="I132" i="16"/>
  <c r="K132" i="16"/>
  <c r="H133" i="16"/>
  <c r="I133" i="16"/>
  <c r="K133" i="16"/>
  <c r="H134" i="16"/>
  <c r="I134" i="16"/>
  <c r="K134" i="16"/>
  <c r="H135" i="16"/>
  <c r="I135" i="16"/>
  <c r="K135" i="16"/>
  <c r="H136" i="16"/>
  <c r="I136" i="16"/>
  <c r="K136" i="16"/>
  <c r="H137" i="16"/>
  <c r="I137" i="16"/>
  <c r="K137" i="16"/>
  <c r="H138" i="16"/>
  <c r="I138" i="16"/>
  <c r="K138" i="16"/>
  <c r="H139" i="16"/>
  <c r="I139" i="16"/>
  <c r="K139" i="16"/>
  <c r="H140" i="16"/>
  <c r="I140" i="16"/>
  <c r="K140" i="16"/>
  <c r="H141" i="16"/>
  <c r="I141" i="16"/>
  <c r="K141" i="16"/>
  <c r="H142" i="16"/>
  <c r="I142" i="16"/>
  <c r="K142" i="16"/>
  <c r="H143" i="16"/>
  <c r="I143" i="16"/>
  <c r="K143" i="16"/>
  <c r="H144" i="16"/>
  <c r="I144" i="16"/>
  <c r="K144" i="16"/>
  <c r="H145" i="16"/>
  <c r="I145" i="16"/>
  <c r="K145" i="16"/>
  <c r="H146" i="16"/>
  <c r="I146" i="16"/>
  <c r="K146" i="16"/>
  <c r="H147" i="16"/>
  <c r="I147" i="16"/>
  <c r="K147" i="16"/>
  <c r="H148" i="16"/>
  <c r="I148" i="16"/>
  <c r="K148" i="16"/>
  <c r="H149" i="16"/>
  <c r="I149" i="16"/>
  <c r="K149" i="16"/>
  <c r="H150" i="16"/>
  <c r="I150" i="16"/>
  <c r="K150" i="16"/>
  <c r="H151" i="16"/>
  <c r="I151" i="16"/>
  <c r="K151" i="16"/>
  <c r="H152" i="16"/>
  <c r="I152" i="16"/>
  <c r="K152" i="16"/>
  <c r="H153" i="16"/>
  <c r="I153" i="16"/>
  <c r="K153" i="16"/>
  <c r="H154" i="16"/>
  <c r="I154" i="16"/>
  <c r="K154" i="16"/>
  <c r="H155" i="16"/>
  <c r="I155" i="16"/>
  <c r="K155" i="16"/>
  <c r="H156" i="16"/>
  <c r="I156" i="16"/>
  <c r="K156" i="16"/>
  <c r="H157" i="16"/>
  <c r="I157" i="16"/>
  <c r="K157" i="16"/>
  <c r="H158" i="16"/>
  <c r="I158" i="16"/>
  <c r="K158" i="16"/>
  <c r="H159" i="16"/>
  <c r="I159" i="16"/>
  <c r="K159" i="16"/>
  <c r="H160" i="16"/>
  <c r="I160" i="16"/>
  <c r="K160" i="16"/>
  <c r="H161" i="16"/>
  <c r="I161" i="16"/>
  <c r="K161" i="16"/>
  <c r="H162" i="16"/>
  <c r="I162" i="16"/>
  <c r="K162" i="16"/>
  <c r="H163" i="16"/>
  <c r="I163" i="16"/>
  <c r="K163" i="16"/>
  <c r="H164" i="16"/>
  <c r="I164" i="16"/>
  <c r="K164" i="16"/>
  <c r="H165" i="16"/>
  <c r="I165" i="16"/>
  <c r="K165" i="16"/>
  <c r="H166" i="16"/>
  <c r="I166" i="16"/>
  <c r="K166" i="16"/>
  <c r="H167" i="16"/>
  <c r="I167" i="16"/>
  <c r="K167" i="16"/>
  <c r="H168" i="16"/>
  <c r="I168" i="16"/>
  <c r="K168" i="16"/>
  <c r="H169" i="16"/>
  <c r="I169" i="16"/>
  <c r="K169" i="16"/>
  <c r="H170" i="16"/>
  <c r="I170" i="16"/>
  <c r="K170" i="16"/>
  <c r="H171" i="16"/>
  <c r="I171" i="16"/>
  <c r="K171" i="16"/>
  <c r="H172" i="16"/>
  <c r="I172" i="16"/>
  <c r="K172" i="16"/>
  <c r="H173" i="16"/>
  <c r="I173" i="16"/>
  <c r="K173" i="16"/>
  <c r="H174" i="16"/>
  <c r="I174" i="16"/>
  <c r="K174" i="16"/>
  <c r="H175" i="16"/>
  <c r="I175" i="16"/>
  <c r="K175" i="16"/>
  <c r="H176" i="16"/>
  <c r="I176" i="16"/>
  <c r="K176" i="16"/>
  <c r="H177" i="16"/>
  <c r="I177" i="16"/>
  <c r="K177" i="16"/>
  <c r="H178" i="16"/>
  <c r="I178" i="16"/>
  <c r="K178" i="16"/>
  <c r="H179" i="16"/>
  <c r="I179" i="16"/>
  <c r="K179" i="16"/>
  <c r="H180" i="16"/>
  <c r="I180" i="16"/>
  <c r="K180" i="16"/>
  <c r="H181" i="16"/>
  <c r="I181" i="16"/>
  <c r="K181" i="16"/>
  <c r="H182" i="16"/>
  <c r="I182" i="16"/>
  <c r="K182" i="16"/>
  <c r="H183" i="16"/>
  <c r="I183" i="16"/>
  <c r="K183" i="16"/>
  <c r="H184" i="16"/>
  <c r="I184" i="16"/>
  <c r="K184" i="16"/>
  <c r="H185" i="16"/>
  <c r="I185" i="16"/>
  <c r="K185" i="16"/>
  <c r="H186" i="16"/>
  <c r="I186" i="16"/>
  <c r="K186" i="16"/>
  <c r="H187" i="16"/>
  <c r="I187" i="16"/>
  <c r="K187" i="16"/>
  <c r="H188" i="16"/>
  <c r="I188" i="16"/>
  <c r="K188" i="16"/>
  <c r="H189" i="16"/>
  <c r="I189" i="16"/>
  <c r="K189" i="16"/>
  <c r="H190" i="16"/>
  <c r="I190" i="16"/>
  <c r="K190" i="16"/>
  <c r="H191" i="16"/>
  <c r="I191" i="16"/>
  <c r="K191" i="16"/>
  <c r="H192" i="16"/>
  <c r="I192" i="16"/>
  <c r="K192" i="16"/>
  <c r="H193" i="16"/>
  <c r="I193" i="16"/>
  <c r="K193" i="16"/>
  <c r="H194" i="16"/>
  <c r="I194" i="16"/>
  <c r="K194" i="16"/>
  <c r="H195" i="16"/>
  <c r="I195" i="16"/>
  <c r="K195" i="16"/>
  <c r="H196" i="16"/>
  <c r="I196" i="16"/>
  <c r="K196" i="16"/>
  <c r="H197" i="16"/>
  <c r="I197" i="16"/>
  <c r="K197" i="16"/>
  <c r="H198" i="16"/>
  <c r="I198" i="16"/>
  <c r="K198" i="16"/>
  <c r="H199" i="16"/>
  <c r="I199" i="16"/>
  <c r="K199" i="16"/>
  <c r="H200" i="16"/>
  <c r="I200" i="16"/>
  <c r="K200" i="16"/>
  <c r="H201" i="16"/>
  <c r="I201" i="16"/>
  <c r="K201" i="16"/>
  <c r="H202" i="16"/>
  <c r="I202" i="16"/>
  <c r="K202" i="16"/>
  <c r="H203" i="16"/>
  <c r="I203" i="16"/>
  <c r="K203" i="16"/>
  <c r="H204" i="16"/>
  <c r="I204" i="16"/>
  <c r="K204" i="16"/>
  <c r="H205" i="16"/>
  <c r="I205" i="16"/>
  <c r="K205" i="16"/>
  <c r="H206" i="16"/>
  <c r="I206" i="16"/>
  <c r="K206" i="16"/>
  <c r="H207" i="16"/>
  <c r="I207" i="16"/>
  <c r="K207" i="16"/>
  <c r="H208" i="16"/>
  <c r="I208" i="16"/>
  <c r="K208" i="16"/>
  <c r="H209" i="16"/>
  <c r="I209" i="16"/>
  <c r="K209" i="16"/>
  <c r="H210" i="16"/>
  <c r="I210" i="16"/>
  <c r="K210" i="16"/>
  <c r="H211" i="16"/>
  <c r="I211" i="16"/>
  <c r="K211" i="16"/>
  <c r="H212" i="16"/>
  <c r="I212" i="16"/>
  <c r="K212" i="16"/>
  <c r="H213" i="16"/>
  <c r="I213" i="16"/>
  <c r="K213" i="16"/>
  <c r="H214" i="16"/>
  <c r="I214" i="16"/>
  <c r="K214" i="16"/>
  <c r="H215" i="16"/>
  <c r="I215" i="16"/>
  <c r="K215" i="16"/>
  <c r="H216" i="16"/>
  <c r="I216" i="16"/>
  <c r="K216" i="16"/>
  <c r="H217" i="16"/>
  <c r="I217" i="16"/>
  <c r="K217" i="16"/>
  <c r="H218" i="16"/>
  <c r="I218" i="16"/>
  <c r="K218" i="16"/>
  <c r="H219" i="16"/>
  <c r="I219" i="16"/>
  <c r="K219" i="16"/>
  <c r="H220" i="16"/>
  <c r="I220" i="16"/>
  <c r="K220" i="16"/>
  <c r="H221" i="16"/>
  <c r="I221" i="16"/>
  <c r="K221" i="16"/>
  <c r="H222" i="16"/>
  <c r="I222" i="16"/>
  <c r="K222" i="16"/>
  <c r="H223" i="16"/>
  <c r="I223" i="16"/>
  <c r="K223" i="16"/>
  <c r="H224" i="16"/>
  <c r="I224" i="16"/>
  <c r="K224" i="16"/>
  <c r="H225" i="16"/>
  <c r="I225" i="16"/>
  <c r="K225" i="16"/>
  <c r="H226" i="16"/>
  <c r="I226" i="16"/>
  <c r="K226" i="16"/>
  <c r="H227" i="16"/>
  <c r="I227" i="16"/>
  <c r="K227" i="16"/>
  <c r="H228" i="16"/>
  <c r="I228" i="16"/>
  <c r="K228" i="16"/>
  <c r="H229" i="16"/>
  <c r="I229" i="16"/>
  <c r="K229" i="16"/>
  <c r="H230" i="16"/>
  <c r="I230" i="16"/>
  <c r="K230" i="16"/>
  <c r="H231" i="16"/>
  <c r="I231" i="16"/>
  <c r="K231" i="16"/>
  <c r="H232" i="16"/>
  <c r="I232" i="16"/>
  <c r="K232" i="16"/>
  <c r="H233" i="16"/>
  <c r="I233" i="16"/>
  <c r="K233" i="16"/>
  <c r="H234" i="16"/>
  <c r="I234" i="16"/>
  <c r="K234" i="16"/>
  <c r="H235" i="16"/>
  <c r="I235" i="16"/>
  <c r="K235" i="16"/>
  <c r="H236" i="16"/>
  <c r="I236" i="16"/>
  <c r="K236" i="16"/>
  <c r="H237" i="16"/>
  <c r="I237" i="16"/>
  <c r="K237" i="16"/>
  <c r="H238" i="16"/>
  <c r="I238" i="16"/>
  <c r="K238" i="16"/>
  <c r="H239" i="16"/>
  <c r="I239" i="16"/>
  <c r="K239" i="16"/>
  <c r="H240" i="16"/>
  <c r="I240" i="16"/>
  <c r="K240" i="16"/>
  <c r="H241" i="16"/>
  <c r="I241" i="16"/>
  <c r="K241" i="16"/>
  <c r="H242" i="16"/>
  <c r="I242" i="16"/>
  <c r="K242" i="16"/>
  <c r="H243" i="16"/>
  <c r="I243" i="16"/>
  <c r="K243" i="16"/>
  <c r="H244" i="16"/>
  <c r="I244" i="16"/>
  <c r="K244" i="16"/>
  <c r="H245" i="16"/>
  <c r="I245" i="16"/>
  <c r="K245" i="16"/>
  <c r="H246" i="16"/>
  <c r="I246" i="16"/>
  <c r="K246" i="16"/>
  <c r="H247" i="16"/>
  <c r="I247" i="16"/>
  <c r="K247" i="16"/>
  <c r="H248" i="16"/>
  <c r="I248" i="16"/>
  <c r="K248" i="16"/>
  <c r="H249" i="16"/>
  <c r="I249" i="16"/>
  <c r="K249" i="16"/>
  <c r="H250" i="16"/>
  <c r="I250" i="16"/>
  <c r="K250" i="16"/>
  <c r="H251" i="16"/>
  <c r="I251" i="16"/>
  <c r="K251" i="16"/>
  <c r="H252" i="16"/>
  <c r="I252" i="16"/>
  <c r="K252" i="16"/>
  <c r="H253" i="16"/>
  <c r="I253" i="16"/>
  <c r="K253" i="16"/>
  <c r="A268" i="4"/>
  <c r="A255" i="4"/>
  <c r="A242" i="4"/>
  <c r="A229" i="4"/>
  <c r="A216" i="4"/>
  <c r="A203" i="4"/>
  <c r="A190" i="4"/>
  <c r="A177" i="4"/>
  <c r="A164" i="4"/>
  <c r="A151" i="4"/>
  <c r="A138" i="4"/>
  <c r="A125" i="4"/>
  <c r="A112" i="4"/>
  <c r="A99" i="4"/>
  <c r="A86" i="4"/>
  <c r="A73" i="4"/>
  <c r="A60" i="4"/>
  <c r="A47" i="4"/>
  <c r="A34" i="4"/>
  <c r="A21" i="4"/>
  <c r="A8" i="4"/>
  <c r="A48" i="4"/>
  <c r="A9" i="4"/>
  <c r="A22" i="4"/>
  <c r="A35" i="4"/>
  <c r="A61" i="4"/>
  <c r="A74" i="4"/>
  <c r="A87" i="4"/>
  <c r="A100" i="4"/>
  <c r="A113" i="4"/>
  <c r="P3" i="10"/>
  <c r="P4" i="10"/>
  <c r="P5" i="10"/>
  <c r="P6" i="10"/>
  <c r="P7" i="10"/>
  <c r="P8" i="10"/>
  <c r="P9" i="10"/>
  <c r="P10" i="10"/>
  <c r="P11" i="10"/>
  <c r="P12" i="10"/>
  <c r="P13" i="10"/>
  <c r="P15" i="10"/>
  <c r="P16" i="10"/>
  <c r="P17" i="10"/>
  <c r="P18" i="10"/>
  <c r="P19" i="10"/>
  <c r="P20" i="10"/>
  <c r="P21" i="10"/>
  <c r="P22" i="10"/>
  <c r="P23" i="10"/>
  <c r="P24" i="10"/>
  <c r="P25" i="10"/>
  <c r="P26" i="10"/>
  <c r="P28" i="10"/>
  <c r="P29" i="10"/>
  <c r="P30" i="10"/>
  <c r="P31" i="10"/>
  <c r="P32" i="10"/>
  <c r="P33" i="10"/>
  <c r="P34" i="10"/>
  <c r="P35" i="10"/>
  <c r="P36" i="10"/>
  <c r="P37" i="10"/>
  <c r="P38" i="10"/>
  <c r="P39" i="10"/>
  <c r="P41" i="10"/>
  <c r="P42" i="10"/>
  <c r="P43" i="10"/>
  <c r="P44" i="10"/>
  <c r="P45" i="10"/>
  <c r="P46" i="10"/>
  <c r="P47" i="10"/>
  <c r="P48" i="10"/>
  <c r="P49" i="10"/>
  <c r="P50" i="10"/>
  <c r="P51" i="10"/>
  <c r="P52" i="10"/>
  <c r="P54" i="10"/>
  <c r="P55" i="10"/>
  <c r="P56" i="10"/>
  <c r="P57" i="10"/>
  <c r="P58" i="10"/>
  <c r="P59" i="10"/>
  <c r="P60" i="10"/>
  <c r="P61" i="10"/>
  <c r="P62" i="10"/>
  <c r="P63" i="10"/>
  <c r="P64" i="10"/>
  <c r="P65" i="10"/>
  <c r="P67" i="10"/>
  <c r="P68" i="10"/>
  <c r="P69" i="10"/>
  <c r="P70" i="10"/>
  <c r="P71" i="10"/>
  <c r="P72" i="10"/>
  <c r="P73" i="10"/>
  <c r="P74" i="10"/>
  <c r="P75" i="10"/>
  <c r="P76" i="10"/>
  <c r="P77" i="10"/>
  <c r="P78" i="10"/>
  <c r="P80" i="10"/>
  <c r="P81" i="10"/>
  <c r="P82" i="10"/>
  <c r="P83" i="10"/>
  <c r="P84" i="10"/>
  <c r="P85" i="10"/>
  <c r="P86" i="10"/>
  <c r="P87" i="10"/>
  <c r="P88" i="10"/>
  <c r="P89" i="10"/>
  <c r="P90" i="10"/>
  <c r="P91" i="10"/>
  <c r="P93" i="10"/>
  <c r="P94" i="10"/>
  <c r="P95" i="10"/>
  <c r="P96" i="10"/>
  <c r="P97" i="10"/>
  <c r="P98" i="10"/>
  <c r="P99" i="10"/>
  <c r="P100" i="10"/>
  <c r="P101" i="10"/>
  <c r="P102" i="10"/>
  <c r="P103" i="10"/>
  <c r="P104" i="10"/>
  <c r="P106" i="10"/>
  <c r="P107" i="10"/>
  <c r="P108" i="10"/>
  <c r="P109" i="10"/>
  <c r="P110" i="10"/>
  <c r="P111" i="10"/>
  <c r="P112" i="10"/>
  <c r="P113" i="10"/>
  <c r="P114" i="10"/>
  <c r="P115" i="10"/>
  <c r="P116" i="10"/>
  <c r="P117" i="10"/>
  <c r="P119" i="10"/>
  <c r="P120" i="10"/>
  <c r="P121" i="10"/>
  <c r="P122" i="10"/>
  <c r="P123" i="10"/>
  <c r="P124" i="10"/>
  <c r="P125" i="10"/>
  <c r="P126" i="10"/>
  <c r="P127" i="10"/>
  <c r="P128" i="10"/>
  <c r="P129" i="10"/>
  <c r="P130" i="10"/>
  <c r="P132" i="10"/>
  <c r="P133" i="10"/>
  <c r="P134" i="10"/>
  <c r="P135" i="10"/>
  <c r="P136" i="10"/>
  <c r="P137" i="10"/>
  <c r="P138" i="10"/>
  <c r="P139" i="10"/>
  <c r="P140" i="10"/>
  <c r="P141" i="10"/>
  <c r="P142" i="10"/>
  <c r="P143" i="10"/>
  <c r="P145" i="10"/>
  <c r="P146" i="10"/>
  <c r="P147" i="10"/>
  <c r="P148" i="10"/>
  <c r="P149" i="10"/>
  <c r="P150" i="10"/>
  <c r="P151" i="10"/>
  <c r="P152" i="10"/>
  <c r="P153" i="10"/>
  <c r="P154" i="10"/>
  <c r="P155" i="10"/>
  <c r="P156" i="10"/>
  <c r="P158" i="10"/>
  <c r="P159" i="10"/>
  <c r="P160" i="10"/>
  <c r="P161" i="10"/>
  <c r="P162" i="10"/>
  <c r="P163" i="10"/>
  <c r="P164" i="10"/>
  <c r="P165" i="10"/>
  <c r="P166" i="10"/>
  <c r="P167" i="10"/>
  <c r="P168" i="10"/>
  <c r="P169" i="10"/>
  <c r="P171" i="10"/>
  <c r="P172" i="10"/>
  <c r="P173" i="10"/>
  <c r="P174" i="10"/>
  <c r="P175" i="10"/>
  <c r="P176" i="10"/>
  <c r="P177" i="10"/>
  <c r="P178" i="10"/>
  <c r="P179" i="10"/>
  <c r="P180" i="10"/>
  <c r="P181" i="10"/>
  <c r="P182" i="10"/>
  <c r="P184" i="10"/>
  <c r="P185" i="10"/>
  <c r="P186" i="10"/>
  <c r="P187" i="10"/>
  <c r="P188" i="10"/>
  <c r="P189" i="10"/>
  <c r="P190" i="10"/>
  <c r="P191" i="10"/>
  <c r="P192" i="10"/>
  <c r="P193" i="10"/>
  <c r="P194" i="10"/>
  <c r="P195" i="10"/>
  <c r="P197" i="10"/>
  <c r="P198" i="10"/>
  <c r="P199" i="10"/>
  <c r="P200" i="10"/>
  <c r="P201" i="10"/>
  <c r="P202" i="10"/>
  <c r="P203" i="10"/>
  <c r="P204" i="10"/>
  <c r="P205" i="10"/>
  <c r="P206" i="10"/>
  <c r="P207" i="10"/>
  <c r="P208" i="10"/>
  <c r="P210" i="10"/>
  <c r="P211" i="10"/>
  <c r="P212" i="10"/>
  <c r="P213" i="10"/>
  <c r="P214" i="10"/>
  <c r="P215" i="10"/>
  <c r="P216" i="10"/>
  <c r="P217" i="10"/>
  <c r="P218" i="10"/>
  <c r="P219" i="10"/>
  <c r="P220" i="10"/>
  <c r="P221" i="10"/>
  <c r="P223" i="10"/>
  <c r="P224" i="10"/>
  <c r="P225" i="10"/>
  <c r="P226" i="10"/>
  <c r="P227" i="10"/>
  <c r="P228" i="10"/>
  <c r="P229" i="10"/>
  <c r="P230" i="10"/>
  <c r="P231" i="10"/>
  <c r="P232" i="10"/>
  <c r="P233" i="10"/>
  <c r="P234" i="10"/>
  <c r="P236" i="10"/>
  <c r="P237" i="10"/>
  <c r="P238" i="10"/>
  <c r="P239" i="10"/>
  <c r="P240" i="10"/>
  <c r="P241" i="10"/>
  <c r="P242" i="10"/>
  <c r="P243" i="10"/>
  <c r="P244" i="10"/>
  <c r="P245" i="10"/>
  <c r="P246" i="10"/>
  <c r="P247" i="10"/>
  <c r="P249" i="10"/>
  <c r="P250" i="10"/>
  <c r="P251" i="10"/>
  <c r="P252" i="10"/>
  <c r="P253" i="10"/>
  <c r="P254" i="10"/>
  <c r="P255" i="10"/>
  <c r="P256" i="10"/>
  <c r="P257" i="10"/>
  <c r="P258" i="10"/>
  <c r="P259" i="10"/>
  <c r="P260" i="10"/>
  <c r="P262" i="10"/>
  <c r="P263" i="10"/>
  <c r="P264" i="10"/>
  <c r="P265" i="10"/>
  <c r="P266" i="10"/>
  <c r="P267" i="10"/>
  <c r="P268" i="10"/>
  <c r="P269" i="10"/>
  <c r="P270" i="10"/>
  <c r="P271" i="10"/>
  <c r="P272" i="10"/>
  <c r="P273" i="10"/>
  <c r="P2" i="10"/>
  <c r="AZ16" i="10"/>
  <c r="AZ17" i="10"/>
  <c r="AZ18" i="10"/>
  <c r="AZ19" i="10"/>
  <c r="AZ20" i="10"/>
  <c r="AZ21" i="10"/>
  <c r="AZ22" i="10"/>
  <c r="AZ23" i="10"/>
  <c r="AZ24" i="10"/>
  <c r="AZ25" i="10"/>
  <c r="AZ26" i="10"/>
  <c r="AZ28" i="10"/>
  <c r="AZ29" i="10"/>
  <c r="AZ30" i="10"/>
  <c r="AZ31" i="10"/>
  <c r="AZ32" i="10"/>
  <c r="AZ33" i="10"/>
  <c r="AZ34" i="10"/>
  <c r="AZ35" i="10"/>
  <c r="AZ36" i="10"/>
  <c r="AZ37" i="10"/>
  <c r="AZ38" i="10"/>
  <c r="AZ39" i="10"/>
  <c r="AZ41" i="10"/>
  <c r="AZ42" i="10"/>
  <c r="AZ43" i="10"/>
  <c r="AZ44" i="10"/>
  <c r="AZ45" i="10"/>
  <c r="AZ46" i="10"/>
  <c r="AZ47" i="10"/>
  <c r="AZ48" i="10"/>
  <c r="AZ49" i="10"/>
  <c r="AZ50" i="10"/>
  <c r="AZ51" i="10"/>
  <c r="AZ52" i="10"/>
  <c r="AZ54" i="10"/>
  <c r="AZ55" i="10"/>
  <c r="AZ56" i="10"/>
  <c r="AZ57" i="10"/>
  <c r="AZ58" i="10"/>
  <c r="AZ59" i="10"/>
  <c r="AZ60" i="10"/>
  <c r="AZ61" i="10"/>
  <c r="AZ62" i="10"/>
  <c r="AZ63" i="10"/>
  <c r="AZ64" i="10"/>
  <c r="AZ65" i="10"/>
  <c r="AZ66" i="10"/>
  <c r="AZ67" i="10"/>
  <c r="AZ68" i="10"/>
  <c r="AZ69" i="10"/>
  <c r="AZ70" i="10"/>
  <c r="AZ71" i="10"/>
  <c r="AZ72" i="10"/>
  <c r="AZ73" i="10"/>
  <c r="AZ74" i="10"/>
  <c r="AZ75" i="10"/>
  <c r="AZ76" i="10"/>
  <c r="AZ77" i="10"/>
  <c r="AZ78" i="10"/>
  <c r="AZ79" i="10"/>
  <c r="AZ80" i="10"/>
  <c r="AZ81" i="10"/>
  <c r="AZ82" i="10"/>
  <c r="AZ83" i="10"/>
  <c r="AZ84" i="10"/>
  <c r="AZ85" i="10"/>
  <c r="AZ86" i="10"/>
  <c r="AZ87" i="10"/>
  <c r="AZ88" i="10"/>
  <c r="AZ89" i="10"/>
  <c r="AZ90" i="10"/>
  <c r="AZ91" i="10"/>
  <c r="AZ92" i="10"/>
  <c r="AZ93" i="10"/>
  <c r="AZ94" i="10"/>
  <c r="AZ95" i="10"/>
  <c r="AZ96" i="10"/>
  <c r="AZ97" i="10"/>
  <c r="AZ98" i="10"/>
  <c r="AZ99" i="10"/>
  <c r="AZ100" i="10"/>
  <c r="AZ101" i="10"/>
  <c r="AZ102" i="10"/>
  <c r="AZ103" i="10"/>
  <c r="AZ104" i="10"/>
  <c r="AZ105" i="10"/>
  <c r="AZ106" i="10"/>
  <c r="AZ107" i="10"/>
  <c r="AZ108" i="10"/>
  <c r="AZ109" i="10"/>
  <c r="AZ110" i="10"/>
  <c r="AZ111" i="10"/>
  <c r="AZ112" i="10"/>
  <c r="AZ113" i="10"/>
  <c r="AZ114" i="10"/>
  <c r="AZ115" i="10"/>
  <c r="AZ116" i="10"/>
  <c r="AZ117" i="10"/>
  <c r="AZ118" i="10"/>
  <c r="AZ119" i="10"/>
  <c r="AZ120" i="10"/>
  <c r="AZ121" i="10"/>
  <c r="AZ122" i="10"/>
  <c r="AZ123" i="10"/>
  <c r="AZ124" i="10"/>
  <c r="AZ125" i="10"/>
  <c r="AZ126" i="10"/>
  <c r="AZ127" i="10"/>
  <c r="AZ128" i="10"/>
  <c r="AZ129" i="10"/>
  <c r="AZ130" i="10"/>
  <c r="AZ131" i="10"/>
  <c r="AZ132" i="10"/>
  <c r="AZ133" i="10"/>
  <c r="AZ134" i="10"/>
  <c r="AZ135" i="10"/>
  <c r="AZ136" i="10"/>
  <c r="AZ137" i="10"/>
  <c r="AZ138" i="10"/>
  <c r="AZ139" i="10"/>
  <c r="AZ140" i="10"/>
  <c r="AZ141" i="10"/>
  <c r="AZ142" i="10"/>
  <c r="AZ143" i="10"/>
  <c r="AZ144" i="10"/>
  <c r="AZ145" i="10"/>
  <c r="AZ146" i="10"/>
  <c r="AZ147" i="10"/>
  <c r="AZ148" i="10"/>
  <c r="AZ149" i="10"/>
  <c r="AZ150" i="10"/>
  <c r="AZ151" i="10"/>
  <c r="AZ152" i="10"/>
  <c r="AZ153" i="10"/>
  <c r="AZ154" i="10"/>
  <c r="AZ155" i="10"/>
  <c r="AZ156" i="10"/>
  <c r="AZ157" i="10"/>
  <c r="AZ158" i="10"/>
  <c r="AZ159" i="10"/>
  <c r="AZ160" i="10"/>
  <c r="AZ161" i="10"/>
  <c r="AZ162" i="10"/>
  <c r="AZ163" i="10"/>
  <c r="AZ164" i="10"/>
  <c r="AZ165" i="10"/>
  <c r="AZ166" i="10"/>
  <c r="AZ167" i="10"/>
  <c r="AZ168" i="10"/>
  <c r="AZ169" i="10"/>
  <c r="AZ170" i="10"/>
  <c r="AZ171" i="10"/>
  <c r="AZ172" i="10"/>
  <c r="AZ173" i="10"/>
  <c r="AZ174" i="10"/>
  <c r="AZ175" i="10"/>
  <c r="AZ176" i="10"/>
  <c r="AZ177" i="10"/>
  <c r="AZ178" i="10"/>
  <c r="AZ179" i="10"/>
  <c r="AZ180" i="10"/>
  <c r="AZ181" i="10"/>
  <c r="AZ182" i="10"/>
  <c r="AZ183" i="10"/>
  <c r="AZ184" i="10"/>
  <c r="AZ185" i="10"/>
  <c r="AZ186" i="10"/>
  <c r="AZ187" i="10"/>
  <c r="AZ188" i="10"/>
  <c r="AZ189" i="10"/>
  <c r="AZ190" i="10"/>
  <c r="AZ191" i="10"/>
  <c r="AZ192" i="10"/>
  <c r="AZ193" i="10"/>
  <c r="AZ194" i="10"/>
  <c r="AZ195" i="10"/>
  <c r="AZ196" i="10"/>
  <c r="AZ197" i="10"/>
  <c r="AZ198" i="10"/>
  <c r="AZ199" i="10"/>
  <c r="AZ200" i="10"/>
  <c r="AZ201" i="10"/>
  <c r="AZ202" i="10"/>
  <c r="AZ203" i="10"/>
  <c r="AZ204" i="10"/>
  <c r="AZ205" i="10"/>
  <c r="AZ206" i="10"/>
  <c r="AZ207" i="10"/>
  <c r="AZ208" i="10"/>
  <c r="AZ209" i="10"/>
  <c r="AZ210" i="10"/>
  <c r="AZ211" i="10"/>
  <c r="AZ212" i="10"/>
  <c r="AZ213" i="10"/>
  <c r="AZ214" i="10"/>
  <c r="AZ215" i="10"/>
  <c r="AZ216" i="10"/>
  <c r="AZ217" i="10"/>
  <c r="AZ218" i="10"/>
  <c r="AZ219" i="10"/>
  <c r="AZ220" i="10"/>
  <c r="AZ221" i="10"/>
  <c r="AZ222" i="10"/>
  <c r="AZ223" i="10"/>
  <c r="AZ224" i="10"/>
  <c r="AZ225" i="10"/>
  <c r="AZ226" i="10"/>
  <c r="AZ227" i="10"/>
  <c r="AZ228" i="10"/>
  <c r="AZ229" i="10"/>
  <c r="AZ230" i="10"/>
  <c r="AZ231" i="10"/>
  <c r="AZ232" i="10"/>
  <c r="AZ233" i="10"/>
  <c r="AZ234" i="10"/>
  <c r="AZ235" i="10"/>
  <c r="AZ236" i="10"/>
  <c r="AZ237" i="10"/>
  <c r="AZ238" i="10"/>
  <c r="AZ239" i="10"/>
  <c r="AZ240" i="10"/>
  <c r="AZ241" i="10"/>
  <c r="AZ242" i="10"/>
  <c r="AZ243" i="10"/>
  <c r="AZ244" i="10"/>
  <c r="AZ245" i="10"/>
  <c r="AZ246" i="10"/>
  <c r="AZ247" i="10"/>
  <c r="AZ248" i="10"/>
  <c r="AZ249" i="10"/>
  <c r="AZ250" i="10"/>
  <c r="AZ251" i="10"/>
  <c r="AZ252" i="10"/>
  <c r="AZ253" i="10"/>
  <c r="AZ254" i="10"/>
  <c r="AZ255" i="10"/>
  <c r="AZ256" i="10"/>
  <c r="AZ257" i="10"/>
  <c r="AZ258" i="10"/>
  <c r="AZ259" i="10"/>
  <c r="AZ260" i="10"/>
  <c r="AZ261" i="10"/>
  <c r="AZ262" i="10"/>
  <c r="AZ263" i="10"/>
  <c r="AZ264" i="10"/>
  <c r="AZ265" i="10"/>
  <c r="AZ266" i="10"/>
  <c r="AZ267" i="10"/>
  <c r="AZ268" i="10"/>
  <c r="AZ269" i="10"/>
  <c r="AZ270" i="10"/>
  <c r="AZ271" i="10"/>
  <c r="AZ272" i="10"/>
  <c r="AZ273" i="10"/>
  <c r="AZ15" i="10"/>
  <c r="AY16" i="10"/>
  <c r="AY17" i="10"/>
  <c r="AY18" i="10"/>
  <c r="AY19" i="10"/>
  <c r="AY20" i="10"/>
  <c r="AY21" i="10"/>
  <c r="AY22" i="10"/>
  <c r="AY23" i="10"/>
  <c r="AY24" i="10"/>
  <c r="AY25" i="10"/>
  <c r="AY26" i="10"/>
  <c r="AY28" i="10"/>
  <c r="AY29" i="10"/>
  <c r="AY30" i="10"/>
  <c r="AY31" i="10"/>
  <c r="AY32" i="10"/>
  <c r="AY33" i="10"/>
  <c r="AY34" i="10"/>
  <c r="AY35" i="10"/>
  <c r="AY36" i="10"/>
  <c r="AY37" i="10"/>
  <c r="AY38" i="10"/>
  <c r="AY39" i="10"/>
  <c r="AY41" i="10"/>
  <c r="AY42" i="10"/>
  <c r="AY43" i="10"/>
  <c r="AY44" i="10"/>
  <c r="AY45" i="10"/>
  <c r="AY46" i="10"/>
  <c r="AY47" i="10"/>
  <c r="AY48" i="10"/>
  <c r="AY49" i="10"/>
  <c r="AY50" i="10"/>
  <c r="AY51" i="10"/>
  <c r="AY52" i="10"/>
  <c r="AY54" i="10"/>
  <c r="AY55" i="10"/>
  <c r="AY56" i="10"/>
  <c r="AY57" i="10"/>
  <c r="AY58" i="10"/>
  <c r="AY59" i="10"/>
  <c r="AY60" i="10"/>
  <c r="AY61" i="10"/>
  <c r="AY62" i="10"/>
  <c r="AY63" i="10"/>
  <c r="AY64" i="10"/>
  <c r="AY65" i="10"/>
  <c r="AY67" i="10"/>
  <c r="AY68" i="10"/>
  <c r="AY69" i="10"/>
  <c r="AY70" i="10"/>
  <c r="AY71" i="10"/>
  <c r="AY72" i="10"/>
  <c r="AY73" i="10"/>
  <c r="AY74" i="10"/>
  <c r="AY75" i="10"/>
  <c r="AY76" i="10"/>
  <c r="AY77" i="10"/>
  <c r="AY78" i="10"/>
  <c r="AY80" i="10"/>
  <c r="AY81" i="10"/>
  <c r="AY82" i="10"/>
  <c r="AY83" i="10"/>
  <c r="AY84" i="10"/>
  <c r="AY85" i="10"/>
  <c r="AY86" i="10"/>
  <c r="AY87" i="10"/>
  <c r="AY88" i="10"/>
  <c r="AY89" i="10"/>
  <c r="AY90" i="10"/>
  <c r="AY91" i="10"/>
  <c r="AY93" i="10"/>
  <c r="AY94" i="10"/>
  <c r="AY95" i="10"/>
  <c r="AY96" i="10"/>
  <c r="AY97" i="10"/>
  <c r="AY98" i="10"/>
  <c r="AY99" i="10"/>
  <c r="AY100" i="10"/>
  <c r="AY101" i="10"/>
  <c r="AY102" i="10"/>
  <c r="AY103" i="10"/>
  <c r="AY104" i="10"/>
  <c r="AY106" i="10"/>
  <c r="AY107" i="10"/>
  <c r="AY108" i="10"/>
  <c r="AY109" i="10"/>
  <c r="AY110" i="10"/>
  <c r="AY111" i="10"/>
  <c r="AY112" i="10"/>
  <c r="AY113" i="10"/>
  <c r="AY114" i="10"/>
  <c r="AY115" i="10"/>
  <c r="AY116" i="10"/>
  <c r="AY117" i="10"/>
  <c r="AY119" i="10"/>
  <c r="AY120" i="10"/>
  <c r="AY121" i="10"/>
  <c r="AY122" i="10"/>
  <c r="AY123" i="10"/>
  <c r="AY124" i="10"/>
  <c r="AY125" i="10"/>
  <c r="AY126" i="10"/>
  <c r="AY127" i="10"/>
  <c r="AY128" i="10"/>
  <c r="AY129" i="10"/>
  <c r="AY130" i="10"/>
  <c r="AY132" i="10"/>
  <c r="AY133" i="10"/>
  <c r="AY134" i="10"/>
  <c r="AY135" i="10"/>
  <c r="AY136" i="10"/>
  <c r="AY137" i="10"/>
  <c r="AY138" i="10"/>
  <c r="AY139" i="10"/>
  <c r="AY140" i="10"/>
  <c r="AY141" i="10"/>
  <c r="AY142" i="10"/>
  <c r="AY143" i="10"/>
  <c r="AY145" i="10"/>
  <c r="AY146" i="10"/>
  <c r="AY147" i="10"/>
  <c r="AY148" i="10"/>
  <c r="AY149" i="10"/>
  <c r="AY150" i="10"/>
  <c r="AY151" i="10"/>
  <c r="AY152" i="10"/>
  <c r="AY153" i="10"/>
  <c r="AY154" i="10"/>
  <c r="AY155" i="10"/>
  <c r="AY156" i="10"/>
  <c r="AY158" i="10"/>
  <c r="AY159" i="10"/>
  <c r="AY160" i="10"/>
  <c r="AY161" i="10"/>
  <c r="AY162" i="10"/>
  <c r="AY163" i="10"/>
  <c r="AY164" i="10"/>
  <c r="AY165" i="10"/>
  <c r="AY166" i="10"/>
  <c r="AY167" i="10"/>
  <c r="AY168" i="10"/>
  <c r="AY169" i="10"/>
  <c r="AY171" i="10"/>
  <c r="AY172" i="10"/>
  <c r="AY173" i="10"/>
  <c r="AY174" i="10"/>
  <c r="AY175" i="10"/>
  <c r="AY176" i="10"/>
  <c r="AY177" i="10"/>
  <c r="AY178" i="10"/>
  <c r="AY179" i="10"/>
  <c r="AY180" i="10"/>
  <c r="AY181" i="10"/>
  <c r="AY182" i="10"/>
  <c r="AY184" i="10"/>
  <c r="AY185" i="10"/>
  <c r="AY186" i="10"/>
  <c r="AY187" i="10"/>
  <c r="AY188" i="10"/>
  <c r="AY189" i="10"/>
  <c r="AY190" i="10"/>
  <c r="AY191" i="10"/>
  <c r="AY192" i="10"/>
  <c r="AY193" i="10"/>
  <c r="AY194" i="10"/>
  <c r="AY195" i="10"/>
  <c r="AY197" i="10"/>
  <c r="AY198" i="10"/>
  <c r="AY199" i="10"/>
  <c r="AY200" i="10"/>
  <c r="AY201" i="10"/>
  <c r="AY202" i="10"/>
  <c r="AY203" i="10"/>
  <c r="AY204" i="10"/>
  <c r="AY205" i="10"/>
  <c r="AY206" i="10"/>
  <c r="AY207" i="10"/>
  <c r="AY208" i="10"/>
  <c r="AY210" i="10"/>
  <c r="AY211" i="10"/>
  <c r="AY212" i="10"/>
  <c r="AY213" i="10"/>
  <c r="AY214" i="10"/>
  <c r="AY215" i="10"/>
  <c r="AY216" i="10"/>
  <c r="AY217" i="10"/>
  <c r="AY218" i="10"/>
  <c r="AY219" i="10"/>
  <c r="AY220" i="10"/>
  <c r="AY221" i="10"/>
  <c r="AY223" i="10"/>
  <c r="AY224" i="10"/>
  <c r="AY225" i="10"/>
  <c r="AY226" i="10"/>
  <c r="AY227" i="10"/>
  <c r="AY228" i="10"/>
  <c r="AY229" i="10"/>
  <c r="AY230" i="10"/>
  <c r="AY231" i="10"/>
  <c r="AY232" i="10"/>
  <c r="AY233" i="10"/>
  <c r="AY234" i="10"/>
  <c r="AY236" i="10"/>
  <c r="AY237" i="10"/>
  <c r="AY238" i="10"/>
  <c r="AY239" i="10"/>
  <c r="AY240" i="10"/>
  <c r="AY241" i="10"/>
  <c r="AY242" i="10"/>
  <c r="AY243" i="10"/>
  <c r="AY244" i="10"/>
  <c r="AY245" i="10"/>
  <c r="AY246" i="10"/>
  <c r="AY247" i="10"/>
  <c r="AY249" i="10"/>
  <c r="AY250" i="10"/>
  <c r="AY251" i="10"/>
  <c r="AY252" i="10"/>
  <c r="AY253" i="10"/>
  <c r="AY254" i="10"/>
  <c r="AY255" i="10"/>
  <c r="AY256" i="10"/>
  <c r="AY257" i="10"/>
  <c r="AY258" i="10"/>
  <c r="AY259" i="10"/>
  <c r="AY260" i="10"/>
  <c r="AY262" i="10"/>
  <c r="AY263" i="10"/>
  <c r="AY264" i="10"/>
  <c r="AY265" i="10"/>
  <c r="AY266" i="10"/>
  <c r="AY267" i="10"/>
  <c r="AY268" i="10"/>
  <c r="AY269" i="10"/>
  <c r="AY270" i="10"/>
  <c r="AY271" i="10"/>
  <c r="AY272" i="10"/>
  <c r="AY273" i="10"/>
  <c r="AY15" i="10"/>
  <c r="L240" i="10"/>
  <c r="L33" i="10"/>
  <c r="A269" i="4"/>
  <c r="A256" i="4"/>
  <c r="A243" i="4"/>
  <c r="A230" i="4"/>
  <c r="A217" i="4"/>
  <c r="A204" i="4"/>
  <c r="A191" i="4"/>
  <c r="A178" i="4"/>
  <c r="A165" i="4"/>
  <c r="A152" i="4"/>
  <c r="A139" i="4"/>
  <c r="A126" i="4"/>
  <c r="L3" i="10"/>
  <c r="L4" i="10"/>
  <c r="L5" i="10"/>
  <c r="L6" i="10"/>
  <c r="L7" i="10"/>
  <c r="L8" i="10"/>
  <c r="L9" i="10"/>
  <c r="L10" i="10"/>
  <c r="L11" i="10"/>
  <c r="L12" i="10"/>
  <c r="L13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8" i="10"/>
  <c r="L29" i="10"/>
  <c r="L30" i="10"/>
  <c r="L31" i="10"/>
  <c r="L32" i="10"/>
  <c r="L34" i="10"/>
  <c r="L35" i="10"/>
  <c r="L36" i="10"/>
  <c r="L37" i="10"/>
  <c r="L38" i="10"/>
  <c r="L39" i="10"/>
  <c r="L41" i="10"/>
  <c r="L42" i="10"/>
  <c r="L43" i="10"/>
  <c r="L44" i="10"/>
  <c r="L45" i="10"/>
  <c r="L46" i="10"/>
  <c r="L47" i="10"/>
  <c r="L48" i="10"/>
  <c r="L49" i="10"/>
  <c r="L50" i="10"/>
  <c r="L51" i="10"/>
  <c r="L52" i="10"/>
  <c r="L54" i="10"/>
  <c r="L55" i="10"/>
  <c r="L56" i="10"/>
  <c r="L57" i="10"/>
  <c r="L58" i="10"/>
  <c r="L59" i="10"/>
  <c r="L60" i="10"/>
  <c r="L61" i="10"/>
  <c r="L62" i="10"/>
  <c r="L63" i="10"/>
  <c r="L64" i="10"/>
  <c r="L65" i="10"/>
  <c r="L67" i="10"/>
  <c r="L68" i="10"/>
  <c r="L69" i="10"/>
  <c r="L70" i="10"/>
  <c r="L71" i="10"/>
  <c r="L72" i="10"/>
  <c r="L73" i="10"/>
  <c r="L74" i="10"/>
  <c r="L75" i="10"/>
  <c r="L76" i="10"/>
  <c r="L77" i="10"/>
  <c r="L78" i="10"/>
  <c r="L80" i="10"/>
  <c r="L81" i="10"/>
  <c r="L82" i="10"/>
  <c r="L83" i="10"/>
  <c r="L84" i="10"/>
  <c r="L85" i="10"/>
  <c r="L86" i="10"/>
  <c r="L87" i="10"/>
  <c r="L88" i="10"/>
  <c r="L89" i="10"/>
  <c r="L90" i="10"/>
  <c r="L91" i="10"/>
  <c r="L93" i="10"/>
  <c r="L94" i="10"/>
  <c r="L95" i="10"/>
  <c r="L96" i="10"/>
  <c r="L97" i="10"/>
  <c r="L98" i="10"/>
  <c r="L99" i="10"/>
  <c r="L100" i="10"/>
  <c r="L101" i="10"/>
  <c r="L102" i="10"/>
  <c r="L103" i="10"/>
  <c r="L104" i="10"/>
  <c r="L106" i="10"/>
  <c r="L107" i="10"/>
  <c r="L108" i="10"/>
  <c r="L109" i="10"/>
  <c r="L110" i="10"/>
  <c r="L111" i="10"/>
  <c r="L112" i="10"/>
  <c r="L113" i="10"/>
  <c r="L114" i="10"/>
  <c r="L115" i="10"/>
  <c r="L116" i="10"/>
  <c r="L117" i="10"/>
  <c r="L119" i="10"/>
  <c r="L120" i="10"/>
  <c r="L121" i="10"/>
  <c r="L122" i="10"/>
  <c r="L123" i="10"/>
  <c r="L124" i="10"/>
  <c r="L125" i="10"/>
  <c r="L126" i="10"/>
  <c r="L127" i="10"/>
  <c r="L128" i="10"/>
  <c r="L129" i="10"/>
  <c r="L130" i="10"/>
  <c r="L132" i="10"/>
  <c r="L133" i="10"/>
  <c r="L134" i="10"/>
  <c r="L135" i="10"/>
  <c r="L136" i="10"/>
  <c r="L137" i="10"/>
  <c r="L138" i="10"/>
  <c r="L139" i="10"/>
  <c r="L140" i="10"/>
  <c r="L141" i="10"/>
  <c r="L142" i="10"/>
  <c r="L143" i="10"/>
  <c r="L145" i="10"/>
  <c r="L146" i="10"/>
  <c r="L147" i="10"/>
  <c r="L148" i="10"/>
  <c r="L149" i="10"/>
  <c r="L150" i="10"/>
  <c r="L151" i="10"/>
  <c r="L152" i="10"/>
  <c r="L153" i="10"/>
  <c r="L154" i="10"/>
  <c r="L155" i="10"/>
  <c r="L156" i="10"/>
  <c r="L158" i="10"/>
  <c r="L159" i="10"/>
  <c r="L160" i="10"/>
  <c r="L161" i="10"/>
  <c r="L162" i="10"/>
  <c r="L163" i="10"/>
  <c r="L164" i="10"/>
  <c r="L165" i="10"/>
  <c r="L166" i="10"/>
  <c r="L167" i="10"/>
  <c r="L168" i="10"/>
  <c r="L169" i="10"/>
  <c r="L171" i="10"/>
  <c r="L172" i="10"/>
  <c r="L173" i="10"/>
  <c r="L174" i="10"/>
  <c r="L175" i="10"/>
  <c r="L176" i="10"/>
  <c r="L177" i="10"/>
  <c r="L178" i="10"/>
  <c r="L179" i="10"/>
  <c r="L180" i="10"/>
  <c r="L181" i="10"/>
  <c r="L182" i="10"/>
  <c r="L184" i="10"/>
  <c r="L185" i="10"/>
  <c r="L186" i="10"/>
  <c r="L187" i="10"/>
  <c r="L188" i="10"/>
  <c r="L189" i="10"/>
  <c r="L190" i="10"/>
  <c r="L191" i="10"/>
  <c r="L192" i="10"/>
  <c r="L193" i="10"/>
  <c r="L194" i="10"/>
  <c r="L195" i="10"/>
  <c r="L197" i="10"/>
  <c r="L198" i="10"/>
  <c r="L199" i="10"/>
  <c r="L200" i="10"/>
  <c r="L201" i="10"/>
  <c r="L202" i="10"/>
  <c r="L203" i="10"/>
  <c r="L204" i="10"/>
  <c r="L205" i="10"/>
  <c r="L206" i="10"/>
  <c r="L207" i="10"/>
  <c r="L208" i="10"/>
  <c r="L210" i="10"/>
  <c r="L211" i="10"/>
  <c r="L212" i="10"/>
  <c r="L213" i="10"/>
  <c r="L214" i="10"/>
  <c r="L215" i="10"/>
  <c r="L216" i="10"/>
  <c r="L217" i="10"/>
  <c r="L218" i="10"/>
  <c r="L219" i="10"/>
  <c r="L220" i="10"/>
  <c r="L221" i="10"/>
  <c r="L223" i="10"/>
  <c r="L224" i="10"/>
  <c r="L225" i="10"/>
  <c r="L226" i="10"/>
  <c r="L227" i="10"/>
  <c r="L228" i="10"/>
  <c r="L229" i="10"/>
  <c r="L230" i="10"/>
  <c r="L231" i="10"/>
  <c r="L232" i="10"/>
  <c r="L233" i="10"/>
  <c r="L234" i="10"/>
  <c r="L236" i="10"/>
  <c r="L237" i="10"/>
  <c r="L238" i="10"/>
  <c r="L239" i="10"/>
  <c r="L241" i="10"/>
  <c r="L242" i="10"/>
  <c r="L243" i="10"/>
  <c r="L244" i="10"/>
  <c r="L245" i="10"/>
  <c r="L246" i="10"/>
  <c r="L247" i="10"/>
  <c r="L249" i="10"/>
  <c r="L250" i="10"/>
  <c r="L251" i="10"/>
  <c r="L252" i="10"/>
  <c r="L253" i="10"/>
  <c r="L254" i="10"/>
  <c r="L255" i="10"/>
  <c r="L256" i="10"/>
  <c r="L257" i="10"/>
  <c r="L258" i="10"/>
  <c r="L259" i="10"/>
  <c r="L260" i="10"/>
  <c r="L262" i="10"/>
  <c r="L263" i="10"/>
  <c r="L264" i="10"/>
  <c r="L265" i="10"/>
  <c r="L266" i="10"/>
  <c r="L267" i="10"/>
  <c r="L268" i="10"/>
  <c r="L269" i="10"/>
  <c r="L270" i="10"/>
  <c r="L271" i="10"/>
  <c r="L272" i="10"/>
  <c r="L273" i="10"/>
  <c r="L2" i="10"/>
  <c r="I3" i="10"/>
  <c r="I4" i="10"/>
  <c r="I5" i="10"/>
  <c r="I6" i="10"/>
  <c r="I7" i="10"/>
  <c r="I8" i="10"/>
  <c r="I9" i="10"/>
  <c r="I10" i="10"/>
  <c r="I11" i="10"/>
  <c r="I12" i="10"/>
  <c r="I13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80" i="10"/>
  <c r="I81" i="10"/>
  <c r="I82" i="10"/>
  <c r="I83" i="10"/>
  <c r="I84" i="10"/>
  <c r="I85" i="10"/>
  <c r="I86" i="10"/>
  <c r="I87" i="10"/>
  <c r="I88" i="10"/>
  <c r="I89" i="10"/>
  <c r="I90" i="10"/>
  <c r="I91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6" i="10"/>
  <c r="I107" i="10"/>
  <c r="I108" i="10"/>
  <c r="I109" i="10"/>
  <c r="I110" i="10"/>
  <c r="I111" i="10"/>
  <c r="I112" i="10"/>
  <c r="I113" i="10"/>
  <c r="I114" i="10"/>
  <c r="I115" i="10"/>
  <c r="I116" i="10"/>
  <c r="I117" i="10"/>
  <c r="I119" i="10"/>
  <c r="I120" i="10"/>
  <c r="I121" i="10"/>
  <c r="I122" i="10"/>
  <c r="I123" i="10"/>
  <c r="I124" i="10"/>
  <c r="I125" i="10"/>
  <c r="I126" i="10"/>
  <c r="I127" i="10"/>
  <c r="I128" i="10"/>
  <c r="I129" i="10"/>
  <c r="I130" i="10"/>
  <c r="I132" i="10"/>
  <c r="I133" i="10"/>
  <c r="I134" i="10"/>
  <c r="I135" i="10"/>
  <c r="I136" i="10"/>
  <c r="I137" i="10"/>
  <c r="I138" i="10"/>
  <c r="I139" i="10"/>
  <c r="I140" i="10"/>
  <c r="I141" i="10"/>
  <c r="I142" i="10"/>
  <c r="I143" i="10"/>
  <c r="I145" i="10"/>
  <c r="K145" i="10" s="1"/>
  <c r="I146" i="10"/>
  <c r="I147" i="10"/>
  <c r="I148" i="10"/>
  <c r="I149" i="10"/>
  <c r="I150" i="10"/>
  <c r="I151" i="10"/>
  <c r="I152" i="10"/>
  <c r="I153" i="10"/>
  <c r="I154" i="10"/>
  <c r="I155" i="10"/>
  <c r="I156" i="10"/>
  <c r="I158" i="10"/>
  <c r="I159" i="10"/>
  <c r="I160" i="10"/>
  <c r="I161" i="10"/>
  <c r="I162" i="10"/>
  <c r="I163" i="10"/>
  <c r="I164" i="10"/>
  <c r="I165" i="10"/>
  <c r="I166" i="10"/>
  <c r="I167" i="10"/>
  <c r="I168" i="10"/>
  <c r="I169" i="10"/>
  <c r="I171" i="10"/>
  <c r="I172" i="10"/>
  <c r="I173" i="10"/>
  <c r="I174" i="10"/>
  <c r="I175" i="10"/>
  <c r="I176" i="10"/>
  <c r="I177" i="10"/>
  <c r="I178" i="10"/>
  <c r="I179" i="10"/>
  <c r="I180" i="10"/>
  <c r="I181" i="10"/>
  <c r="I182" i="10"/>
  <c r="I184" i="10"/>
  <c r="I185" i="10"/>
  <c r="I186" i="10"/>
  <c r="I187" i="10"/>
  <c r="I188" i="10"/>
  <c r="I189" i="10"/>
  <c r="I190" i="10"/>
  <c r="I191" i="10"/>
  <c r="I192" i="10"/>
  <c r="I193" i="10"/>
  <c r="I194" i="10"/>
  <c r="I195" i="10"/>
  <c r="I197" i="10"/>
  <c r="I198" i="10"/>
  <c r="I199" i="10"/>
  <c r="I200" i="10"/>
  <c r="I201" i="10"/>
  <c r="I202" i="10"/>
  <c r="I203" i="10"/>
  <c r="I204" i="10"/>
  <c r="I205" i="10"/>
  <c r="I206" i="10"/>
  <c r="I207" i="10"/>
  <c r="I208" i="10"/>
  <c r="I210" i="10"/>
  <c r="I211" i="10"/>
  <c r="I212" i="10"/>
  <c r="I213" i="10"/>
  <c r="I214" i="10"/>
  <c r="K214" i="10" s="1"/>
  <c r="I215" i="10"/>
  <c r="I216" i="10"/>
  <c r="I217" i="10"/>
  <c r="I218" i="10"/>
  <c r="I219" i="10"/>
  <c r="I220" i="10"/>
  <c r="I221" i="10"/>
  <c r="I223" i="10"/>
  <c r="I224" i="10"/>
  <c r="I225" i="10"/>
  <c r="I226" i="10"/>
  <c r="I227" i="10"/>
  <c r="I228" i="10"/>
  <c r="I229" i="10"/>
  <c r="I230" i="10"/>
  <c r="I231" i="10"/>
  <c r="I232" i="10"/>
  <c r="I233" i="10"/>
  <c r="I234" i="10"/>
  <c r="I236" i="10"/>
  <c r="I237" i="10"/>
  <c r="I238" i="10"/>
  <c r="I239" i="10"/>
  <c r="I240" i="10"/>
  <c r="I241" i="10"/>
  <c r="I242" i="10"/>
  <c r="I243" i="10"/>
  <c r="I244" i="10"/>
  <c r="I245" i="10"/>
  <c r="I246" i="10"/>
  <c r="I247" i="10"/>
  <c r="I249" i="10"/>
  <c r="I250" i="10"/>
  <c r="I251" i="10"/>
  <c r="I252" i="10"/>
  <c r="I253" i="10"/>
  <c r="I254" i="10"/>
  <c r="I255" i="10"/>
  <c r="I256" i="10"/>
  <c r="I257" i="10"/>
  <c r="I258" i="10"/>
  <c r="I259" i="10"/>
  <c r="I260" i="10"/>
  <c r="I262" i="10"/>
  <c r="I263" i="10"/>
  <c r="I264" i="10"/>
  <c r="I265" i="10"/>
  <c r="I266" i="10"/>
  <c r="I267" i="10"/>
  <c r="I268" i="10"/>
  <c r="I269" i="10"/>
  <c r="I270" i="10"/>
  <c r="I271" i="10"/>
  <c r="I272" i="10"/>
  <c r="I273" i="10"/>
  <c r="K7" i="10"/>
  <c r="J3" i="10"/>
  <c r="J4" i="10"/>
  <c r="J5" i="10"/>
  <c r="J6" i="10"/>
  <c r="J7" i="10"/>
  <c r="J8" i="10"/>
  <c r="J9" i="10"/>
  <c r="J10" i="10"/>
  <c r="J11" i="10"/>
  <c r="J12" i="10"/>
  <c r="J13" i="10"/>
  <c r="J15" i="10"/>
  <c r="J16" i="10"/>
  <c r="K16" i="10" s="1"/>
  <c r="J17" i="10"/>
  <c r="J18" i="10"/>
  <c r="J19" i="10"/>
  <c r="K19" i="10" s="1"/>
  <c r="J20" i="10"/>
  <c r="J21" i="10"/>
  <c r="J22" i="10"/>
  <c r="J23" i="10"/>
  <c r="J24" i="10"/>
  <c r="J25" i="10"/>
  <c r="J26" i="10"/>
  <c r="J28" i="10"/>
  <c r="J29" i="10"/>
  <c r="J30" i="10"/>
  <c r="J31" i="10"/>
  <c r="J32" i="10"/>
  <c r="J34" i="10"/>
  <c r="J35" i="10"/>
  <c r="J36" i="10"/>
  <c r="J37" i="10"/>
  <c r="J38" i="10"/>
  <c r="J39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4" i="10"/>
  <c r="J55" i="10"/>
  <c r="J56" i="10"/>
  <c r="J57" i="10"/>
  <c r="J58" i="10"/>
  <c r="J59" i="10"/>
  <c r="J60" i="10"/>
  <c r="J61" i="10"/>
  <c r="J62" i="10"/>
  <c r="J63" i="10"/>
  <c r="J64" i="10"/>
  <c r="J65" i="10"/>
  <c r="J67" i="10"/>
  <c r="J68" i="10"/>
  <c r="J69" i="10"/>
  <c r="J70" i="10"/>
  <c r="J71" i="10"/>
  <c r="J72" i="10"/>
  <c r="J73" i="10"/>
  <c r="J74" i="10"/>
  <c r="J75" i="10"/>
  <c r="J76" i="10"/>
  <c r="J77" i="10"/>
  <c r="J78" i="10"/>
  <c r="J80" i="10"/>
  <c r="J81" i="10"/>
  <c r="J82" i="10"/>
  <c r="J83" i="10"/>
  <c r="J84" i="10"/>
  <c r="J85" i="10"/>
  <c r="J86" i="10"/>
  <c r="J87" i="10"/>
  <c r="J88" i="10"/>
  <c r="J89" i="10"/>
  <c r="J90" i="10"/>
  <c r="J91" i="10"/>
  <c r="J93" i="10"/>
  <c r="J94" i="10"/>
  <c r="J95" i="10"/>
  <c r="J96" i="10"/>
  <c r="J97" i="10"/>
  <c r="J98" i="10"/>
  <c r="J99" i="10"/>
  <c r="J100" i="10"/>
  <c r="J101" i="10"/>
  <c r="J102" i="10"/>
  <c r="J103" i="10"/>
  <c r="J104" i="10"/>
  <c r="J106" i="10"/>
  <c r="J107" i="10"/>
  <c r="J108" i="10"/>
  <c r="J109" i="10"/>
  <c r="J110" i="10"/>
  <c r="J111" i="10"/>
  <c r="J112" i="10"/>
  <c r="J113" i="10"/>
  <c r="J114" i="10"/>
  <c r="J115" i="10"/>
  <c r="J116" i="10"/>
  <c r="J117" i="10"/>
  <c r="J119" i="10"/>
  <c r="J120" i="10"/>
  <c r="J121" i="10"/>
  <c r="J122" i="10"/>
  <c r="J123" i="10"/>
  <c r="J124" i="10"/>
  <c r="J125" i="10"/>
  <c r="J126" i="10"/>
  <c r="J127" i="10"/>
  <c r="J128" i="10"/>
  <c r="J129" i="10"/>
  <c r="J130" i="10"/>
  <c r="J132" i="10"/>
  <c r="J133" i="10"/>
  <c r="J134" i="10"/>
  <c r="J135" i="10"/>
  <c r="J136" i="10"/>
  <c r="J137" i="10"/>
  <c r="J138" i="10"/>
  <c r="J139" i="10"/>
  <c r="J140" i="10"/>
  <c r="J141" i="10"/>
  <c r="J142" i="10"/>
  <c r="J143" i="10"/>
  <c r="J145" i="10"/>
  <c r="J146" i="10"/>
  <c r="J147" i="10"/>
  <c r="J148" i="10"/>
  <c r="J149" i="10"/>
  <c r="J150" i="10"/>
  <c r="J151" i="10"/>
  <c r="J152" i="10"/>
  <c r="J153" i="10"/>
  <c r="J154" i="10"/>
  <c r="J155" i="10"/>
  <c r="J156" i="10"/>
  <c r="J158" i="10"/>
  <c r="J159" i="10"/>
  <c r="J160" i="10"/>
  <c r="J161" i="10"/>
  <c r="J162" i="10"/>
  <c r="J163" i="10"/>
  <c r="J164" i="10"/>
  <c r="J165" i="10"/>
  <c r="J166" i="10"/>
  <c r="J167" i="10"/>
  <c r="J168" i="10"/>
  <c r="J169" i="10"/>
  <c r="J171" i="10"/>
  <c r="J172" i="10"/>
  <c r="J173" i="10"/>
  <c r="J174" i="10"/>
  <c r="J175" i="10"/>
  <c r="J176" i="10"/>
  <c r="J177" i="10"/>
  <c r="J178" i="10"/>
  <c r="J179" i="10"/>
  <c r="J180" i="10"/>
  <c r="J181" i="10"/>
  <c r="J182" i="10"/>
  <c r="J184" i="10"/>
  <c r="J185" i="10"/>
  <c r="J186" i="10"/>
  <c r="J187" i="10"/>
  <c r="J188" i="10"/>
  <c r="J189" i="10"/>
  <c r="J190" i="10"/>
  <c r="J191" i="10"/>
  <c r="J192" i="10"/>
  <c r="J193" i="10"/>
  <c r="J194" i="10"/>
  <c r="J195" i="10"/>
  <c r="J197" i="10"/>
  <c r="J198" i="10"/>
  <c r="J199" i="10"/>
  <c r="J200" i="10"/>
  <c r="J201" i="10"/>
  <c r="J202" i="10"/>
  <c r="J203" i="10"/>
  <c r="J204" i="10"/>
  <c r="J205" i="10"/>
  <c r="J206" i="10"/>
  <c r="J207" i="10"/>
  <c r="J208" i="10"/>
  <c r="J210" i="10"/>
  <c r="J211" i="10"/>
  <c r="J212" i="10"/>
  <c r="J213" i="10"/>
  <c r="J214" i="10"/>
  <c r="J215" i="10"/>
  <c r="J216" i="10"/>
  <c r="J217" i="10"/>
  <c r="J218" i="10"/>
  <c r="J219" i="10"/>
  <c r="J220" i="10"/>
  <c r="J221" i="10"/>
  <c r="J223" i="10"/>
  <c r="J224" i="10"/>
  <c r="J225" i="10"/>
  <c r="J226" i="10"/>
  <c r="J227" i="10"/>
  <c r="J228" i="10"/>
  <c r="J229" i="10"/>
  <c r="J230" i="10"/>
  <c r="J231" i="10"/>
  <c r="J232" i="10"/>
  <c r="J233" i="10"/>
  <c r="J234" i="10"/>
  <c r="J236" i="10"/>
  <c r="J237" i="10"/>
  <c r="J238" i="10"/>
  <c r="J239" i="10"/>
  <c r="J240" i="10"/>
  <c r="J241" i="10"/>
  <c r="J242" i="10"/>
  <c r="J243" i="10"/>
  <c r="J244" i="10"/>
  <c r="J245" i="10"/>
  <c r="J246" i="10"/>
  <c r="J247" i="10"/>
  <c r="J249" i="10"/>
  <c r="J250" i="10"/>
  <c r="J251" i="10"/>
  <c r="J252" i="10"/>
  <c r="J253" i="10"/>
  <c r="J254" i="10"/>
  <c r="J255" i="10"/>
  <c r="J256" i="10"/>
  <c r="J257" i="10"/>
  <c r="J258" i="10"/>
  <c r="J259" i="10"/>
  <c r="J260" i="10"/>
  <c r="J262" i="10"/>
  <c r="J263" i="10"/>
  <c r="J264" i="10"/>
  <c r="J265" i="10"/>
  <c r="J266" i="10"/>
  <c r="J267" i="10"/>
  <c r="J268" i="10"/>
  <c r="J269" i="10"/>
  <c r="J270" i="10"/>
  <c r="J271" i="10"/>
  <c r="J272" i="10"/>
  <c r="J273" i="10"/>
  <c r="J2" i="10"/>
  <c r="I2" i="10"/>
  <c r="AS3" i="4"/>
  <c r="AS4" i="4"/>
  <c r="AS5" i="4"/>
  <c r="AS6" i="4"/>
  <c r="AS7" i="4"/>
  <c r="AS8" i="4"/>
  <c r="AS9" i="4"/>
  <c r="AS10" i="4"/>
  <c r="AS11" i="4"/>
  <c r="AS12" i="4"/>
  <c r="AS13" i="4"/>
  <c r="AS14" i="4"/>
  <c r="AS16" i="4"/>
  <c r="AS17" i="4"/>
  <c r="AS18" i="4"/>
  <c r="AS19" i="4"/>
  <c r="AS20" i="4"/>
  <c r="AS21" i="4"/>
  <c r="AS22" i="4"/>
  <c r="AS23" i="4"/>
  <c r="AS24" i="4"/>
  <c r="AS25" i="4"/>
  <c r="AS26" i="4"/>
  <c r="AS27" i="4"/>
  <c r="AS29" i="4"/>
  <c r="AS30" i="4"/>
  <c r="AS31" i="4"/>
  <c r="AS32" i="4"/>
  <c r="AS33" i="4"/>
  <c r="AS34" i="4"/>
  <c r="AS35" i="4"/>
  <c r="AS36" i="4"/>
  <c r="AS37" i="4"/>
  <c r="AS38" i="4"/>
  <c r="AS39" i="4"/>
  <c r="AS40" i="4"/>
  <c r="AS42" i="4"/>
  <c r="AS43" i="4"/>
  <c r="AS44" i="4"/>
  <c r="AS45" i="4"/>
  <c r="AS46" i="4"/>
  <c r="AS47" i="4"/>
  <c r="AS48" i="4"/>
  <c r="AS49" i="4"/>
  <c r="AS50" i="4"/>
  <c r="AS51" i="4"/>
  <c r="AS52" i="4"/>
  <c r="AS53" i="4"/>
  <c r="AS55" i="4"/>
  <c r="AS56" i="4"/>
  <c r="AS57" i="4"/>
  <c r="AS58" i="4"/>
  <c r="AS59" i="4"/>
  <c r="AS60" i="4"/>
  <c r="AS61" i="4"/>
  <c r="AS62" i="4"/>
  <c r="AS63" i="4"/>
  <c r="AS64" i="4"/>
  <c r="AS65" i="4"/>
  <c r="AS66" i="4"/>
  <c r="AS68" i="4"/>
  <c r="AS69" i="4"/>
  <c r="AS70" i="4"/>
  <c r="AS71" i="4"/>
  <c r="AS72" i="4"/>
  <c r="AS73" i="4"/>
  <c r="AS74" i="4"/>
  <c r="AS75" i="4"/>
  <c r="AS76" i="4"/>
  <c r="AS77" i="4"/>
  <c r="AS78" i="4"/>
  <c r="AS79" i="4"/>
  <c r="AS81" i="4"/>
  <c r="AS82" i="4"/>
  <c r="AS83" i="4"/>
  <c r="AS84" i="4"/>
  <c r="AS85" i="4"/>
  <c r="AS86" i="4"/>
  <c r="AS87" i="4"/>
  <c r="AS88" i="4"/>
  <c r="AS89" i="4"/>
  <c r="AS90" i="4"/>
  <c r="AS91" i="4"/>
  <c r="AS92" i="4"/>
  <c r="AS94" i="4"/>
  <c r="AS95" i="4"/>
  <c r="AS96" i="4"/>
  <c r="AS97" i="4"/>
  <c r="AS98" i="4"/>
  <c r="AS99" i="4"/>
  <c r="AS100" i="4"/>
  <c r="AS101" i="4"/>
  <c r="AS102" i="4"/>
  <c r="AS103" i="4"/>
  <c r="AS104" i="4"/>
  <c r="AS105" i="4"/>
  <c r="AS107" i="4"/>
  <c r="AS108" i="4"/>
  <c r="AS109" i="4"/>
  <c r="AS110" i="4"/>
  <c r="AS111" i="4"/>
  <c r="AS112" i="4"/>
  <c r="AS113" i="4"/>
  <c r="AS114" i="4"/>
  <c r="AS115" i="4"/>
  <c r="AS116" i="4"/>
  <c r="AS117" i="4"/>
  <c r="AS118" i="4"/>
  <c r="AS120" i="4"/>
  <c r="AS121" i="4"/>
  <c r="AS122" i="4"/>
  <c r="AS123" i="4"/>
  <c r="AS124" i="4"/>
  <c r="AS125" i="4"/>
  <c r="AS126" i="4"/>
  <c r="AS127" i="4"/>
  <c r="AS128" i="4"/>
  <c r="AS129" i="4"/>
  <c r="AS130" i="4"/>
  <c r="AS131" i="4"/>
  <c r="AS133" i="4"/>
  <c r="AS134" i="4"/>
  <c r="AS135" i="4"/>
  <c r="AS136" i="4"/>
  <c r="AS137" i="4"/>
  <c r="AS138" i="4"/>
  <c r="AS139" i="4"/>
  <c r="AS140" i="4"/>
  <c r="AS141" i="4"/>
  <c r="AS142" i="4"/>
  <c r="AS143" i="4"/>
  <c r="AS144" i="4"/>
  <c r="AS146" i="4"/>
  <c r="AS147" i="4"/>
  <c r="AS148" i="4"/>
  <c r="AS149" i="4"/>
  <c r="AS150" i="4"/>
  <c r="AS151" i="4"/>
  <c r="AS152" i="4"/>
  <c r="AS153" i="4"/>
  <c r="AS154" i="4"/>
  <c r="AS155" i="4"/>
  <c r="AS156" i="4"/>
  <c r="AS157" i="4"/>
  <c r="AS159" i="4"/>
  <c r="AS160" i="4"/>
  <c r="AS161" i="4"/>
  <c r="AS162" i="4"/>
  <c r="AS163" i="4"/>
  <c r="AS164" i="4"/>
  <c r="AS165" i="4"/>
  <c r="AS166" i="4"/>
  <c r="AS167" i="4"/>
  <c r="AS168" i="4"/>
  <c r="AS169" i="4"/>
  <c r="AS170" i="4"/>
  <c r="AS172" i="4"/>
  <c r="AS173" i="4"/>
  <c r="AS174" i="4"/>
  <c r="AS175" i="4"/>
  <c r="AS176" i="4"/>
  <c r="AS177" i="4"/>
  <c r="AS178" i="4"/>
  <c r="AS179" i="4"/>
  <c r="AS180" i="4"/>
  <c r="AS181" i="4"/>
  <c r="AS182" i="4"/>
  <c r="AS183" i="4"/>
  <c r="AS185" i="4"/>
  <c r="AS186" i="4"/>
  <c r="AS187" i="4"/>
  <c r="AS188" i="4"/>
  <c r="AS189" i="4"/>
  <c r="AS190" i="4"/>
  <c r="AS191" i="4"/>
  <c r="AS192" i="4"/>
  <c r="AS193" i="4"/>
  <c r="AS194" i="4"/>
  <c r="AS195" i="4"/>
  <c r="AS196" i="4"/>
  <c r="AS198" i="4"/>
  <c r="AS199" i="4"/>
  <c r="AS200" i="4"/>
  <c r="AS201" i="4"/>
  <c r="AS202" i="4"/>
  <c r="AS203" i="4"/>
  <c r="AS204" i="4"/>
  <c r="AS205" i="4"/>
  <c r="AS206" i="4"/>
  <c r="AS207" i="4"/>
  <c r="AS208" i="4"/>
  <c r="AS209" i="4"/>
  <c r="AS211" i="4"/>
  <c r="AS212" i="4"/>
  <c r="AS213" i="4"/>
  <c r="AS214" i="4"/>
  <c r="AS215" i="4"/>
  <c r="AS216" i="4"/>
  <c r="AS217" i="4"/>
  <c r="AS218" i="4"/>
  <c r="AS219" i="4"/>
  <c r="AS220" i="4"/>
  <c r="AS221" i="4"/>
  <c r="AS222" i="4"/>
  <c r="AS224" i="4"/>
  <c r="AS225" i="4"/>
  <c r="AS226" i="4"/>
  <c r="AS227" i="4"/>
  <c r="AS228" i="4"/>
  <c r="AS229" i="4"/>
  <c r="AS230" i="4"/>
  <c r="AS231" i="4"/>
  <c r="AS232" i="4"/>
  <c r="AS233" i="4"/>
  <c r="AS234" i="4"/>
  <c r="AS235" i="4"/>
  <c r="AS237" i="4"/>
  <c r="AS238" i="4"/>
  <c r="AS239" i="4"/>
  <c r="AS240" i="4"/>
  <c r="AS241" i="4"/>
  <c r="AS242" i="4"/>
  <c r="AS243" i="4"/>
  <c r="AS244" i="4"/>
  <c r="AS245" i="4"/>
  <c r="AS246" i="4"/>
  <c r="AS247" i="4"/>
  <c r="AS248" i="4"/>
  <c r="AS250" i="4"/>
  <c r="AS251" i="4"/>
  <c r="AS252" i="4"/>
  <c r="AS253" i="4"/>
  <c r="AS254" i="4"/>
  <c r="AS255" i="4"/>
  <c r="AS256" i="4"/>
  <c r="AS257" i="4"/>
  <c r="AS258" i="4"/>
  <c r="AS259" i="4"/>
  <c r="AS260" i="4"/>
  <c r="AS261" i="4"/>
  <c r="AS263" i="4"/>
  <c r="AS264" i="4"/>
  <c r="AS265" i="4"/>
  <c r="AS266" i="4"/>
  <c r="AS267" i="4"/>
  <c r="AS268" i="4"/>
  <c r="AS269" i="4"/>
  <c r="AS270" i="4"/>
  <c r="AS271" i="4"/>
  <c r="AS272" i="4"/>
  <c r="AS273" i="4"/>
  <c r="AS274" i="4"/>
  <c r="AQ4" i="4"/>
  <c r="AQ5" i="4"/>
  <c r="AQ6" i="4"/>
  <c r="AQ7" i="4"/>
  <c r="AQ8" i="4"/>
  <c r="AQ9" i="4"/>
  <c r="AQ10" i="4"/>
  <c r="AQ11" i="4"/>
  <c r="AQ12" i="4"/>
  <c r="AQ13" i="4"/>
  <c r="AQ14" i="4"/>
  <c r="AQ16" i="4"/>
  <c r="AQ17" i="4"/>
  <c r="AQ18" i="4"/>
  <c r="AQ19" i="4"/>
  <c r="AQ20" i="4"/>
  <c r="AQ21" i="4"/>
  <c r="AQ22" i="4"/>
  <c r="AQ23" i="4"/>
  <c r="AQ24" i="4"/>
  <c r="AQ25" i="4"/>
  <c r="AQ26" i="4"/>
  <c r="AQ27" i="4"/>
  <c r="AQ29" i="4"/>
  <c r="AQ30" i="4"/>
  <c r="AQ31" i="4"/>
  <c r="AQ32" i="4"/>
  <c r="AQ33" i="4"/>
  <c r="AQ34" i="4"/>
  <c r="AQ35" i="4"/>
  <c r="AQ36" i="4"/>
  <c r="AQ37" i="4"/>
  <c r="AQ38" i="4"/>
  <c r="AQ39" i="4"/>
  <c r="AQ40" i="4"/>
  <c r="AQ42" i="4"/>
  <c r="AQ43" i="4"/>
  <c r="AQ44" i="4"/>
  <c r="AQ45" i="4"/>
  <c r="AQ46" i="4"/>
  <c r="AQ47" i="4"/>
  <c r="AQ48" i="4"/>
  <c r="AQ49" i="4"/>
  <c r="AQ50" i="4"/>
  <c r="AQ51" i="4"/>
  <c r="AQ52" i="4"/>
  <c r="AQ53" i="4"/>
  <c r="AQ55" i="4"/>
  <c r="AQ56" i="4"/>
  <c r="AQ57" i="4"/>
  <c r="AQ58" i="4"/>
  <c r="AQ59" i="4"/>
  <c r="AQ60" i="4"/>
  <c r="AQ61" i="4"/>
  <c r="AQ62" i="4"/>
  <c r="AQ63" i="4"/>
  <c r="AQ64" i="4"/>
  <c r="AQ65" i="4"/>
  <c r="AQ66" i="4"/>
  <c r="AQ68" i="4"/>
  <c r="AQ69" i="4"/>
  <c r="AQ70" i="4"/>
  <c r="AQ71" i="4"/>
  <c r="AQ72" i="4"/>
  <c r="AQ73" i="4"/>
  <c r="AQ74" i="4"/>
  <c r="AQ75" i="4"/>
  <c r="AQ76" i="4"/>
  <c r="AQ77" i="4"/>
  <c r="AQ78" i="4"/>
  <c r="AQ79" i="4"/>
  <c r="AQ81" i="4"/>
  <c r="AQ82" i="4"/>
  <c r="AQ83" i="4"/>
  <c r="AQ84" i="4"/>
  <c r="AQ85" i="4"/>
  <c r="AQ86" i="4"/>
  <c r="AQ87" i="4"/>
  <c r="AQ88" i="4"/>
  <c r="AQ89" i="4"/>
  <c r="AQ90" i="4"/>
  <c r="AQ91" i="4"/>
  <c r="AQ92" i="4"/>
  <c r="AQ94" i="4"/>
  <c r="AQ95" i="4"/>
  <c r="AQ96" i="4"/>
  <c r="AQ97" i="4"/>
  <c r="AQ98" i="4"/>
  <c r="AQ99" i="4"/>
  <c r="AQ100" i="4"/>
  <c r="AQ101" i="4"/>
  <c r="AQ102" i="4"/>
  <c r="AQ103" i="4"/>
  <c r="AQ104" i="4"/>
  <c r="AQ105" i="4"/>
  <c r="AQ107" i="4"/>
  <c r="AQ108" i="4"/>
  <c r="AQ109" i="4"/>
  <c r="AQ110" i="4"/>
  <c r="AQ111" i="4"/>
  <c r="AQ112" i="4"/>
  <c r="AQ113" i="4"/>
  <c r="AQ114" i="4"/>
  <c r="AQ115" i="4"/>
  <c r="AQ116" i="4"/>
  <c r="AQ117" i="4"/>
  <c r="AQ118" i="4"/>
  <c r="AQ120" i="4"/>
  <c r="AQ121" i="4"/>
  <c r="AQ122" i="4"/>
  <c r="AQ123" i="4"/>
  <c r="AQ124" i="4"/>
  <c r="AQ125" i="4"/>
  <c r="AQ126" i="4"/>
  <c r="AQ127" i="4"/>
  <c r="AQ128" i="4"/>
  <c r="AQ129" i="4"/>
  <c r="AQ130" i="4"/>
  <c r="AQ131" i="4"/>
  <c r="AQ133" i="4"/>
  <c r="AQ134" i="4"/>
  <c r="AQ135" i="4"/>
  <c r="AQ136" i="4"/>
  <c r="AQ137" i="4"/>
  <c r="AQ138" i="4"/>
  <c r="AQ139" i="4"/>
  <c r="AQ140" i="4"/>
  <c r="AQ141" i="4"/>
  <c r="AQ142" i="4"/>
  <c r="AQ143" i="4"/>
  <c r="AQ144" i="4"/>
  <c r="AQ146" i="4"/>
  <c r="AQ147" i="4"/>
  <c r="AQ148" i="4"/>
  <c r="AQ149" i="4"/>
  <c r="AQ150" i="4"/>
  <c r="AQ151" i="4"/>
  <c r="AQ152" i="4"/>
  <c r="AQ153" i="4"/>
  <c r="AQ154" i="4"/>
  <c r="AQ155" i="4"/>
  <c r="AQ156" i="4"/>
  <c r="AQ157" i="4"/>
  <c r="AQ159" i="4"/>
  <c r="AQ160" i="4"/>
  <c r="AQ161" i="4"/>
  <c r="AQ162" i="4"/>
  <c r="AQ163" i="4"/>
  <c r="AQ164" i="4"/>
  <c r="AQ165" i="4"/>
  <c r="AQ166" i="4"/>
  <c r="AQ167" i="4"/>
  <c r="AQ168" i="4"/>
  <c r="AQ169" i="4"/>
  <c r="AQ170" i="4"/>
  <c r="AQ172" i="4"/>
  <c r="AQ173" i="4"/>
  <c r="AQ174" i="4"/>
  <c r="AQ175" i="4"/>
  <c r="AQ176" i="4"/>
  <c r="AQ177" i="4"/>
  <c r="AQ178" i="4"/>
  <c r="AQ179" i="4"/>
  <c r="AQ180" i="4"/>
  <c r="AQ181" i="4"/>
  <c r="AQ182" i="4"/>
  <c r="AQ183" i="4"/>
  <c r="AQ185" i="4"/>
  <c r="AQ186" i="4"/>
  <c r="AQ187" i="4"/>
  <c r="AQ188" i="4"/>
  <c r="AQ189" i="4"/>
  <c r="AQ190" i="4"/>
  <c r="AQ191" i="4"/>
  <c r="AQ192" i="4"/>
  <c r="AQ193" i="4"/>
  <c r="AQ194" i="4"/>
  <c r="AQ195" i="4"/>
  <c r="AQ196" i="4"/>
  <c r="AQ198" i="4"/>
  <c r="AQ199" i="4"/>
  <c r="AQ200" i="4"/>
  <c r="AQ201" i="4"/>
  <c r="AQ202" i="4"/>
  <c r="AQ203" i="4"/>
  <c r="AQ204" i="4"/>
  <c r="AQ205" i="4"/>
  <c r="AQ206" i="4"/>
  <c r="AQ207" i="4"/>
  <c r="AQ208" i="4"/>
  <c r="AQ209" i="4"/>
  <c r="AQ211" i="4"/>
  <c r="AQ212" i="4"/>
  <c r="AQ213" i="4"/>
  <c r="AQ214" i="4"/>
  <c r="AQ215" i="4"/>
  <c r="AQ216" i="4"/>
  <c r="AQ217" i="4"/>
  <c r="AQ218" i="4"/>
  <c r="AQ219" i="4"/>
  <c r="AQ220" i="4"/>
  <c r="AQ221" i="4"/>
  <c r="AQ222" i="4"/>
  <c r="AQ224" i="4"/>
  <c r="AQ225" i="4"/>
  <c r="AQ226" i="4"/>
  <c r="AQ227" i="4"/>
  <c r="AQ228" i="4"/>
  <c r="AQ229" i="4"/>
  <c r="AQ230" i="4"/>
  <c r="AQ231" i="4"/>
  <c r="AQ232" i="4"/>
  <c r="AQ233" i="4"/>
  <c r="AQ234" i="4"/>
  <c r="AQ235" i="4"/>
  <c r="AQ237" i="4"/>
  <c r="AQ238" i="4"/>
  <c r="AQ239" i="4"/>
  <c r="AQ240" i="4"/>
  <c r="AQ241" i="4"/>
  <c r="AQ242" i="4"/>
  <c r="AQ243" i="4"/>
  <c r="AQ244" i="4"/>
  <c r="AQ245" i="4"/>
  <c r="AQ246" i="4"/>
  <c r="AQ247" i="4"/>
  <c r="AQ248" i="4"/>
  <c r="AQ250" i="4"/>
  <c r="AQ251" i="4"/>
  <c r="AQ252" i="4"/>
  <c r="AQ253" i="4"/>
  <c r="AQ254" i="4"/>
  <c r="AQ255" i="4"/>
  <c r="AQ256" i="4"/>
  <c r="AQ257" i="4"/>
  <c r="AQ258" i="4"/>
  <c r="AQ259" i="4"/>
  <c r="AQ260" i="4"/>
  <c r="AQ261" i="4"/>
  <c r="AQ263" i="4"/>
  <c r="AQ264" i="4"/>
  <c r="AQ265" i="4"/>
  <c r="AQ266" i="4"/>
  <c r="AQ267" i="4"/>
  <c r="AQ268" i="4"/>
  <c r="AQ269" i="4"/>
  <c r="AQ270" i="4"/>
  <c r="AQ271" i="4"/>
  <c r="AQ272" i="4"/>
  <c r="AQ273" i="4"/>
  <c r="AQ274" i="4"/>
  <c r="AQ3" i="4"/>
  <c r="BA4" i="4"/>
  <c r="BA5" i="4"/>
  <c r="BA6" i="4"/>
  <c r="BA7" i="4"/>
  <c r="BA8" i="4"/>
  <c r="BA9" i="4"/>
  <c r="BA10" i="4"/>
  <c r="BA11" i="4"/>
  <c r="BA12" i="4"/>
  <c r="BA13" i="4"/>
  <c r="BA14" i="4"/>
  <c r="BA15" i="4"/>
  <c r="BA16" i="4"/>
  <c r="BA17" i="4"/>
  <c r="BA18" i="4"/>
  <c r="BA19" i="4"/>
  <c r="BA20" i="4"/>
  <c r="BA21" i="4"/>
  <c r="BA22" i="4"/>
  <c r="BA23" i="4"/>
  <c r="BA24" i="4"/>
  <c r="BA25" i="4"/>
  <c r="BA26" i="4"/>
  <c r="BA27" i="4"/>
  <c r="BA29" i="4"/>
  <c r="BA30" i="4"/>
  <c r="BA31" i="4"/>
  <c r="BA32" i="4"/>
  <c r="BA33" i="4"/>
  <c r="BA34" i="4"/>
  <c r="BA35" i="4"/>
  <c r="BA36" i="4"/>
  <c r="BA37" i="4"/>
  <c r="BA38" i="4"/>
  <c r="BA39" i="4"/>
  <c r="BA40" i="4"/>
  <c r="BA42" i="4"/>
  <c r="BA43" i="4"/>
  <c r="BA44" i="4"/>
  <c r="BA45" i="4"/>
  <c r="BA46" i="4"/>
  <c r="BA47" i="4"/>
  <c r="BA48" i="4"/>
  <c r="BA49" i="4"/>
  <c r="BA50" i="4"/>
  <c r="BA51" i="4"/>
  <c r="BA52" i="4"/>
  <c r="BA53" i="4"/>
  <c r="BA55" i="4"/>
  <c r="BA56" i="4"/>
  <c r="BA57" i="4"/>
  <c r="BA58" i="4"/>
  <c r="BA59" i="4"/>
  <c r="BA60" i="4"/>
  <c r="BA61" i="4"/>
  <c r="BA62" i="4"/>
  <c r="BA63" i="4"/>
  <c r="BA64" i="4"/>
  <c r="BA65" i="4"/>
  <c r="BA66" i="4"/>
  <c r="BA68" i="4"/>
  <c r="BA69" i="4"/>
  <c r="BA70" i="4"/>
  <c r="BA71" i="4"/>
  <c r="BA72" i="4"/>
  <c r="BA73" i="4"/>
  <c r="BA74" i="4"/>
  <c r="BA75" i="4"/>
  <c r="BA76" i="4"/>
  <c r="BA77" i="4"/>
  <c r="BA78" i="4"/>
  <c r="BA79" i="4"/>
  <c r="BA81" i="4"/>
  <c r="BA82" i="4"/>
  <c r="BA83" i="4"/>
  <c r="BA84" i="4"/>
  <c r="BA85" i="4"/>
  <c r="BA86" i="4"/>
  <c r="BA87" i="4"/>
  <c r="BA88" i="4"/>
  <c r="BA89" i="4"/>
  <c r="BA90" i="4"/>
  <c r="BA91" i="4"/>
  <c r="BA92" i="4"/>
  <c r="BA94" i="4"/>
  <c r="BA95" i="4"/>
  <c r="BA96" i="4"/>
  <c r="BA97" i="4"/>
  <c r="BA98" i="4"/>
  <c r="BA99" i="4"/>
  <c r="BA100" i="4"/>
  <c r="BA101" i="4"/>
  <c r="BA102" i="4"/>
  <c r="BA103" i="4"/>
  <c r="BA104" i="4"/>
  <c r="BA105" i="4"/>
  <c r="BA107" i="4"/>
  <c r="BA108" i="4"/>
  <c r="BA109" i="4"/>
  <c r="BA110" i="4"/>
  <c r="BA111" i="4"/>
  <c r="BA112" i="4"/>
  <c r="BA113" i="4"/>
  <c r="BA114" i="4"/>
  <c r="BA115" i="4"/>
  <c r="BA116" i="4"/>
  <c r="BA117" i="4"/>
  <c r="BA118" i="4"/>
  <c r="BA120" i="4"/>
  <c r="BA121" i="4"/>
  <c r="BA122" i="4"/>
  <c r="BA123" i="4"/>
  <c r="BA124" i="4"/>
  <c r="BA125" i="4"/>
  <c r="BA126" i="4"/>
  <c r="BA127" i="4"/>
  <c r="BA128" i="4"/>
  <c r="BA129" i="4"/>
  <c r="BA130" i="4"/>
  <c r="BA131" i="4"/>
  <c r="BA133" i="4"/>
  <c r="BA134" i="4"/>
  <c r="BA135" i="4"/>
  <c r="BA136" i="4"/>
  <c r="BA137" i="4"/>
  <c r="BA138" i="4"/>
  <c r="BA139" i="4"/>
  <c r="BA140" i="4"/>
  <c r="BA141" i="4"/>
  <c r="BA142" i="4"/>
  <c r="BA143" i="4"/>
  <c r="BA144" i="4"/>
  <c r="BA146" i="4"/>
  <c r="BA147" i="4"/>
  <c r="BA148" i="4"/>
  <c r="BA149" i="4"/>
  <c r="BA150" i="4"/>
  <c r="BA151" i="4"/>
  <c r="BA152" i="4"/>
  <c r="BA153" i="4"/>
  <c r="BA154" i="4"/>
  <c r="BA155" i="4"/>
  <c r="BA156" i="4"/>
  <c r="BA157" i="4"/>
  <c r="BA159" i="4"/>
  <c r="BA160" i="4"/>
  <c r="BA161" i="4"/>
  <c r="BA162" i="4"/>
  <c r="BA163" i="4"/>
  <c r="BA164" i="4"/>
  <c r="BA165" i="4"/>
  <c r="BA166" i="4"/>
  <c r="BA167" i="4"/>
  <c r="BA168" i="4"/>
  <c r="BA169" i="4"/>
  <c r="BA170" i="4"/>
  <c r="BA172" i="4"/>
  <c r="BA173" i="4"/>
  <c r="BA174" i="4"/>
  <c r="BA175" i="4"/>
  <c r="BA176" i="4"/>
  <c r="BA177" i="4"/>
  <c r="BA178" i="4"/>
  <c r="BA179" i="4"/>
  <c r="BA180" i="4"/>
  <c r="BA181" i="4"/>
  <c r="BA182" i="4"/>
  <c r="BA183" i="4"/>
  <c r="BA185" i="4"/>
  <c r="BA186" i="4"/>
  <c r="BA187" i="4"/>
  <c r="BA188" i="4"/>
  <c r="BA189" i="4"/>
  <c r="BA190" i="4"/>
  <c r="BA191" i="4"/>
  <c r="BA192" i="4"/>
  <c r="BA193" i="4"/>
  <c r="BA194" i="4"/>
  <c r="BA195" i="4"/>
  <c r="BA196" i="4"/>
  <c r="BA198" i="4"/>
  <c r="BA199" i="4"/>
  <c r="BA200" i="4"/>
  <c r="BA201" i="4"/>
  <c r="BA202" i="4"/>
  <c r="BA203" i="4"/>
  <c r="BA204" i="4"/>
  <c r="BA205" i="4"/>
  <c r="BA206" i="4"/>
  <c r="BA207" i="4"/>
  <c r="BA208" i="4"/>
  <c r="BA209" i="4"/>
  <c r="BA211" i="4"/>
  <c r="BA212" i="4"/>
  <c r="BA213" i="4"/>
  <c r="BA214" i="4"/>
  <c r="BA215" i="4"/>
  <c r="BA216" i="4"/>
  <c r="BA217" i="4"/>
  <c r="BA218" i="4"/>
  <c r="BA219" i="4"/>
  <c r="BA220" i="4"/>
  <c r="BA221" i="4"/>
  <c r="BA222" i="4"/>
  <c r="BA224" i="4"/>
  <c r="BA225" i="4"/>
  <c r="BA226" i="4"/>
  <c r="BA227" i="4"/>
  <c r="BA228" i="4"/>
  <c r="BA229" i="4"/>
  <c r="BA230" i="4"/>
  <c r="BA231" i="4"/>
  <c r="BA232" i="4"/>
  <c r="BA233" i="4"/>
  <c r="BA234" i="4"/>
  <c r="BA235" i="4"/>
  <c r="BA237" i="4"/>
  <c r="BA238" i="4"/>
  <c r="BA239" i="4"/>
  <c r="BA240" i="4"/>
  <c r="BA241" i="4"/>
  <c r="BA242" i="4"/>
  <c r="BA243" i="4"/>
  <c r="BA244" i="4"/>
  <c r="BA245" i="4"/>
  <c r="BA246" i="4"/>
  <c r="BA247" i="4"/>
  <c r="BA248" i="4"/>
  <c r="BA250" i="4"/>
  <c r="BA251" i="4"/>
  <c r="BA252" i="4"/>
  <c r="BA253" i="4"/>
  <c r="BA254" i="4"/>
  <c r="BA255" i="4"/>
  <c r="BA256" i="4"/>
  <c r="BA257" i="4"/>
  <c r="BA258" i="4"/>
  <c r="BA259" i="4"/>
  <c r="BA260" i="4"/>
  <c r="BA261" i="4"/>
  <c r="BA263" i="4"/>
  <c r="BA264" i="4"/>
  <c r="BA265" i="4"/>
  <c r="BA266" i="4"/>
  <c r="BA267" i="4"/>
  <c r="BA268" i="4"/>
  <c r="BA269" i="4"/>
  <c r="BA270" i="4"/>
  <c r="BA271" i="4"/>
  <c r="BA272" i="4"/>
  <c r="BA273" i="4"/>
  <c r="BA274" i="4"/>
  <c r="BA3" i="4"/>
  <c r="AT4" i="4"/>
  <c r="AT5" i="4"/>
  <c r="AT6" i="4"/>
  <c r="AT7" i="4"/>
  <c r="AT8" i="4"/>
  <c r="AT9" i="4"/>
  <c r="AT10" i="4"/>
  <c r="AT11" i="4"/>
  <c r="AT12" i="4"/>
  <c r="AT13" i="4"/>
  <c r="AT14" i="4"/>
  <c r="AT16" i="4"/>
  <c r="AT17" i="4"/>
  <c r="AT18" i="4"/>
  <c r="AT19" i="4"/>
  <c r="AT20" i="4"/>
  <c r="AT21" i="4"/>
  <c r="AT22" i="4"/>
  <c r="AT23" i="4"/>
  <c r="AT24" i="4"/>
  <c r="AT25" i="4"/>
  <c r="AT26" i="4"/>
  <c r="AT27" i="4"/>
  <c r="AT29" i="4"/>
  <c r="AT30" i="4"/>
  <c r="AT31" i="4"/>
  <c r="AT32" i="4"/>
  <c r="AT33" i="4"/>
  <c r="AT34" i="4"/>
  <c r="AT35" i="4"/>
  <c r="AT36" i="4"/>
  <c r="AT37" i="4"/>
  <c r="AT38" i="4"/>
  <c r="AT39" i="4"/>
  <c r="AT40" i="4"/>
  <c r="AT42" i="4"/>
  <c r="AT43" i="4"/>
  <c r="AT44" i="4"/>
  <c r="AT45" i="4"/>
  <c r="AT46" i="4"/>
  <c r="AT47" i="4"/>
  <c r="AT48" i="4"/>
  <c r="AT49" i="4"/>
  <c r="AT50" i="4"/>
  <c r="AT51" i="4"/>
  <c r="AT52" i="4"/>
  <c r="AT53" i="4"/>
  <c r="AT55" i="4"/>
  <c r="AT56" i="4"/>
  <c r="AT57" i="4"/>
  <c r="AT58" i="4"/>
  <c r="AT59" i="4"/>
  <c r="AT60" i="4"/>
  <c r="AT61" i="4"/>
  <c r="AT62" i="4"/>
  <c r="AT63" i="4"/>
  <c r="AT64" i="4"/>
  <c r="AT65" i="4"/>
  <c r="AT66" i="4"/>
  <c r="AT68" i="4"/>
  <c r="AT69" i="4"/>
  <c r="AT70" i="4"/>
  <c r="AT71" i="4"/>
  <c r="AT72" i="4"/>
  <c r="AT73" i="4"/>
  <c r="AT74" i="4"/>
  <c r="AT75" i="4"/>
  <c r="AT76" i="4"/>
  <c r="AT77" i="4"/>
  <c r="AT78" i="4"/>
  <c r="AT79" i="4"/>
  <c r="AT81" i="4"/>
  <c r="AT82" i="4"/>
  <c r="AT83" i="4"/>
  <c r="AT84" i="4"/>
  <c r="AT85" i="4"/>
  <c r="AT86" i="4"/>
  <c r="AT87" i="4"/>
  <c r="AT88" i="4"/>
  <c r="AT89" i="4"/>
  <c r="AT90" i="4"/>
  <c r="AT91" i="4"/>
  <c r="AT92" i="4"/>
  <c r="AT94" i="4"/>
  <c r="AT95" i="4"/>
  <c r="AT96" i="4"/>
  <c r="AT97" i="4"/>
  <c r="AT98" i="4"/>
  <c r="AT99" i="4"/>
  <c r="AT100" i="4"/>
  <c r="AT101" i="4"/>
  <c r="AT102" i="4"/>
  <c r="AT103" i="4"/>
  <c r="AT104" i="4"/>
  <c r="AT105" i="4"/>
  <c r="AT107" i="4"/>
  <c r="AT108" i="4"/>
  <c r="AT109" i="4"/>
  <c r="AT110" i="4"/>
  <c r="AT111" i="4"/>
  <c r="AT112" i="4"/>
  <c r="AT113" i="4"/>
  <c r="AT114" i="4"/>
  <c r="AT115" i="4"/>
  <c r="AT116" i="4"/>
  <c r="AT117" i="4"/>
  <c r="AT118" i="4"/>
  <c r="AT120" i="4"/>
  <c r="AT121" i="4"/>
  <c r="AT122" i="4"/>
  <c r="AT123" i="4"/>
  <c r="AT124" i="4"/>
  <c r="AT125" i="4"/>
  <c r="AT126" i="4"/>
  <c r="AT127" i="4"/>
  <c r="AT128" i="4"/>
  <c r="AT129" i="4"/>
  <c r="AT130" i="4"/>
  <c r="AT131" i="4"/>
  <c r="AT133" i="4"/>
  <c r="AT134" i="4"/>
  <c r="AT135" i="4"/>
  <c r="AT136" i="4"/>
  <c r="AT137" i="4"/>
  <c r="AT138" i="4"/>
  <c r="AT139" i="4"/>
  <c r="AT140" i="4"/>
  <c r="AT141" i="4"/>
  <c r="AT142" i="4"/>
  <c r="AT143" i="4"/>
  <c r="AT144" i="4"/>
  <c r="AT146" i="4"/>
  <c r="AT147" i="4"/>
  <c r="AT148" i="4"/>
  <c r="AT149" i="4"/>
  <c r="AT150" i="4"/>
  <c r="AT151" i="4"/>
  <c r="AT152" i="4"/>
  <c r="AT153" i="4"/>
  <c r="AT154" i="4"/>
  <c r="AT155" i="4"/>
  <c r="AT156" i="4"/>
  <c r="AT157" i="4"/>
  <c r="AT159" i="4"/>
  <c r="AT160" i="4"/>
  <c r="AT161" i="4"/>
  <c r="AT162" i="4"/>
  <c r="AT163" i="4"/>
  <c r="AT164" i="4"/>
  <c r="AT165" i="4"/>
  <c r="AT166" i="4"/>
  <c r="AT167" i="4"/>
  <c r="AT168" i="4"/>
  <c r="AT169" i="4"/>
  <c r="AT170" i="4"/>
  <c r="AT172" i="4"/>
  <c r="AT173" i="4"/>
  <c r="AT174" i="4"/>
  <c r="AT175" i="4"/>
  <c r="AT176" i="4"/>
  <c r="AT177" i="4"/>
  <c r="AT178" i="4"/>
  <c r="AT179" i="4"/>
  <c r="AT180" i="4"/>
  <c r="AT181" i="4"/>
  <c r="AT182" i="4"/>
  <c r="AT183" i="4"/>
  <c r="AT185" i="4"/>
  <c r="AT186" i="4"/>
  <c r="AT187" i="4"/>
  <c r="AT188" i="4"/>
  <c r="AT189" i="4"/>
  <c r="AT190" i="4"/>
  <c r="AT191" i="4"/>
  <c r="AT192" i="4"/>
  <c r="AT193" i="4"/>
  <c r="AT194" i="4"/>
  <c r="AT195" i="4"/>
  <c r="AT196" i="4"/>
  <c r="AT198" i="4"/>
  <c r="AT199" i="4"/>
  <c r="AT200" i="4"/>
  <c r="AT201" i="4"/>
  <c r="AT202" i="4"/>
  <c r="AT203" i="4"/>
  <c r="AT204" i="4"/>
  <c r="AT205" i="4"/>
  <c r="AT206" i="4"/>
  <c r="AT207" i="4"/>
  <c r="AT208" i="4"/>
  <c r="AT209" i="4"/>
  <c r="AT211" i="4"/>
  <c r="AT212" i="4"/>
  <c r="AT213" i="4"/>
  <c r="AT214" i="4"/>
  <c r="AT215" i="4"/>
  <c r="AT216" i="4"/>
  <c r="AT217" i="4"/>
  <c r="AT218" i="4"/>
  <c r="AT219" i="4"/>
  <c r="AT220" i="4"/>
  <c r="AT221" i="4"/>
  <c r="AT222" i="4"/>
  <c r="AT224" i="4"/>
  <c r="AT225" i="4"/>
  <c r="AT226" i="4"/>
  <c r="AT227" i="4"/>
  <c r="AT228" i="4"/>
  <c r="AT229" i="4"/>
  <c r="AT230" i="4"/>
  <c r="AT231" i="4"/>
  <c r="AT232" i="4"/>
  <c r="AT233" i="4"/>
  <c r="AT234" i="4"/>
  <c r="AT235" i="4"/>
  <c r="AT237" i="4"/>
  <c r="AT238" i="4"/>
  <c r="AT239" i="4"/>
  <c r="AT240" i="4"/>
  <c r="AT241" i="4"/>
  <c r="AT242" i="4"/>
  <c r="AT243" i="4"/>
  <c r="AT244" i="4"/>
  <c r="AT245" i="4"/>
  <c r="AT246" i="4"/>
  <c r="AT247" i="4"/>
  <c r="AT248" i="4"/>
  <c r="AT250" i="4"/>
  <c r="AT251" i="4"/>
  <c r="AT252" i="4"/>
  <c r="AT253" i="4"/>
  <c r="AT254" i="4"/>
  <c r="AT255" i="4"/>
  <c r="AT256" i="4"/>
  <c r="AT257" i="4"/>
  <c r="AT258" i="4"/>
  <c r="AT259" i="4"/>
  <c r="AT260" i="4"/>
  <c r="AT261" i="4"/>
  <c r="AT263" i="4"/>
  <c r="AT264" i="4"/>
  <c r="AT265" i="4"/>
  <c r="AT266" i="4"/>
  <c r="AT267" i="4"/>
  <c r="AT268" i="4"/>
  <c r="AT269" i="4"/>
  <c r="AT270" i="4"/>
  <c r="AT271" i="4"/>
  <c r="AT272" i="4"/>
  <c r="AT273" i="4"/>
  <c r="AT274" i="4"/>
  <c r="AT3" i="4"/>
  <c r="AR17" i="4"/>
  <c r="AR18" i="4"/>
  <c r="AR19" i="4"/>
  <c r="AR20" i="4"/>
  <c r="AR21" i="4"/>
  <c r="AR22" i="4"/>
  <c r="AR23" i="4"/>
  <c r="AR24" i="4"/>
  <c r="AR25" i="4"/>
  <c r="AR26" i="4"/>
  <c r="AR27" i="4"/>
  <c r="AR16" i="4"/>
  <c r="BB17" i="4"/>
  <c r="BB18" i="4"/>
  <c r="BB19" i="4"/>
  <c r="BB20" i="4"/>
  <c r="BB21" i="4"/>
  <c r="BB22" i="4"/>
  <c r="BB23" i="4"/>
  <c r="BB24" i="4"/>
  <c r="BB25" i="4"/>
  <c r="BB26" i="4"/>
  <c r="BB27" i="4"/>
  <c r="BB16" i="4"/>
  <c r="AK16" i="4"/>
  <c r="AJ16" i="4"/>
  <c r="AL16" i="4" s="1"/>
  <c r="AN16" i="4"/>
  <c r="AO16" i="4"/>
  <c r="AP16" i="4" s="1"/>
  <c r="AW16" i="4"/>
  <c r="AZ16" i="4"/>
  <c r="BD16" i="4"/>
  <c r="BE16" i="4"/>
  <c r="AL17" i="4"/>
  <c r="AN17" i="4"/>
  <c r="AO17" i="4"/>
  <c r="AP17" i="4"/>
  <c r="AW17" i="4"/>
  <c r="AZ17" i="4"/>
  <c r="BD17" i="4"/>
  <c r="BE17" i="4"/>
  <c r="AL18" i="4"/>
  <c r="AN18" i="4"/>
  <c r="AO18" i="4"/>
  <c r="AP18" i="4" s="1"/>
  <c r="AW18" i="4"/>
  <c r="AZ18" i="4"/>
  <c r="BD18" i="4"/>
  <c r="BE18" i="4"/>
  <c r="AL19" i="4"/>
  <c r="AN19" i="4"/>
  <c r="AO19" i="4"/>
  <c r="AP19" i="4" s="1"/>
  <c r="AW19" i="4"/>
  <c r="AZ19" i="4"/>
  <c r="BD19" i="4"/>
  <c r="BE19" i="4"/>
  <c r="AL20" i="4"/>
  <c r="AN20" i="4"/>
  <c r="AO20" i="4"/>
  <c r="AP20" i="4" s="1"/>
  <c r="AW20" i="4"/>
  <c r="AZ20" i="4"/>
  <c r="BD20" i="4"/>
  <c r="BE20" i="4"/>
  <c r="AL21" i="4"/>
  <c r="AN21" i="4"/>
  <c r="AO21" i="4"/>
  <c r="AP21" i="4"/>
  <c r="AW21" i="4"/>
  <c r="AZ21" i="4"/>
  <c r="BD21" i="4"/>
  <c r="BE21" i="4"/>
  <c r="AL22" i="4"/>
  <c r="AN22" i="4"/>
  <c r="AO22" i="4"/>
  <c r="AP22" i="4" s="1"/>
  <c r="AW22" i="4"/>
  <c r="AZ22" i="4"/>
  <c r="BD22" i="4"/>
  <c r="BE22" i="4"/>
  <c r="AL23" i="4"/>
  <c r="AN23" i="4"/>
  <c r="AO23" i="4"/>
  <c r="AP23" i="4" s="1"/>
  <c r="AW23" i="4"/>
  <c r="AZ23" i="4"/>
  <c r="BD23" i="4"/>
  <c r="BE23" i="4"/>
  <c r="AL24" i="4"/>
  <c r="AN24" i="4"/>
  <c r="AO24" i="4"/>
  <c r="AP24" i="4" s="1"/>
  <c r="AW24" i="4"/>
  <c r="AZ24" i="4"/>
  <c r="BD24" i="4"/>
  <c r="BE24" i="4"/>
  <c r="AL25" i="4"/>
  <c r="AN25" i="4"/>
  <c r="AO25" i="4"/>
  <c r="AP25" i="4"/>
  <c r="AW25" i="4"/>
  <c r="AZ25" i="4"/>
  <c r="BD25" i="4"/>
  <c r="BE25" i="4"/>
  <c r="AL26" i="4"/>
  <c r="AN26" i="4"/>
  <c r="AO26" i="4"/>
  <c r="AP26" i="4" s="1"/>
  <c r="AW26" i="4"/>
  <c r="AZ26" i="4"/>
  <c r="BD26" i="4"/>
  <c r="BE26" i="4"/>
  <c r="AL27" i="4"/>
  <c r="AN27" i="4"/>
  <c r="AO27" i="4"/>
  <c r="AP27" i="4" s="1"/>
  <c r="AW27" i="4"/>
  <c r="AZ27" i="4"/>
  <c r="BD27" i="4"/>
  <c r="BE27" i="4"/>
  <c r="AL4" i="4"/>
  <c r="AN4" i="4"/>
  <c r="AO4" i="4"/>
  <c r="AP4" i="4"/>
  <c r="AR4" i="4"/>
  <c r="AW4" i="4"/>
  <c r="AZ4" i="4"/>
  <c r="BD4" i="4"/>
  <c r="BE4" i="4"/>
  <c r="AL5" i="4"/>
  <c r="AN5" i="4"/>
  <c r="AO5" i="4"/>
  <c r="AP5" i="4" s="1"/>
  <c r="AR5" i="4"/>
  <c r="AW5" i="4"/>
  <c r="AZ5" i="4"/>
  <c r="BD5" i="4"/>
  <c r="BE5" i="4"/>
  <c r="AL6" i="4"/>
  <c r="AN6" i="4"/>
  <c r="AO6" i="4"/>
  <c r="AP6" i="4"/>
  <c r="AR6" i="4"/>
  <c r="AW6" i="4"/>
  <c r="AZ6" i="4"/>
  <c r="BD6" i="4"/>
  <c r="BE6" i="4"/>
  <c r="AL7" i="4"/>
  <c r="AN7" i="4"/>
  <c r="AO7" i="4"/>
  <c r="AP7" i="4"/>
  <c r="AR7" i="4"/>
  <c r="AW7" i="4"/>
  <c r="AZ7" i="4"/>
  <c r="BD7" i="4"/>
  <c r="BE7" i="4"/>
  <c r="AL8" i="4"/>
  <c r="AN8" i="4"/>
  <c r="AO8" i="4"/>
  <c r="AP8" i="4"/>
  <c r="AR8" i="4"/>
  <c r="AW8" i="4"/>
  <c r="AZ8" i="4"/>
  <c r="BD8" i="4"/>
  <c r="BE8" i="4"/>
  <c r="AL9" i="4"/>
  <c r="AN9" i="4"/>
  <c r="AO9" i="4"/>
  <c r="AP9" i="4" s="1"/>
  <c r="AR9" i="4"/>
  <c r="AW9" i="4"/>
  <c r="AZ9" i="4"/>
  <c r="BD9" i="4"/>
  <c r="BE9" i="4"/>
  <c r="AL10" i="4"/>
  <c r="AN10" i="4"/>
  <c r="AO10" i="4"/>
  <c r="AP10" i="4"/>
  <c r="AR10" i="4"/>
  <c r="AW10" i="4"/>
  <c r="AZ10" i="4"/>
  <c r="BD10" i="4"/>
  <c r="BE10" i="4"/>
  <c r="AL11" i="4"/>
  <c r="AN11" i="4"/>
  <c r="AO11" i="4"/>
  <c r="AP11" i="4"/>
  <c r="AR11" i="4"/>
  <c r="AW11" i="4"/>
  <c r="AZ11" i="4"/>
  <c r="BD11" i="4"/>
  <c r="BE11" i="4"/>
  <c r="AL12" i="4"/>
  <c r="AN12" i="4"/>
  <c r="AO12" i="4"/>
  <c r="AP12" i="4"/>
  <c r="AR12" i="4"/>
  <c r="AW12" i="4"/>
  <c r="AZ12" i="4"/>
  <c r="BD12" i="4"/>
  <c r="BE12" i="4"/>
  <c r="AL13" i="4"/>
  <c r="AN13" i="4"/>
  <c r="AO13" i="4"/>
  <c r="AP13" i="4" s="1"/>
  <c r="AR13" i="4"/>
  <c r="AW13" i="4"/>
  <c r="AZ13" i="4"/>
  <c r="BD13" i="4"/>
  <c r="BE13" i="4"/>
  <c r="AL14" i="4"/>
  <c r="AN14" i="4"/>
  <c r="AO14" i="4"/>
  <c r="AP14" i="4"/>
  <c r="AR14" i="4"/>
  <c r="AW14" i="4"/>
  <c r="AZ14" i="4"/>
  <c r="BD14" i="4"/>
  <c r="BE14" i="4"/>
  <c r="BE3" i="4"/>
  <c r="BD3" i="4"/>
  <c r="AZ3" i="4"/>
  <c r="AM3" i="4"/>
  <c r="AN3" i="4" s="1"/>
  <c r="AW3" i="4"/>
  <c r="AR3" i="4"/>
  <c r="AO3" i="4"/>
  <c r="AP3" i="4" s="1"/>
  <c r="AK3" i="4"/>
  <c r="AJ3" i="4"/>
  <c r="AL3" i="4" s="1"/>
  <c r="J177" i="16" l="1"/>
  <c r="J239" i="16"/>
  <c r="J229" i="16"/>
  <c r="J207" i="16"/>
  <c r="J179" i="16"/>
  <c r="J171" i="16"/>
  <c r="J155" i="16"/>
  <c r="J151" i="16"/>
  <c r="J145" i="16"/>
  <c r="J133" i="16"/>
  <c r="J131" i="16"/>
  <c r="J125" i="16"/>
  <c r="J121" i="16"/>
  <c r="J113" i="16"/>
  <c r="J83" i="16"/>
  <c r="J57" i="16"/>
  <c r="J49" i="16"/>
  <c r="J45" i="16"/>
  <c r="J33" i="16"/>
  <c r="J31" i="16"/>
  <c r="J29" i="16"/>
  <c r="J27" i="16"/>
  <c r="J25" i="16"/>
  <c r="J23" i="16"/>
  <c r="J9" i="16"/>
  <c r="J93" i="16"/>
  <c r="J250" i="16"/>
  <c r="J232" i="16"/>
  <c r="J230" i="16"/>
  <c r="J196" i="16"/>
  <c r="J186" i="16"/>
  <c r="J99" i="16"/>
  <c r="J146" i="16"/>
  <c r="J128" i="16"/>
  <c r="J124" i="16"/>
  <c r="J122" i="16"/>
  <c r="J102" i="16"/>
  <c r="J92" i="16"/>
  <c r="J90" i="16"/>
  <c r="J86" i="16"/>
  <c r="J84" i="16"/>
  <c r="J80" i="16"/>
  <c r="J76" i="16"/>
  <c r="J66" i="16"/>
  <c r="J64" i="16"/>
  <c r="J253" i="16"/>
  <c r="J237" i="16"/>
  <c r="J233" i="16"/>
  <c r="J203" i="16"/>
  <c r="J199" i="16"/>
  <c r="J185" i="16"/>
  <c r="J183" i="16"/>
  <c r="J137" i="16"/>
  <c r="J91" i="16"/>
  <c r="J17" i="16"/>
  <c r="J238" i="16"/>
  <c r="J212" i="16"/>
  <c r="J210" i="16"/>
  <c r="J208" i="16"/>
  <c r="J206" i="16"/>
  <c r="J152" i="16"/>
  <c r="J110" i="16"/>
  <c r="J82" i="16"/>
  <c r="J72" i="16"/>
  <c r="J48" i="16"/>
  <c r="J42" i="16"/>
  <c r="J194" i="16"/>
  <c r="J168" i="16"/>
  <c r="J164" i="16"/>
  <c r="J160" i="16"/>
  <c r="J95" i="16"/>
  <c r="J69" i="16"/>
  <c r="J60" i="16"/>
  <c r="J44" i="16"/>
  <c r="J246" i="16"/>
  <c r="J242" i="16"/>
  <c r="J224" i="16"/>
  <c r="J195" i="16"/>
  <c r="J169" i="16"/>
  <c r="J161" i="16"/>
  <c r="J143" i="16"/>
  <c r="J135" i="16"/>
  <c r="J41" i="16"/>
  <c r="J7" i="16"/>
  <c r="J247" i="16"/>
  <c r="J187" i="16"/>
  <c r="J109" i="16"/>
  <c r="J101" i="16"/>
  <c r="J221" i="16"/>
  <c r="J162" i="16"/>
  <c r="J158" i="16"/>
  <c r="J144" i="16"/>
  <c r="J71" i="16"/>
  <c r="J58" i="16"/>
  <c r="J38" i="16"/>
  <c r="J34" i="16"/>
  <c r="J249" i="16"/>
  <c r="J240" i="16"/>
  <c r="J205" i="16"/>
  <c r="J180" i="16"/>
  <c r="J172" i="16"/>
  <c r="J119" i="16"/>
  <c r="J81" i="16"/>
  <c r="J55" i="16"/>
  <c r="J47" i="16"/>
  <c r="J10" i="16"/>
  <c r="J8" i="16"/>
  <c r="J2" i="16"/>
  <c r="J236" i="16"/>
  <c r="J218" i="16"/>
  <c r="J163" i="16"/>
  <c r="J123" i="16"/>
  <c r="J118" i="16"/>
  <c r="J105" i="16"/>
  <c r="J87" i="16"/>
  <c r="J77" i="16"/>
  <c r="J73" i="16"/>
  <c r="J59" i="16"/>
  <c r="J54" i="16"/>
  <c r="J50" i="16"/>
  <c r="J15" i="16"/>
  <c r="J241" i="16"/>
  <c r="J223" i="16"/>
  <c r="J214" i="16"/>
  <c r="J111" i="16"/>
  <c r="J46" i="16"/>
  <c r="J215" i="16"/>
  <c r="J197" i="16"/>
  <c r="J188" i="16"/>
  <c r="J174" i="16"/>
  <c r="J142" i="16"/>
  <c r="J138" i="16"/>
  <c r="J134" i="16"/>
  <c r="J220" i="16"/>
  <c r="J211" i="16"/>
  <c r="J198" i="16"/>
  <c r="J184" i="16"/>
  <c r="J165" i="16"/>
  <c r="J148" i="16"/>
  <c r="J116" i="16"/>
  <c r="J112" i="16"/>
  <c r="J107" i="16"/>
  <c r="J89" i="16"/>
  <c r="J79" i="16"/>
  <c r="J75" i="16"/>
  <c r="J70" i="16"/>
  <c r="J61" i="16"/>
  <c r="J39" i="16"/>
  <c r="J30" i="16"/>
  <c r="J26" i="16"/>
  <c r="J225" i="16"/>
  <c r="J193" i="16"/>
  <c r="J189" i="16"/>
  <c r="J175" i="16"/>
  <c r="J153" i="16"/>
  <c r="J139" i="16"/>
  <c r="J117" i="16"/>
  <c r="J108" i="16"/>
  <c r="J85" i="16"/>
  <c r="J67" i="16"/>
  <c r="J222" i="16"/>
  <c r="J213" i="16"/>
  <c r="J154" i="16"/>
  <c r="J136" i="16"/>
  <c r="J127" i="16"/>
  <c r="J32" i="16"/>
  <c r="J248" i="16"/>
  <c r="J243" i="16"/>
  <c r="J226" i="16"/>
  <c r="J216" i="16"/>
  <c r="J200" i="16"/>
  <c r="J190" i="16"/>
  <c r="J170" i="16"/>
  <c r="J159" i="16"/>
  <c r="J149" i="16"/>
  <c r="J132" i="16"/>
  <c r="J106" i="16"/>
  <c r="J96" i="16"/>
  <c r="J56" i="16"/>
  <c r="J51" i="16"/>
  <c r="J36" i="16"/>
  <c r="J21" i="16"/>
  <c r="J13" i="16"/>
  <c r="J11" i="16"/>
  <c r="J244" i="16"/>
  <c r="J227" i="16"/>
  <c r="J217" i="16"/>
  <c r="J201" i="16"/>
  <c r="J191" i="16"/>
  <c r="J181" i="16"/>
  <c r="J150" i="16"/>
  <c r="J129" i="16"/>
  <c r="J103" i="16"/>
  <c r="J97" i="16"/>
  <c r="J62" i="16"/>
  <c r="J52" i="16"/>
  <c r="J37" i="16"/>
  <c r="J22" i="16"/>
  <c r="J18" i="16"/>
  <c r="J5" i="16"/>
  <c r="J3" i="16"/>
  <c r="J234" i="16"/>
  <c r="J182" i="16"/>
  <c r="J176" i="16"/>
  <c r="J166" i="16"/>
  <c r="J156" i="16"/>
  <c r="J140" i="16"/>
  <c r="J114" i="16"/>
  <c r="J98" i="16"/>
  <c r="J88" i="16"/>
  <c r="J78" i="16"/>
  <c r="J68" i="16"/>
  <c r="J43" i="16"/>
  <c r="J28" i="16"/>
  <c r="J12" i="16"/>
  <c r="J245" i="16"/>
  <c r="J228" i="16"/>
  <c r="J202" i="16"/>
  <c r="J192" i="16"/>
  <c r="J147" i="16"/>
  <c r="J130" i="16"/>
  <c r="J120" i="16"/>
  <c r="J104" i="16"/>
  <c r="J94" i="16"/>
  <c r="J74" i="16"/>
  <c r="J63" i="16"/>
  <c r="J53" i="16"/>
  <c r="J24" i="16"/>
  <c r="J19" i="16"/>
  <c r="J14" i="16"/>
  <c r="J251" i="16"/>
  <c r="J235" i="16"/>
  <c r="J219" i="16"/>
  <c r="J209" i="16"/>
  <c r="J178" i="16"/>
  <c r="J173" i="16"/>
  <c r="J167" i="16"/>
  <c r="J157" i="16"/>
  <c r="J141" i="16"/>
  <c r="J126" i="16"/>
  <c r="J115" i="16"/>
  <c r="J100" i="16"/>
  <c r="J4" i="16"/>
  <c r="J252" i="16"/>
  <c r="J231" i="16"/>
  <c r="J204" i="16"/>
  <c r="J65" i="16"/>
  <c r="J40" i="16"/>
  <c r="J35" i="16"/>
  <c r="J20" i="16"/>
  <c r="J16" i="16"/>
  <c r="J6" i="16"/>
  <c r="J33" i="10"/>
  <c r="K33" i="10" s="1"/>
  <c r="K21" i="10"/>
  <c r="K12" i="10"/>
  <c r="K4" i="10"/>
  <c r="K20" i="10"/>
  <c r="K11" i="10"/>
  <c r="K3" i="10"/>
  <c r="K13" i="10"/>
  <c r="K75" i="10"/>
  <c r="K23" i="10"/>
  <c r="K15" i="10"/>
  <c r="K6" i="10"/>
  <c r="K268" i="10"/>
  <c r="K259" i="10"/>
  <c r="K251" i="10"/>
  <c r="K242" i="10"/>
  <c r="K233" i="10"/>
  <c r="K225" i="10"/>
  <c r="K216" i="10"/>
  <c r="K207" i="10"/>
  <c r="K199" i="10"/>
  <c r="K190" i="10"/>
  <c r="K181" i="10"/>
  <c r="K173" i="10"/>
  <c r="K164" i="10"/>
  <c r="K155" i="10"/>
  <c r="K147" i="10"/>
  <c r="K138" i="10"/>
  <c r="K129" i="10"/>
  <c r="K121" i="10"/>
  <c r="K112" i="10"/>
  <c r="K103" i="10"/>
  <c r="K95" i="10"/>
  <c r="K86" i="10"/>
  <c r="K77" i="10"/>
  <c r="K69" i="10"/>
  <c r="K60" i="10"/>
  <c r="K51" i="10"/>
  <c r="K43" i="10"/>
  <c r="K34" i="10"/>
  <c r="K8" i="10"/>
  <c r="K266" i="10"/>
  <c r="K257" i="10"/>
  <c r="K249" i="10"/>
  <c r="K240" i="10"/>
  <c r="K231" i="10"/>
  <c r="K223" i="10"/>
  <c r="K205" i="10"/>
  <c r="K197" i="10"/>
  <c r="K188" i="10"/>
  <c r="K179" i="10"/>
  <c r="K171" i="10"/>
  <c r="K162" i="10"/>
  <c r="K153" i="10"/>
  <c r="K136" i="10"/>
  <c r="K127" i="10"/>
  <c r="K119" i="10"/>
  <c r="K110" i="10"/>
  <c r="K101" i="10"/>
  <c r="K93" i="10"/>
  <c r="K84" i="10"/>
  <c r="K67" i="10"/>
  <c r="K58" i="10"/>
  <c r="K49" i="10"/>
  <c r="K41" i="10"/>
  <c r="K32" i="10"/>
  <c r="K270" i="10"/>
  <c r="K262" i="10"/>
  <c r="K253" i="10"/>
  <c r="K244" i="10"/>
  <c r="K236" i="10"/>
  <c r="K227" i="10"/>
  <c r="K218" i="10"/>
  <c r="K210" i="10"/>
  <c r="K201" i="10"/>
  <c r="K192" i="10"/>
  <c r="K184" i="10"/>
  <c r="K175" i="10"/>
  <c r="K166" i="10"/>
  <c r="K158" i="10"/>
  <c r="K149" i="10"/>
  <c r="K140" i="10"/>
  <c r="K132" i="10"/>
  <c r="K123" i="10"/>
  <c r="K114" i="10"/>
  <c r="K106" i="10"/>
  <c r="K97" i="10"/>
  <c r="K88" i="10"/>
  <c r="K80" i="10"/>
  <c r="K71" i="10"/>
  <c r="K62" i="10"/>
  <c r="K54" i="10"/>
  <c r="K45" i="10"/>
  <c r="K36" i="10"/>
  <c r="K28" i="10"/>
  <c r="K269" i="10"/>
  <c r="K260" i="10"/>
  <c r="K252" i="10"/>
  <c r="K243" i="10"/>
  <c r="K234" i="10"/>
  <c r="K226" i="10"/>
  <c r="K217" i="10"/>
  <c r="K208" i="10"/>
  <c r="K200" i="10"/>
  <c r="K191" i="10"/>
  <c r="K182" i="10"/>
  <c r="K174" i="10"/>
  <c r="K165" i="10"/>
  <c r="K156" i="10"/>
  <c r="K148" i="10"/>
  <c r="K139" i="10"/>
  <c r="K130" i="10"/>
  <c r="K122" i="10"/>
  <c r="K113" i="10"/>
  <c r="K104" i="10"/>
  <c r="K96" i="10"/>
  <c r="K87" i="10"/>
  <c r="K78" i="10"/>
  <c r="K70" i="10"/>
  <c r="K61" i="10"/>
  <c r="K52" i="10"/>
  <c r="K44" i="10"/>
  <c r="K35" i="10"/>
  <c r="K9" i="10"/>
  <c r="K267" i="10"/>
  <c r="K258" i="10"/>
  <c r="K250" i="10"/>
  <c r="K241" i="10"/>
  <c r="K232" i="10"/>
  <c r="K224" i="10"/>
  <c r="K215" i="10"/>
  <c r="K206" i="10"/>
  <c r="K198" i="10"/>
  <c r="K189" i="10"/>
  <c r="K180" i="10"/>
  <c r="K172" i="10"/>
  <c r="K163" i="10"/>
  <c r="K154" i="10"/>
  <c r="K146" i="10"/>
  <c r="K137" i="10"/>
  <c r="K128" i="10"/>
  <c r="K120" i="10"/>
  <c r="K111" i="10"/>
  <c r="K102" i="10"/>
  <c r="K94" i="10"/>
  <c r="K85" i="10"/>
  <c r="K76" i="10"/>
  <c r="K68" i="10"/>
  <c r="K59" i="10"/>
  <c r="K50" i="10"/>
  <c r="K42" i="10"/>
  <c r="K24" i="10"/>
  <c r="K25" i="10"/>
  <c r="K17" i="10"/>
  <c r="K273" i="10"/>
  <c r="K265" i="10"/>
  <c r="K256" i="10"/>
  <c r="K247" i="10"/>
  <c r="K239" i="10"/>
  <c r="K230" i="10"/>
  <c r="K221" i="10"/>
  <c r="K213" i="10"/>
  <c r="K204" i="10"/>
  <c r="K195" i="10"/>
  <c r="K187" i="10"/>
  <c r="K178" i="10"/>
  <c r="K169" i="10"/>
  <c r="K161" i="10"/>
  <c r="K152" i="10"/>
  <c r="K143" i="10"/>
  <c r="K135" i="10"/>
  <c r="K126" i="10"/>
  <c r="K117" i="10"/>
  <c r="K109" i="10"/>
  <c r="K100" i="10"/>
  <c r="K91" i="10"/>
  <c r="K83" i="10"/>
  <c r="K74" i="10"/>
  <c r="K65" i="10"/>
  <c r="K57" i="10"/>
  <c r="K48" i="10"/>
  <c r="K39" i="10"/>
  <c r="K31" i="10"/>
  <c r="K22" i="10"/>
  <c r="K5" i="10"/>
  <c r="K2" i="10"/>
  <c r="K272" i="10"/>
  <c r="K264" i="10"/>
  <c r="K255" i="10"/>
  <c r="K246" i="10"/>
  <c r="K238" i="10"/>
  <c r="K229" i="10"/>
  <c r="K220" i="10"/>
  <c r="K212" i="10"/>
  <c r="K203" i="10"/>
  <c r="K194" i="10"/>
  <c r="K186" i="10"/>
  <c r="K177" i="10"/>
  <c r="K168" i="10"/>
  <c r="K160" i="10"/>
  <c r="K151" i="10"/>
  <c r="K142" i="10"/>
  <c r="K134" i="10"/>
  <c r="K125" i="10"/>
  <c r="K116" i="10"/>
  <c r="K108" i="10"/>
  <c r="K99" i="10"/>
  <c r="K90" i="10"/>
  <c r="K82" i="10"/>
  <c r="K73" i="10"/>
  <c r="K64" i="10"/>
  <c r="K56" i="10"/>
  <c r="K47" i="10"/>
  <c r="K38" i="10"/>
  <c r="K30" i="10"/>
  <c r="K271" i="10"/>
  <c r="K263" i="10"/>
  <c r="K254" i="10"/>
  <c r="K245" i="10"/>
  <c r="K237" i="10"/>
  <c r="K228" i="10"/>
  <c r="K219" i="10"/>
  <c r="K211" i="10"/>
  <c r="K202" i="10"/>
  <c r="K193" i="10"/>
  <c r="K185" i="10"/>
  <c r="K176" i="10"/>
  <c r="K167" i="10"/>
  <c r="K159" i="10"/>
  <c r="K150" i="10"/>
  <c r="K141" i="10"/>
  <c r="K133" i="10"/>
  <c r="K124" i="10"/>
  <c r="K115" i="10"/>
  <c r="K107" i="10"/>
  <c r="K98" i="10"/>
  <c r="K89" i="10"/>
  <c r="K81" i="10"/>
  <c r="K72" i="10"/>
  <c r="K63" i="10"/>
  <c r="K55" i="10"/>
  <c r="K46" i="10"/>
  <c r="K37" i="10"/>
  <c r="K29" i="10"/>
  <c r="K10" i="10"/>
  <c r="K26" i="10"/>
  <c r="K18" i="10"/>
  <c r="AF274" i="4"/>
  <c r="AF273" i="4"/>
  <c r="AF272" i="4"/>
  <c r="AF271" i="4"/>
  <c r="AF270" i="4"/>
  <c r="AF269" i="4"/>
  <c r="AF268" i="4"/>
  <c r="AF267" i="4"/>
  <c r="AF266" i="4"/>
  <c r="AF265" i="4"/>
  <c r="AF264" i="4"/>
  <c r="AF263" i="4"/>
  <c r="AF262" i="4"/>
  <c r="AF261" i="4"/>
  <c r="AF260" i="4"/>
  <c r="AF259" i="4"/>
  <c r="AF258" i="4"/>
  <c r="AF257" i="4"/>
  <c r="AF256" i="4"/>
  <c r="AF255" i="4"/>
  <c r="AF254" i="4"/>
  <c r="AF253" i="4"/>
  <c r="AF252" i="4"/>
  <c r="AF251" i="4"/>
  <c r="AF250" i="4"/>
  <c r="AF249" i="4"/>
  <c r="AF248" i="4"/>
  <c r="AF247" i="4"/>
  <c r="AF246" i="4"/>
  <c r="AF245" i="4"/>
  <c r="AF244" i="4"/>
  <c r="AF243" i="4"/>
  <c r="AF242" i="4"/>
  <c r="AF241" i="4"/>
  <c r="AF240" i="4"/>
  <c r="AF239" i="4"/>
  <c r="AF238" i="4"/>
  <c r="AF237" i="4"/>
  <c r="AF236" i="4"/>
  <c r="AF235" i="4"/>
  <c r="AF234" i="4"/>
  <c r="AF233" i="4"/>
  <c r="AF232" i="4"/>
  <c r="AF231" i="4"/>
  <c r="AF230" i="4"/>
  <c r="AF229" i="4"/>
  <c r="AF228" i="4"/>
  <c r="AF227" i="4"/>
  <c r="AF226" i="4"/>
  <c r="AF225" i="4"/>
  <c r="AF224" i="4"/>
  <c r="AF223" i="4"/>
  <c r="AF222" i="4"/>
  <c r="AF221" i="4"/>
  <c r="AF220" i="4"/>
  <c r="AF219" i="4"/>
  <c r="AF218" i="4"/>
  <c r="AF217" i="4"/>
  <c r="AF216" i="4"/>
  <c r="AF215" i="4"/>
  <c r="AF214" i="4"/>
  <c r="AF213" i="4"/>
  <c r="AF212" i="4"/>
  <c r="AF211" i="4"/>
  <c r="AF210" i="4"/>
  <c r="AF209" i="4"/>
  <c r="AF208" i="4"/>
  <c r="AF207" i="4"/>
  <c r="AF206" i="4"/>
  <c r="AF205" i="4"/>
  <c r="AF204" i="4"/>
  <c r="AF203" i="4"/>
  <c r="AF202" i="4"/>
  <c r="AF201" i="4"/>
  <c r="AF200" i="4"/>
  <c r="AF199" i="4"/>
  <c r="AF198" i="4"/>
  <c r="AF197" i="4"/>
  <c r="AF196" i="4"/>
  <c r="AF195" i="4"/>
  <c r="AF194" i="4"/>
  <c r="AF193" i="4"/>
  <c r="AF192" i="4"/>
  <c r="AF191" i="4"/>
  <c r="AF190" i="4"/>
  <c r="AF189" i="4"/>
  <c r="AF188" i="4"/>
  <c r="AF187" i="4"/>
  <c r="AF186" i="4"/>
  <c r="AF185" i="4"/>
  <c r="AF184" i="4"/>
  <c r="AF183" i="4"/>
  <c r="AF182" i="4"/>
  <c r="AF181" i="4"/>
  <c r="AF180" i="4"/>
  <c r="AF179" i="4"/>
  <c r="AF178" i="4"/>
  <c r="AF177" i="4"/>
  <c r="AF176" i="4"/>
  <c r="AF175" i="4"/>
  <c r="AF174" i="4"/>
  <c r="AF173" i="4"/>
  <c r="AF172" i="4"/>
  <c r="AF171" i="4"/>
  <c r="AF170" i="4"/>
  <c r="AF169" i="4"/>
  <c r="AF168" i="4"/>
  <c r="AF167" i="4"/>
  <c r="AF166" i="4"/>
  <c r="AF165" i="4"/>
  <c r="AF164" i="4"/>
  <c r="AF163" i="4"/>
  <c r="AF162" i="4"/>
  <c r="AF161" i="4"/>
  <c r="AF160" i="4"/>
  <c r="AF159" i="4"/>
  <c r="AF158" i="4"/>
  <c r="AF157" i="4"/>
  <c r="AF156" i="4"/>
  <c r="AF155" i="4"/>
  <c r="AF154" i="4"/>
  <c r="AF153" i="4"/>
  <c r="AF152" i="4"/>
  <c r="AF151" i="4"/>
  <c r="AF150" i="4"/>
  <c r="AF149" i="4"/>
  <c r="AF148" i="4"/>
  <c r="AF147" i="4"/>
  <c r="AF146" i="4"/>
  <c r="AF145" i="4"/>
  <c r="AF144" i="4"/>
  <c r="AF143" i="4"/>
  <c r="AF142" i="4"/>
  <c r="AF141" i="4"/>
  <c r="AF140" i="4"/>
  <c r="AF139" i="4"/>
  <c r="AF138" i="4"/>
  <c r="AF137" i="4"/>
  <c r="AF136" i="4"/>
  <c r="AF135" i="4"/>
  <c r="AF134" i="4"/>
  <c r="AF133" i="4"/>
  <c r="AF132" i="4"/>
  <c r="AF131" i="4"/>
  <c r="AF130" i="4"/>
  <c r="AF129" i="4"/>
  <c r="AF128" i="4"/>
  <c r="AF127" i="4"/>
  <c r="AF126" i="4"/>
  <c r="AF125" i="4"/>
  <c r="AF124" i="4"/>
  <c r="AF123" i="4"/>
  <c r="AF122" i="4"/>
  <c r="AF121" i="4"/>
  <c r="AF120" i="4"/>
  <c r="AF119" i="4"/>
  <c r="AF118" i="4"/>
  <c r="AF117" i="4"/>
  <c r="AF116" i="4"/>
  <c r="AF115" i="4"/>
  <c r="AF114" i="4"/>
  <c r="AF113" i="4"/>
  <c r="AF112" i="4"/>
  <c r="AF111" i="4"/>
  <c r="AF110" i="4"/>
  <c r="AF109" i="4"/>
  <c r="AF108" i="4"/>
  <c r="AF107" i="4"/>
  <c r="AF106" i="4"/>
  <c r="AF105" i="4"/>
  <c r="AF104" i="4"/>
  <c r="AF103" i="4"/>
  <c r="AF102" i="4"/>
  <c r="AF101" i="4"/>
  <c r="AF100" i="4"/>
  <c r="AF99" i="4"/>
  <c r="AF98" i="4"/>
  <c r="AF97" i="4"/>
  <c r="AF96" i="4"/>
  <c r="AF95" i="4"/>
  <c r="AF94" i="4"/>
  <c r="AF93" i="4"/>
  <c r="AF92" i="4"/>
  <c r="AF91" i="4"/>
  <c r="AF90" i="4"/>
  <c r="AF89" i="4"/>
  <c r="AF88" i="4"/>
  <c r="AF87" i="4"/>
  <c r="AF86" i="4"/>
  <c r="AF85" i="4"/>
  <c r="AF84" i="4"/>
  <c r="AF83" i="4"/>
  <c r="AF82" i="4"/>
  <c r="AF81" i="4"/>
  <c r="AF80" i="4"/>
  <c r="AF79" i="4"/>
  <c r="AF78" i="4"/>
  <c r="AF77" i="4"/>
  <c r="AF76" i="4"/>
  <c r="AF75" i="4"/>
  <c r="AF74" i="4"/>
  <c r="AF73" i="4"/>
  <c r="AF72" i="4"/>
  <c r="AF71" i="4"/>
  <c r="AF70" i="4"/>
  <c r="AF69" i="4"/>
  <c r="AF68" i="4"/>
  <c r="AF67" i="4"/>
  <c r="AF66" i="4"/>
  <c r="AF65" i="4"/>
  <c r="AF64" i="4"/>
  <c r="AF63" i="4"/>
  <c r="AF62" i="4"/>
  <c r="AF61" i="4"/>
  <c r="AF60" i="4"/>
  <c r="AF59" i="4"/>
  <c r="AF58" i="4"/>
  <c r="AF57" i="4"/>
  <c r="AF56" i="4"/>
  <c r="AF55" i="4"/>
  <c r="AF54" i="4"/>
  <c r="AF53" i="4"/>
  <c r="AF52" i="4"/>
  <c r="AF51" i="4"/>
  <c r="AF50" i="4"/>
  <c r="AF49" i="4"/>
  <c r="AF48" i="4"/>
  <c r="AF47" i="4"/>
  <c r="AF46" i="4"/>
  <c r="AF45" i="4"/>
  <c r="AF44" i="4"/>
  <c r="AF43" i="4"/>
  <c r="AF42" i="4"/>
  <c r="AF41" i="4"/>
  <c r="AF40" i="4"/>
  <c r="AF39" i="4"/>
  <c r="AF38" i="4"/>
  <c r="AF37" i="4"/>
  <c r="AF36" i="4"/>
  <c r="AF35" i="4"/>
  <c r="AF34" i="4"/>
  <c r="AF33" i="4"/>
  <c r="AF32" i="4"/>
  <c r="AF31" i="4"/>
  <c r="AF30" i="4"/>
  <c r="AF29" i="4"/>
  <c r="AF28" i="4"/>
  <c r="AF27" i="4"/>
  <c r="AF26" i="4"/>
  <c r="AF25" i="4"/>
  <c r="AF24" i="4"/>
  <c r="AF23" i="4"/>
  <c r="AF22" i="4"/>
  <c r="AF21" i="4"/>
  <c r="AF20" i="4"/>
  <c r="AF19" i="4"/>
  <c r="AF18" i="4"/>
  <c r="AF17" i="4"/>
  <c r="AF16" i="4"/>
  <c r="AF15" i="4"/>
  <c r="AF14" i="4"/>
  <c r="AF13" i="4"/>
  <c r="AF12" i="4"/>
  <c r="AF11" i="4"/>
  <c r="AF10" i="4"/>
  <c r="AF9" i="4"/>
  <c r="AF8" i="4"/>
  <c r="AF7" i="4"/>
  <c r="AF6" i="4"/>
  <c r="AF5" i="4"/>
  <c r="AF4" i="4"/>
  <c r="AF3" i="4"/>
  <c r="T151" i="2" l="1"/>
  <c r="C152" i="2"/>
  <c r="C161" i="2" s="1"/>
  <c r="C153" i="2"/>
  <c r="C154" i="2"/>
  <c r="T154" i="2" s="1"/>
  <c r="C155" i="2"/>
  <c r="T155" i="2" s="1"/>
  <c r="C156" i="2"/>
  <c r="T157" i="2"/>
  <c r="T158" i="2"/>
  <c r="T159" i="2"/>
  <c r="T150" i="2"/>
  <c r="U161" i="2"/>
  <c r="T153" i="2"/>
  <c r="T156" i="2"/>
  <c r="T152" i="2" l="1"/>
  <c r="T161" i="2" s="1"/>
</calcChain>
</file>

<file path=xl/sharedStrings.xml><?xml version="1.0" encoding="utf-8"?>
<sst xmlns="http://schemas.openxmlformats.org/spreadsheetml/2006/main" count="317" uniqueCount="189">
  <si>
    <t>Aerodynamic Design Parameters of E3</t>
  </si>
  <si>
    <t>Parameters</t>
  </si>
  <si>
    <t>Value</t>
  </si>
  <si>
    <t>Corrected Tip Speed m/s (ft/s)</t>
  </si>
  <si>
    <t>456 (1495)</t>
  </si>
  <si>
    <t>Inlet Radius Ratio</t>
  </si>
  <si>
    <t>Flow/Annulus Area kg/ s m2 (lbm/ s ft2)</t>
  </si>
  <si>
    <t>185.5 (38)</t>
  </si>
  <si>
    <t>Rotor 10 Exit Hub Speed m/s (ft/s)</t>
  </si>
  <si>
    <t>352.7 (1157)</t>
  </si>
  <si>
    <t>Rotor 10 Exit Radius Ratio m/s (ft/s)</t>
  </si>
  <si>
    <t>Outlet Guide Vane Exit Mach Number</t>
  </si>
  <si>
    <t>Number of Rotors and Stators</t>
  </si>
  <si>
    <t>Average Aspect Ratio</t>
  </si>
  <si>
    <t>Average Pitch Solidity</t>
  </si>
  <si>
    <t>Adiabatic Efiiciencies</t>
  </si>
  <si>
    <t>Stall Margin Potential, %</t>
  </si>
  <si>
    <t>Core Compressor Aerodynamic Operating Requirements</t>
  </si>
  <si>
    <t>Parameter</t>
  </si>
  <si>
    <t>Max Climb</t>
  </si>
  <si>
    <t>Max Cruise</t>
  </si>
  <si>
    <t>Corrected Speed, % Design</t>
  </si>
  <si>
    <t>Corrected Airflow kg/s (lbm/s)</t>
  </si>
  <si>
    <t>54.4 (120)</t>
  </si>
  <si>
    <t>53.5 (118)</t>
  </si>
  <si>
    <t>Total Pressure Ratio</t>
  </si>
  <si>
    <t>Adiabatic Efficiency</t>
  </si>
  <si>
    <t>Polytropic Efiiciency</t>
  </si>
  <si>
    <t>Inlet Temperature K (R)</t>
  </si>
  <si>
    <t>304.4 (547.9)</t>
  </si>
  <si>
    <t>301.4 (542.5)</t>
  </si>
  <si>
    <t>Inlet Pressure N/m2 (lb/in2)</t>
  </si>
  <si>
    <t>59641.8 (8.65)</t>
  </si>
  <si>
    <t>58055.9 (8.42)</t>
  </si>
  <si>
    <t>Stagewise distribution of rotor and stator aspect ratios</t>
  </si>
  <si>
    <t>Stage</t>
  </si>
  <si>
    <t>Stator</t>
  </si>
  <si>
    <t>Rotor</t>
  </si>
  <si>
    <t>Stagewise distribution of rotor and stator pitch line solidity</t>
  </si>
  <si>
    <t>Distribution of pitch-line meridional Mach number</t>
  </si>
  <si>
    <t>OGV</t>
  </si>
  <si>
    <t>Stagewise distribution of stator exit swirl angle</t>
  </si>
  <si>
    <t>Hub</t>
  </si>
  <si>
    <t>Pitch</t>
  </si>
  <si>
    <t>Tip</t>
  </si>
  <si>
    <t>IGV</t>
  </si>
  <si>
    <t>Stagewise distribution of average temperature rise</t>
  </si>
  <si>
    <t>Rotor and stator pitch-line loss coefficient</t>
  </si>
  <si>
    <t>Stagewise distribution of rotor and stator pitchline diffusion factor</t>
  </si>
  <si>
    <t>Stagewise distribution of rotor tip and stator hub inlet Mach numbers</t>
  </si>
  <si>
    <t>Max Rotor</t>
  </si>
  <si>
    <t>Data from the Paper:</t>
  </si>
  <si>
    <t>Stage rotor inlet angle (deg)</t>
  </si>
  <si>
    <t>Stage rotor inlet Mach number</t>
  </si>
  <si>
    <t>Total temperature rise (K)</t>
  </si>
  <si>
    <t>Rotor loss coefficient</t>
  </si>
  <si>
    <t>Stator loss coefficient</t>
  </si>
  <si>
    <t>Rotor Solidity</t>
  </si>
  <si>
    <t>Stator Solidity</t>
  </si>
  <si>
    <t>Atage exit blockage</t>
  </si>
  <si>
    <t>Stage bleed (%)</t>
  </si>
  <si>
    <t>Rotor aspect ratio</t>
  </si>
  <si>
    <t>Stator aspect ratio</t>
  </si>
  <si>
    <t>Rotor axial velocity ratio</t>
  </si>
  <si>
    <t>Rotor row space coefficient</t>
  </si>
  <si>
    <t>Stator row space coefficient</t>
  </si>
  <si>
    <t>Stage tip radius (m)</t>
  </si>
  <si>
    <t>Stagewise Mass Averaged Pressure Ratio</t>
  </si>
  <si>
    <t>PR</t>
  </si>
  <si>
    <t>Passport</t>
  </si>
  <si>
    <t>Mdot</t>
  </si>
  <si>
    <t>,(205)</t>
  </si>
  <si>
    <t>Stage Information</t>
  </si>
  <si>
    <t>Number of Vanes / Blades</t>
  </si>
  <si>
    <t>Rotor 1</t>
  </si>
  <si>
    <t>Stator 1</t>
  </si>
  <si>
    <t>Rotor 2</t>
  </si>
  <si>
    <t>Stator 2</t>
  </si>
  <si>
    <t>Rotor 3</t>
  </si>
  <si>
    <t>Stator 3</t>
  </si>
  <si>
    <t>Rotor 4</t>
  </si>
  <si>
    <t>Stator 4</t>
  </si>
  <si>
    <t>Rotor 5</t>
  </si>
  <si>
    <t>Stator 5</t>
  </si>
  <si>
    <t>Rotor 6</t>
  </si>
  <si>
    <t>Stator 6</t>
  </si>
  <si>
    <t>Rotor 7</t>
  </si>
  <si>
    <t>Stator 7</t>
  </si>
  <si>
    <t>Rotor 8</t>
  </si>
  <si>
    <t>Stator 8</t>
  </si>
  <si>
    <t>Rotor 9</t>
  </si>
  <si>
    <t>Stator 9</t>
  </si>
  <si>
    <t>Rotor 10</t>
  </si>
  <si>
    <t>Stator 10</t>
  </si>
  <si>
    <t>inlet</t>
  </si>
  <si>
    <t>SL</t>
  </si>
  <si>
    <t>Radius</t>
  </si>
  <si>
    <t>Z</t>
  </si>
  <si>
    <t>PT</t>
  </si>
  <si>
    <t>TT</t>
  </si>
  <si>
    <t>M_abs</t>
  </si>
  <si>
    <t>M_rel</t>
  </si>
  <si>
    <t>C_Z</t>
  </si>
  <si>
    <t>Beta</t>
  </si>
  <si>
    <t>Phi</t>
  </si>
  <si>
    <t>exit</t>
  </si>
  <si>
    <t>Blade</t>
  </si>
  <si>
    <t>solidity</t>
  </si>
  <si>
    <t>D</t>
  </si>
  <si>
    <t>Loss</t>
  </si>
  <si>
    <t>incidence</t>
  </si>
  <si>
    <t>deviation</t>
  </si>
  <si>
    <t>Cz2/Cz1</t>
  </si>
  <si>
    <t>E3 Rotor 1</t>
  </si>
  <si>
    <t>E3 Stator1</t>
  </si>
  <si>
    <t>E2 rotor2</t>
  </si>
  <si>
    <t>E3 stator2</t>
  </si>
  <si>
    <t>E3 rotor3</t>
  </si>
  <si>
    <t>E3 stator3</t>
  </si>
  <si>
    <t>E3 rotor4</t>
  </si>
  <si>
    <t>E3 stator4</t>
  </si>
  <si>
    <t>E3 rotor5</t>
  </si>
  <si>
    <t>E3 stator 5</t>
  </si>
  <si>
    <t xml:space="preserve"> </t>
  </si>
  <si>
    <t>E3 rotor 6</t>
  </si>
  <si>
    <t>E3 stator 6</t>
  </si>
  <si>
    <t>E3 rotor 7</t>
  </si>
  <si>
    <t>E3 stator 7</t>
  </si>
  <si>
    <t>E3 rotor 8</t>
  </si>
  <si>
    <t>E3 stator 8</t>
  </si>
  <si>
    <t>E3 rotor 9</t>
  </si>
  <si>
    <t>E3 stator 9</t>
  </si>
  <si>
    <t>E3 rotor 10</t>
  </si>
  <si>
    <t>E3 stator 10</t>
  </si>
  <si>
    <t>Passage Height</t>
  </si>
  <si>
    <t>Inlet Span</t>
  </si>
  <si>
    <t>PT Exit</t>
  </si>
  <si>
    <t>TR</t>
  </si>
  <si>
    <t>TT Exit</t>
  </si>
  <si>
    <t>MN Exit</t>
  </si>
  <si>
    <t>R_m</t>
  </si>
  <si>
    <t>Span</t>
  </si>
  <si>
    <t>Ex Hegiht</t>
  </si>
  <si>
    <t>Ex Span</t>
  </si>
  <si>
    <t>MN</t>
  </si>
  <si>
    <t>Inlet R_m</t>
  </si>
  <si>
    <t>Inlet Pt</t>
  </si>
  <si>
    <t>Inlet Tt</t>
  </si>
  <si>
    <t>Inlet Ma</t>
  </si>
  <si>
    <t>No Blades</t>
  </si>
  <si>
    <t>TT Inlet</t>
  </si>
  <si>
    <t>R_Ex</t>
  </si>
  <si>
    <t>span</t>
  </si>
  <si>
    <t>alpha</t>
  </si>
  <si>
    <t>Pt</t>
  </si>
  <si>
    <t>Tt</t>
  </si>
  <si>
    <t>Ts Exit / Ts Inlet</t>
  </si>
  <si>
    <t>Ma Inlet</t>
  </si>
  <si>
    <t>Ma Exit</t>
  </si>
  <si>
    <t>Ps Exit / Ps Inlet</t>
  </si>
  <si>
    <t>ds</t>
  </si>
  <si>
    <t>OTAC TT</t>
  </si>
  <si>
    <t>W</t>
  </si>
  <si>
    <t>Ps</t>
  </si>
  <si>
    <t>Ts</t>
  </si>
  <si>
    <t>ht</t>
  </si>
  <si>
    <t>hs</t>
  </si>
  <si>
    <t>rhos</t>
  </si>
  <si>
    <t>Rs</t>
  </si>
  <si>
    <t>Cps</t>
  </si>
  <si>
    <t>FAR</t>
  </si>
  <si>
    <t>area</t>
  </si>
  <si>
    <t>S</t>
  </si>
  <si>
    <t>phi</t>
  </si>
  <si>
    <t>Vflow</t>
  </si>
  <si>
    <t>Vm</t>
  </si>
  <si>
    <t>Vz</t>
  </si>
  <si>
    <t>Vr</t>
  </si>
  <si>
    <t>Vtheta</t>
  </si>
  <si>
    <t>R_inner</t>
  </si>
  <si>
    <t>R</t>
  </si>
  <si>
    <t>R_outer</t>
  </si>
  <si>
    <t>Total Pressure Plots</t>
  </si>
  <si>
    <t>Entropy Rise</t>
  </si>
  <si>
    <t>PR_t</t>
  </si>
  <si>
    <t>Mach Number</t>
  </si>
  <si>
    <t>Apha</t>
  </si>
  <si>
    <t>90-Beta</t>
  </si>
  <si>
    <t>What is this? Pt loss?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</si>
</sst>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0.000"/>
    <numFmt numFmtId="165" formatCode="0.0000"/>
    <numFmt numFmtId="166" formatCode="0.0"/>
    <numFmt numFmtId="167" formatCode="0.###"/>
    <numFmt numFmtId="168" formatCode="&quot;22&quot;.###"/>
    <numFmt numFmtId="169" formatCode="0.####"/>
    <numFmt numFmtId="170" formatCode="0.0000_);[Red]\(0.0000\)"/>
    <numFmt numFmtId="171" formatCode="0.00_ "/>
    <numFmt numFmtId="172" formatCode="0.0000_ "/>
    <numFmt numFmtId="173" formatCode="0.0_ "/>
    <numFmt numFmtId="174" formatCode="0.000_ 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rgb="FF00B0F0"/>
      <name val="Times New Roman"/>
      <family val="1"/>
    </font>
    <font>
      <sz val="12"/>
      <color rgb="FFFF0000"/>
      <name val="Times New Roman"/>
      <family val="1"/>
    </font>
    <font>
      <sz val="20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0" xfId="0" applyFont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2" fillId="0" borderId="6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1" fillId="0" borderId="12" xfId="0" applyFont="1" applyBorder="1" applyAlignment="1">
      <alignment wrapText="1"/>
    </xf>
    <xf numFmtId="0" fontId="1" fillId="0" borderId="13" xfId="0" applyFont="1" applyBorder="1" applyAlignment="1">
      <alignment wrapText="1"/>
    </xf>
    <xf numFmtId="2" fontId="3" fillId="0" borderId="0" xfId="0" applyNumberFormat="1" applyFont="1"/>
    <xf numFmtId="0" fontId="3" fillId="2" borderId="2" xfId="0" applyFont="1" applyFill="1" applyBorder="1" applyAlignment="1">
      <alignment horizontal="center" wrapText="1"/>
    </xf>
    <xf numFmtId="164" fontId="3" fillId="2" borderId="3" xfId="0" applyNumberFormat="1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2" fillId="2" borderId="8" xfId="0" applyFont="1" applyFill="1" applyBorder="1" applyAlignment="1">
      <alignment horizontal="center" wrapText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4" fontId="5" fillId="4" borderId="0" xfId="0" applyNumberFormat="1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167" fontId="5" fillId="4" borderId="0" xfId="0" applyNumberFormat="1" applyFont="1" applyFill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164" fontId="5" fillId="4" borderId="18" xfId="0" applyNumberFormat="1" applyFont="1" applyFill="1" applyBorder="1" applyAlignment="1">
      <alignment horizontal="center" vertical="center"/>
    </xf>
    <xf numFmtId="165" fontId="5" fillId="4" borderId="18" xfId="0" applyNumberFormat="1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166" fontId="5" fillId="4" borderId="18" xfId="0" applyNumberFormat="1" applyFont="1" applyFill="1" applyBorder="1" applyAlignment="1">
      <alignment horizontal="center" vertical="center"/>
    </xf>
    <xf numFmtId="2" fontId="5" fillId="4" borderId="18" xfId="0" applyNumberFormat="1" applyFont="1" applyFill="1" applyBorder="1" applyAlignment="1">
      <alignment horizontal="center" vertical="center"/>
    </xf>
    <xf numFmtId="164" fontId="5" fillId="0" borderId="18" xfId="0" applyNumberFormat="1" applyFont="1" applyBorder="1" applyAlignment="1">
      <alignment horizontal="center" vertical="center"/>
    </xf>
    <xf numFmtId="165" fontId="5" fillId="0" borderId="18" xfId="0" applyNumberFormat="1" applyFont="1" applyBorder="1" applyAlignment="1">
      <alignment horizontal="center" vertical="center"/>
    </xf>
    <xf numFmtId="166" fontId="5" fillId="0" borderId="18" xfId="0" applyNumberFormat="1" applyFont="1" applyBorder="1" applyAlignment="1">
      <alignment horizontal="center" vertical="center"/>
    </xf>
    <xf numFmtId="2" fontId="5" fillId="0" borderId="18" xfId="0" applyNumberFormat="1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167" fontId="5" fillId="0" borderId="18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164" fontId="3" fillId="4" borderId="18" xfId="0" applyNumberFormat="1" applyFont="1" applyFill="1" applyBorder="1" applyAlignment="1">
      <alignment horizontal="center" vertical="center"/>
    </xf>
    <xf numFmtId="164" fontId="3" fillId="0" borderId="18" xfId="0" applyNumberFormat="1" applyFont="1" applyBorder="1" applyAlignment="1">
      <alignment horizontal="center" vertical="center"/>
    </xf>
    <xf numFmtId="166" fontId="3" fillId="4" borderId="18" xfId="0" applyNumberFormat="1" applyFont="1" applyFill="1" applyBorder="1" applyAlignment="1">
      <alignment horizontal="center" vertical="center"/>
    </xf>
    <xf numFmtId="166" fontId="3" fillId="0" borderId="18" xfId="0" applyNumberFormat="1" applyFont="1" applyBorder="1" applyAlignment="1">
      <alignment horizontal="center" vertical="center"/>
    </xf>
    <xf numFmtId="165" fontId="3" fillId="4" borderId="18" xfId="0" applyNumberFormat="1" applyFont="1" applyFill="1" applyBorder="1" applyAlignment="1">
      <alignment horizontal="center" vertical="center"/>
    </xf>
    <xf numFmtId="2" fontId="3" fillId="4" borderId="18" xfId="0" applyNumberFormat="1" applyFont="1" applyFill="1" applyBorder="1" applyAlignment="1">
      <alignment horizontal="center" vertical="center"/>
    </xf>
    <xf numFmtId="165" fontId="3" fillId="0" borderId="18" xfId="0" applyNumberFormat="1" applyFont="1" applyBorder="1" applyAlignment="1">
      <alignment horizontal="center" vertical="center"/>
    </xf>
    <xf numFmtId="2" fontId="3" fillId="0" borderId="18" xfId="0" applyNumberFormat="1" applyFont="1" applyBorder="1" applyAlignment="1">
      <alignment horizontal="center" vertical="center"/>
    </xf>
    <xf numFmtId="168" fontId="5" fillId="0" borderId="18" xfId="0" applyNumberFormat="1" applyFont="1" applyBorder="1" applyAlignment="1">
      <alignment horizontal="center" vertical="center"/>
    </xf>
    <xf numFmtId="169" fontId="5" fillId="4" borderId="18" xfId="0" applyNumberFormat="1" applyFont="1" applyFill="1" applyBorder="1" applyAlignment="1">
      <alignment horizontal="center" vertical="center"/>
    </xf>
    <xf numFmtId="170" fontId="3" fillId="4" borderId="18" xfId="0" applyNumberFormat="1" applyFont="1" applyFill="1" applyBorder="1" applyAlignment="1">
      <alignment horizontal="center" vertical="center"/>
    </xf>
    <xf numFmtId="171" fontId="3" fillId="4" borderId="18" xfId="0" applyNumberFormat="1" applyFont="1" applyFill="1" applyBorder="1" applyAlignment="1">
      <alignment horizontal="center" vertical="center"/>
    </xf>
    <xf numFmtId="172" fontId="3" fillId="4" borderId="18" xfId="0" applyNumberFormat="1" applyFont="1" applyFill="1" applyBorder="1" applyAlignment="1">
      <alignment horizontal="center" vertical="center"/>
    </xf>
    <xf numFmtId="173" fontId="5" fillId="4" borderId="18" xfId="0" applyNumberFormat="1" applyFont="1" applyFill="1" applyBorder="1" applyAlignment="1">
      <alignment horizontal="center" vertical="center"/>
    </xf>
    <xf numFmtId="171" fontId="3" fillId="0" borderId="18" xfId="0" applyNumberFormat="1" applyFont="1" applyBorder="1" applyAlignment="1">
      <alignment horizontal="center" vertical="center"/>
    </xf>
    <xf numFmtId="170" fontId="3" fillId="0" borderId="18" xfId="0" applyNumberFormat="1" applyFont="1" applyBorder="1" applyAlignment="1">
      <alignment horizontal="center" vertical="center"/>
    </xf>
    <xf numFmtId="172" fontId="3" fillId="0" borderId="18" xfId="0" applyNumberFormat="1" applyFont="1" applyBorder="1" applyAlignment="1">
      <alignment horizontal="center" vertical="center"/>
    </xf>
    <xf numFmtId="174" fontId="3" fillId="0" borderId="18" xfId="0" applyNumberFormat="1" applyFont="1" applyBorder="1" applyAlignment="1">
      <alignment horizontal="center" vertical="center"/>
    </xf>
    <xf numFmtId="173" fontId="3" fillId="0" borderId="18" xfId="0" applyNumberFormat="1" applyFont="1" applyBorder="1" applyAlignment="1">
      <alignment horizontal="center" vertical="center"/>
    </xf>
    <xf numFmtId="173" fontId="3" fillId="4" borderId="18" xfId="0" applyNumberFormat="1" applyFont="1" applyFill="1" applyBorder="1" applyAlignment="1">
      <alignment horizontal="center" vertical="center"/>
    </xf>
    <xf numFmtId="171" fontId="5" fillId="0" borderId="18" xfId="0" applyNumberFormat="1" applyFont="1" applyBorder="1" applyAlignment="1">
      <alignment horizontal="center" vertical="center"/>
    </xf>
    <xf numFmtId="170" fontId="5" fillId="4" borderId="18" xfId="0" applyNumberFormat="1" applyFont="1" applyFill="1" applyBorder="1" applyAlignment="1">
      <alignment horizontal="center" vertical="center"/>
    </xf>
    <xf numFmtId="170" fontId="5" fillId="0" borderId="18" xfId="0" applyNumberFormat="1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164" fontId="3" fillId="4" borderId="21" xfId="0" applyNumberFormat="1" applyFont="1" applyFill="1" applyBorder="1" applyAlignment="1">
      <alignment horizontal="center" vertical="center"/>
    </xf>
    <xf numFmtId="165" fontId="3" fillId="4" borderId="21" xfId="0" applyNumberFormat="1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166" fontId="3" fillId="4" borderId="21" xfId="0" applyNumberFormat="1" applyFont="1" applyFill="1" applyBorder="1" applyAlignment="1">
      <alignment horizontal="center" vertical="center"/>
    </xf>
    <xf numFmtId="2" fontId="3" fillId="0" borderId="21" xfId="0" applyNumberFormat="1" applyFont="1" applyBorder="1" applyAlignment="1">
      <alignment horizontal="center" vertical="center"/>
    </xf>
    <xf numFmtId="164" fontId="3" fillId="0" borderId="21" xfId="0" applyNumberFormat="1" applyFont="1" applyBorder="1" applyAlignment="1">
      <alignment horizontal="center" vertical="center"/>
    </xf>
    <xf numFmtId="165" fontId="3" fillId="0" borderId="21" xfId="0" applyNumberFormat="1" applyFont="1" applyBorder="1" applyAlignment="1">
      <alignment horizontal="center" vertical="center"/>
    </xf>
    <xf numFmtId="166" fontId="3" fillId="0" borderId="21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5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vertical="center"/>
    </xf>
    <xf numFmtId="0" fontId="3" fillId="5" borderId="0" xfId="0" applyFont="1" applyFill="1"/>
    <xf numFmtId="0" fontId="3" fillId="5" borderId="0" xfId="0" applyFont="1" applyFill="1" applyAlignment="1">
      <alignment horizontal="center" vertical="center"/>
    </xf>
    <xf numFmtId="164" fontId="3" fillId="5" borderId="0" xfId="0" applyNumberFormat="1" applyFont="1" applyFill="1" applyAlignment="1">
      <alignment horizontal="center" vertical="center"/>
    </xf>
    <xf numFmtId="170" fontId="3" fillId="5" borderId="0" xfId="0" applyNumberFormat="1" applyFont="1" applyFill="1" applyAlignment="1">
      <alignment horizontal="center" vertical="center"/>
    </xf>
    <xf numFmtId="170" fontId="5" fillId="5" borderId="0" xfId="0" applyNumberFormat="1" applyFont="1" applyFill="1" applyAlignment="1">
      <alignment horizontal="center" vertical="center"/>
    </xf>
    <xf numFmtId="0" fontId="8" fillId="5" borderId="0" xfId="0" applyFont="1" applyFill="1" applyAlignment="1">
      <alignment vertical="center"/>
    </xf>
    <xf numFmtId="2" fontId="5" fillId="5" borderId="0" xfId="0" applyNumberFormat="1" applyFont="1" applyFill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2" fontId="3" fillId="5" borderId="0" xfId="0" applyNumberFormat="1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171" fontId="8" fillId="5" borderId="0" xfId="0" applyNumberFormat="1" applyFont="1" applyFill="1" applyAlignment="1">
      <alignment horizontal="center" vertical="center"/>
    </xf>
    <xf numFmtId="2" fontId="8" fillId="5" borderId="0" xfId="0" applyNumberFormat="1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0" borderId="9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3" fillId="0" borderId="19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6" fillId="4" borderId="18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6" fillId="0" borderId="1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90.xml.rels><?xml version="1.0" encoding="UTF-8" standalone="yes"?>
<Relationships xmlns="http://schemas.openxmlformats.org/package/2006/relationships"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91.xml.rels><?xml version="1.0" encoding="UTF-8" standalone="yes"?>
<Relationships xmlns="http://schemas.openxmlformats.org/package/2006/relationships"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_rels/chart92.xml.rels><?xml version="1.0" encoding="UTF-8" standalone="yes"?>
<Relationships xmlns="http://schemas.openxmlformats.org/package/2006/relationships"><Relationship Id="rId2" Type="http://schemas.microsoft.com/office/2011/relationships/chartColorStyle" Target="colors92.xml"/><Relationship Id="rId1" Type="http://schemas.microsoft.com/office/2011/relationships/chartStyle" Target="style92.xml"/></Relationships>
</file>

<file path=xl/charts/_rels/chart93.xml.rels><?xml version="1.0" encoding="UTF-8" standalone="yes"?>
<Relationships xmlns="http://schemas.openxmlformats.org/package/2006/relationships"><Relationship Id="rId2" Type="http://schemas.microsoft.com/office/2011/relationships/chartColorStyle" Target="colors93.xml"/><Relationship Id="rId1" Type="http://schemas.microsoft.com/office/2011/relationships/chartStyle" Target="style93.xml"/></Relationships>
</file>

<file path=xl/charts/_rels/chart94.xml.rels><?xml version="1.0" encoding="UTF-8" standalone="yes"?>
<Relationships xmlns="http://schemas.openxmlformats.org/package/2006/relationships"><Relationship Id="rId2" Type="http://schemas.microsoft.com/office/2011/relationships/chartColorStyle" Target="colors94.xml"/><Relationship Id="rId1" Type="http://schemas.microsoft.com/office/2011/relationships/chartStyle" Target="style94.xml"/></Relationships>
</file>

<file path=xl/charts/_rels/chart95.xml.rels><?xml version="1.0" encoding="UTF-8" standalone="yes"?>
<Relationships xmlns="http://schemas.openxmlformats.org/package/2006/relationships"><Relationship Id="rId2" Type="http://schemas.microsoft.com/office/2011/relationships/chartColorStyle" Target="colors95.xml"/><Relationship Id="rId1" Type="http://schemas.microsoft.com/office/2011/relationships/chartStyle" Target="style95.xml"/></Relationships>
</file>

<file path=xl/charts/_rels/chart96.xml.rels><?xml version="1.0" encoding="UTF-8" standalone="yes"?>
<Relationships xmlns="http://schemas.openxmlformats.org/package/2006/relationships"><Relationship Id="rId2" Type="http://schemas.microsoft.com/office/2011/relationships/chartColorStyle" Target="colors96.xml"/><Relationship Id="rId1" Type="http://schemas.microsoft.com/office/2011/relationships/chartStyle" Target="style96.xml"/></Relationships>
</file>

<file path=xl/charts/_rels/chart97.xml.rels><?xml version="1.0" encoding="UTF-8" standalone="yes"?>
<Relationships xmlns="http://schemas.openxmlformats.org/package/2006/relationships"><Relationship Id="rId2" Type="http://schemas.microsoft.com/office/2011/relationships/chartColorStyle" Target="colors97.xml"/><Relationship Id="rId1" Type="http://schemas.microsoft.com/office/2011/relationships/chartStyle" Target="style97.xml"/></Relationships>
</file>

<file path=xl/charts/_rels/chart98.xml.rels><?xml version="1.0" encoding="UTF-8" standalone="yes"?>
<Relationships xmlns="http://schemas.openxmlformats.org/package/2006/relationships"><Relationship Id="rId2" Type="http://schemas.microsoft.com/office/2011/relationships/chartColorStyle" Target="colors98.xml"/><Relationship Id="rId1" Type="http://schemas.microsoft.com/office/2011/relationships/chartStyle" Target="style98.xml"/></Relationships>
</file>

<file path=xl/charts/_rels/chart99.xml.rels><?xml version="1.0" encoding="UTF-8" standalone="yes"?>
<Relationships xmlns="http://schemas.openxmlformats.org/package/2006/relationships"><Relationship Id="rId2" Type="http://schemas.microsoft.com/office/2011/relationships/chartColorStyle" Target="colors99.xml"/><Relationship Id="rId1" Type="http://schemas.microsoft.com/office/2011/relationships/chartStyle" Target="style99.xml"/></Relationships>
</file>

<file path=xl/charts/_rels/chart100.xml.rels><?xml version="1.0" encoding="UTF-8" standalone="yes"?>
<Relationships xmlns="http://schemas.openxmlformats.org/package/2006/relationships"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_rels/chart101.xml.rels><?xml version="1.0" encoding="UTF-8" standalone="yes"?>
<Relationships xmlns="http://schemas.openxmlformats.org/package/2006/relationships"><Relationship Id="rId2" Type="http://schemas.microsoft.com/office/2011/relationships/chartColorStyle" Target="colors101.xml"/><Relationship Id="rId1" Type="http://schemas.microsoft.com/office/2011/relationships/chartStyle" Target="style101.xml"/></Relationships>
</file>

<file path=xl/charts/_rels/chart102.xml.rels><?xml version="1.0" encoding="UTF-8" standalone="yes"?>
<Relationships xmlns="http://schemas.openxmlformats.org/package/2006/relationships"><Relationship Id="rId2" Type="http://schemas.microsoft.com/office/2011/relationships/chartColorStyle" Target="colors102.xml"/><Relationship Id="rId1" Type="http://schemas.microsoft.com/office/2011/relationships/chartStyle" Target="style102.xml"/></Relationships>
</file>

<file path=xl/charts/_rels/chart103.xml.rels><?xml version="1.0" encoding="UTF-8" standalone="yes"?>
<Relationships xmlns="http://schemas.openxmlformats.org/package/2006/relationships"><Relationship Id="rId2" Type="http://schemas.microsoft.com/office/2011/relationships/chartColorStyle" Target="colors103.xml"/><Relationship Id="rId1" Type="http://schemas.microsoft.com/office/2011/relationships/chartStyle" Target="style10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Stagewise distribution of rotor and stator aspect ratios</a:t>
            </a:r>
          </a:p>
        </c:rich>
      </c:tx>
      <c:layout>
        <c:manualLayout>
          <c:xMode val="edge"/>
          <c:yMode val="edge"/>
          <c:x val="0.22829799052896166"/>
          <c:y val="5.3452103314544815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Stator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Plots!$A$4:$A$13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Plots!$B$4:$B$13</c:f>
              <c:numCache>
                <c:formatCode>General</c:formatCode>
                <c:ptCount val="10"/>
                <c:pt idx="0">
                  <c:v>2.77</c:v>
                </c:pt>
                <c:pt idx="1">
                  <c:v>2.66</c:v>
                </c:pt>
                <c:pt idx="2">
                  <c:v>2.31</c:v>
                </c:pt>
                <c:pt idx="3">
                  <c:v>2.04</c:v>
                </c:pt>
                <c:pt idx="4">
                  <c:v>1.81</c:v>
                </c:pt>
                <c:pt idx="5">
                  <c:v>1.58</c:v>
                </c:pt>
                <c:pt idx="6">
                  <c:v>1.25</c:v>
                </c:pt>
                <c:pt idx="7">
                  <c:v>1.1000000000000001</c:v>
                </c:pt>
                <c:pt idx="8">
                  <c:v>1.07</c:v>
                </c:pt>
                <c:pt idx="9">
                  <c:v>0.94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580-41B6-9F05-9560B2ADA467}"/>
            </c:ext>
          </c:extLst>
        </c:ser>
        <c:ser>
          <c:idx val="1"/>
          <c:order val="1"/>
          <c:tx>
            <c:v>Rotor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Plots!$A$4:$A$13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Plots!$C$4:$C$13</c:f>
              <c:numCache>
                <c:formatCode>General</c:formatCode>
                <c:ptCount val="10"/>
                <c:pt idx="0">
                  <c:v>1.51</c:v>
                </c:pt>
                <c:pt idx="1">
                  <c:v>1.54</c:v>
                </c:pt>
                <c:pt idx="2">
                  <c:v>1.52</c:v>
                </c:pt>
                <c:pt idx="3">
                  <c:v>1.43</c:v>
                </c:pt>
                <c:pt idx="4">
                  <c:v>1.33</c:v>
                </c:pt>
                <c:pt idx="5">
                  <c:v>1.26</c:v>
                </c:pt>
                <c:pt idx="6">
                  <c:v>1.0900000000000001</c:v>
                </c:pt>
                <c:pt idx="7">
                  <c:v>0.95</c:v>
                </c:pt>
                <c:pt idx="8">
                  <c:v>0.9</c:v>
                </c:pt>
                <c:pt idx="9">
                  <c:v>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580-41B6-9F05-9560B2ADA467}"/>
            </c:ext>
          </c:extLst>
        </c:ser>
        <c:ser>
          <c:idx val="2"/>
          <c:order val="2"/>
          <c:tx>
            <c:v>Rotator_P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Plots!$D$117:$M$117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Plots!$D$127:$M$127</c:f>
              <c:numCache>
                <c:formatCode>General</c:formatCode>
                <c:ptCount val="10"/>
                <c:pt idx="0">
                  <c:v>2.3540000000000001</c:v>
                </c:pt>
                <c:pt idx="1">
                  <c:v>2.5169999999999999</c:v>
                </c:pt>
                <c:pt idx="2">
                  <c:v>2.33</c:v>
                </c:pt>
                <c:pt idx="3">
                  <c:v>2.145</c:v>
                </c:pt>
                <c:pt idx="4">
                  <c:v>2.0609999999999999</c:v>
                </c:pt>
                <c:pt idx="5">
                  <c:v>2.028</c:v>
                </c:pt>
                <c:pt idx="6">
                  <c:v>1.62</c:v>
                </c:pt>
                <c:pt idx="7">
                  <c:v>1.417</c:v>
                </c:pt>
                <c:pt idx="8">
                  <c:v>1.3380000000000001</c:v>
                </c:pt>
                <c:pt idx="9">
                  <c:v>1.361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580-41B6-9F05-9560B2ADA467}"/>
            </c:ext>
          </c:extLst>
        </c:ser>
        <c:ser>
          <c:idx val="3"/>
          <c:order val="3"/>
          <c:tx>
            <c:v>Stator_P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Plots!$D$117:$M$117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Plots!$D$128:$M$128</c:f>
              <c:numCache>
                <c:formatCode>General</c:formatCode>
                <c:ptCount val="10"/>
                <c:pt idx="0">
                  <c:v>3.024</c:v>
                </c:pt>
                <c:pt idx="1">
                  <c:v>2.98</c:v>
                </c:pt>
                <c:pt idx="2">
                  <c:v>2.5299999999999998</c:v>
                </c:pt>
                <c:pt idx="3">
                  <c:v>2.21</c:v>
                </c:pt>
                <c:pt idx="4">
                  <c:v>2.0049999999999999</c:v>
                </c:pt>
                <c:pt idx="5">
                  <c:v>1.6379999999999999</c:v>
                </c:pt>
                <c:pt idx="6">
                  <c:v>1.355</c:v>
                </c:pt>
                <c:pt idx="7">
                  <c:v>1.1599999999999999</c:v>
                </c:pt>
                <c:pt idx="8">
                  <c:v>1.1419999999999999</c:v>
                </c:pt>
                <c:pt idx="9">
                  <c:v>1.1060000000000001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580-41B6-9F05-9560B2ADA4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4281224"/>
        <c:axId val="614280568"/>
      </c:scatterChart>
      <c:valAx>
        <c:axId val="614281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280568"/>
        <c:crosses val="autoZero"/>
        <c:crossBetween val="midCat"/>
      </c:valAx>
      <c:valAx>
        <c:axId val="614280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281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Stagewise distribution of rotor and stator pitch line solidity</a:t>
            </a:r>
          </a:p>
        </c:rich>
      </c:tx>
      <c:layout>
        <c:manualLayout>
          <c:xMode val="edge"/>
          <c:yMode val="edge"/>
          <c:x val="0.20324514991181658"/>
          <c:y val="4.7512980724039838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Stator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Plots!$A$19:$A$28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Plots!$B$19:$B$28</c:f>
              <c:numCache>
                <c:formatCode>General</c:formatCode>
                <c:ptCount val="10"/>
                <c:pt idx="0">
                  <c:v>1.3460000000000001</c:v>
                </c:pt>
                <c:pt idx="1">
                  <c:v>1.26</c:v>
                </c:pt>
                <c:pt idx="2">
                  <c:v>1.2789999999999999</c:v>
                </c:pt>
                <c:pt idx="3">
                  <c:v>1.258</c:v>
                </c:pt>
                <c:pt idx="4">
                  <c:v>1.385</c:v>
                </c:pt>
                <c:pt idx="5">
                  <c:v>1.4</c:v>
                </c:pt>
                <c:pt idx="6">
                  <c:v>1.4159999999999999</c:v>
                </c:pt>
                <c:pt idx="7">
                  <c:v>1.3</c:v>
                </c:pt>
                <c:pt idx="8">
                  <c:v>1.3480000000000001</c:v>
                </c:pt>
                <c:pt idx="9">
                  <c:v>1.663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A5C-4B34-B4CD-B463137FE496}"/>
            </c:ext>
          </c:extLst>
        </c:ser>
        <c:ser>
          <c:idx val="1"/>
          <c:order val="1"/>
          <c:tx>
            <c:v>Rotor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Plots!$A$19:$A$28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Plots!$C$19:$C$28</c:f>
              <c:numCache>
                <c:formatCode>General</c:formatCode>
                <c:ptCount val="10"/>
                <c:pt idx="0">
                  <c:v>1.7090000000000001</c:v>
                </c:pt>
                <c:pt idx="1">
                  <c:v>1.4750000000000001</c:v>
                </c:pt>
                <c:pt idx="2">
                  <c:v>1.39</c:v>
                </c:pt>
                <c:pt idx="3">
                  <c:v>1.3080000000000001</c:v>
                </c:pt>
                <c:pt idx="4">
                  <c:v>1.31</c:v>
                </c:pt>
                <c:pt idx="5">
                  <c:v>1.2809999999999999</c:v>
                </c:pt>
                <c:pt idx="6">
                  <c:v>1.2869999999999999</c:v>
                </c:pt>
                <c:pt idx="7">
                  <c:v>1.268</c:v>
                </c:pt>
                <c:pt idx="8">
                  <c:v>1.2490000000000001</c:v>
                </c:pt>
                <c:pt idx="9">
                  <c:v>1.2569999999999999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A5C-4B34-B4CD-B463137FE4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4281224"/>
        <c:axId val="614280568"/>
      </c:scatterChart>
      <c:valAx>
        <c:axId val="614281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280568"/>
        <c:crosses val="autoZero"/>
        <c:crossBetween val="midCat"/>
      </c:valAx>
      <c:valAx>
        <c:axId val="614280568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281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Distribution of pitch-line meridional Mach number</a:t>
            </a:r>
          </a:p>
        </c:rich>
      </c:tx>
      <c:layout>
        <c:manualLayout>
          <c:xMode val="edge"/>
          <c:yMode val="edge"/>
          <c:x val="0.24270271771584104"/>
          <c:y val="4.4543419428787347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Stator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Plots!$A$33:$A$43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Plots!$B$33:$B$43</c:f>
              <c:numCache>
                <c:formatCode>General</c:formatCode>
                <c:ptCount val="11"/>
                <c:pt idx="0">
                  <c:v>0.52800000000000002</c:v>
                </c:pt>
                <c:pt idx="1">
                  <c:v>0.49</c:v>
                </c:pt>
                <c:pt idx="2">
                  <c:v>0.46600000000000003</c:v>
                </c:pt>
                <c:pt idx="3">
                  <c:v>0.44700000000000001</c:v>
                </c:pt>
                <c:pt idx="4">
                  <c:v>0.41799999999999998</c:v>
                </c:pt>
                <c:pt idx="5">
                  <c:v>0.39900000000000002</c:v>
                </c:pt>
                <c:pt idx="6">
                  <c:v>0.39600000000000002</c:v>
                </c:pt>
                <c:pt idx="7">
                  <c:v>0.373</c:v>
                </c:pt>
                <c:pt idx="8">
                  <c:v>0.34499999999999997</c:v>
                </c:pt>
                <c:pt idx="9">
                  <c:v>0.32500000000000001</c:v>
                </c:pt>
                <c:pt idx="10">
                  <c:v>0.28299999999999997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882-465B-8697-C498295C2D8F}"/>
            </c:ext>
          </c:extLst>
        </c:ser>
        <c:ser>
          <c:idx val="1"/>
          <c:order val="1"/>
          <c:tx>
            <c:v>Rotor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Plots!$A$33:$A$42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Plots!$C$33:$C$42</c:f>
              <c:numCache>
                <c:formatCode>General</c:formatCode>
                <c:ptCount val="10"/>
                <c:pt idx="0">
                  <c:v>0.60399999999999998</c:v>
                </c:pt>
                <c:pt idx="1">
                  <c:v>0.55000000000000004</c:v>
                </c:pt>
                <c:pt idx="2">
                  <c:v>0.50600000000000001</c:v>
                </c:pt>
                <c:pt idx="3">
                  <c:v>0.47799999999999998</c:v>
                </c:pt>
                <c:pt idx="4">
                  <c:v>0.44700000000000001</c:v>
                </c:pt>
                <c:pt idx="5">
                  <c:v>0.41699999999999998</c:v>
                </c:pt>
                <c:pt idx="6">
                  <c:v>0.40300000000000002</c:v>
                </c:pt>
                <c:pt idx="7">
                  <c:v>0.38600000000000001</c:v>
                </c:pt>
                <c:pt idx="8">
                  <c:v>0.35399999999999998</c:v>
                </c:pt>
                <c:pt idx="9">
                  <c:v>0.32800000000000001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882-465B-8697-C498295C2D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4281224"/>
        <c:axId val="614280568"/>
      </c:scatterChart>
      <c:valAx>
        <c:axId val="614281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280568"/>
        <c:crosses val="autoZero"/>
        <c:crossBetween val="midCat"/>
      </c:valAx>
      <c:valAx>
        <c:axId val="614280568"/>
        <c:scaling>
          <c:orientation val="minMax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281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Stagewise distribution of stator exit swirl angle</a:t>
            </a:r>
          </a:p>
        </c:rich>
      </c:tx>
      <c:layout>
        <c:manualLayout>
          <c:xMode val="edge"/>
          <c:yMode val="edge"/>
          <c:x val="0.26154314044077825"/>
          <c:y val="2.9695612952524899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Hub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Plots!$A$48:$A$58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Plots!$B$48:$B$58</c:f>
              <c:numCache>
                <c:formatCode>General</c:formatCode>
                <c:ptCount val="11"/>
                <c:pt idx="0">
                  <c:v>2.1</c:v>
                </c:pt>
                <c:pt idx="1">
                  <c:v>16</c:v>
                </c:pt>
                <c:pt idx="2">
                  <c:v>24.4</c:v>
                </c:pt>
                <c:pt idx="3">
                  <c:v>28.4</c:v>
                </c:pt>
                <c:pt idx="4">
                  <c:v>29.5</c:v>
                </c:pt>
                <c:pt idx="5">
                  <c:v>29.6</c:v>
                </c:pt>
                <c:pt idx="6">
                  <c:v>26.6</c:v>
                </c:pt>
                <c:pt idx="7">
                  <c:v>25.2</c:v>
                </c:pt>
                <c:pt idx="8">
                  <c:v>23.9</c:v>
                </c:pt>
                <c:pt idx="9">
                  <c:v>23.7</c:v>
                </c:pt>
                <c:pt idx="10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14C-4018-9348-B509053254E8}"/>
            </c:ext>
          </c:extLst>
        </c:ser>
        <c:ser>
          <c:idx val="1"/>
          <c:order val="1"/>
          <c:tx>
            <c:v>Pitch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Plots!$A$48:$A$58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Plots!$C$48:$C$58</c:f>
              <c:numCache>
                <c:formatCode>General</c:formatCode>
                <c:ptCount val="11"/>
                <c:pt idx="0">
                  <c:v>10.3</c:v>
                </c:pt>
                <c:pt idx="1">
                  <c:v>13.5</c:v>
                </c:pt>
                <c:pt idx="2">
                  <c:v>15.8</c:v>
                </c:pt>
                <c:pt idx="3">
                  <c:v>18.100000000000001</c:v>
                </c:pt>
                <c:pt idx="4">
                  <c:v>19.100000000000001</c:v>
                </c:pt>
                <c:pt idx="5">
                  <c:v>19.2</c:v>
                </c:pt>
                <c:pt idx="6">
                  <c:v>16.25</c:v>
                </c:pt>
                <c:pt idx="7">
                  <c:v>15</c:v>
                </c:pt>
                <c:pt idx="8">
                  <c:v>13.8</c:v>
                </c:pt>
                <c:pt idx="9">
                  <c:v>13.6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14C-4018-9348-B509053254E8}"/>
            </c:ext>
          </c:extLst>
        </c:ser>
        <c:ser>
          <c:idx val="2"/>
          <c:order val="2"/>
          <c:tx>
            <c:v>Tip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Plots!$A$48:$A$58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Plots!$D$48:$D$58</c:f>
              <c:numCache>
                <c:formatCode>General</c:formatCode>
                <c:ptCount val="11"/>
                <c:pt idx="0">
                  <c:v>15</c:v>
                </c:pt>
                <c:pt idx="1">
                  <c:v>24.9</c:v>
                </c:pt>
                <c:pt idx="2">
                  <c:v>28</c:v>
                </c:pt>
                <c:pt idx="3">
                  <c:v>30.6</c:v>
                </c:pt>
                <c:pt idx="4">
                  <c:v>31.7</c:v>
                </c:pt>
                <c:pt idx="5">
                  <c:v>31.8</c:v>
                </c:pt>
                <c:pt idx="6">
                  <c:v>28.9</c:v>
                </c:pt>
                <c:pt idx="7">
                  <c:v>27.5</c:v>
                </c:pt>
                <c:pt idx="8">
                  <c:v>26</c:v>
                </c:pt>
                <c:pt idx="9">
                  <c:v>25.8</c:v>
                </c:pt>
                <c:pt idx="10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14C-4018-9348-B509053254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4281224"/>
        <c:axId val="614280568"/>
      </c:scatterChart>
      <c:valAx>
        <c:axId val="614281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280568"/>
        <c:crosses val="autoZero"/>
        <c:crossBetween val="midCat"/>
      </c:valAx>
      <c:valAx>
        <c:axId val="614280568"/>
        <c:scaling>
          <c:orientation val="minMax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281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Stagewise distribution of average temperature rise</a:t>
            </a:r>
          </a:p>
        </c:rich>
      </c:tx>
      <c:layout>
        <c:manualLayout>
          <c:xMode val="edge"/>
          <c:yMode val="edge"/>
          <c:x val="0.25213834381813383"/>
          <c:y val="4.1573858133534855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Stator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Plots!$A$63:$A$72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Plots!$B$63:$B$72</c:f>
              <c:numCache>
                <c:formatCode>General</c:formatCode>
                <c:ptCount val="10"/>
                <c:pt idx="0">
                  <c:v>53.28</c:v>
                </c:pt>
                <c:pt idx="1">
                  <c:v>52.88</c:v>
                </c:pt>
                <c:pt idx="2">
                  <c:v>51.69</c:v>
                </c:pt>
                <c:pt idx="3">
                  <c:v>50.46</c:v>
                </c:pt>
                <c:pt idx="4">
                  <c:v>49.68</c:v>
                </c:pt>
                <c:pt idx="5">
                  <c:v>44.15</c:v>
                </c:pt>
                <c:pt idx="6">
                  <c:v>46.23</c:v>
                </c:pt>
                <c:pt idx="7">
                  <c:v>47.86</c:v>
                </c:pt>
                <c:pt idx="8">
                  <c:v>48.86</c:v>
                </c:pt>
                <c:pt idx="9">
                  <c:v>48.2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792-4321-A5FF-B0A6CC067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4281224"/>
        <c:axId val="614280568"/>
      </c:scatterChart>
      <c:valAx>
        <c:axId val="614281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280568"/>
        <c:crosses val="autoZero"/>
        <c:crossBetween val="midCat"/>
      </c:valAx>
      <c:valAx>
        <c:axId val="614280568"/>
        <c:scaling>
          <c:orientation val="minMax"/>
          <c:min val="3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281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Rotor and stator pitch-line loss coefficient</a:t>
            </a:r>
          </a:p>
        </c:rich>
      </c:tx>
      <c:layout>
        <c:manualLayout>
          <c:xMode val="edge"/>
          <c:yMode val="edge"/>
          <c:x val="0.2868209529364385"/>
          <c:y val="3.5634735543029879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Stator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Plots!$A$77:$A$86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Plots!$B$77:$B$86</c:f>
              <c:numCache>
                <c:formatCode>General</c:formatCode>
                <c:ptCount val="10"/>
                <c:pt idx="0">
                  <c:v>6.2E-2</c:v>
                </c:pt>
                <c:pt idx="1">
                  <c:v>5.5E-2</c:v>
                </c:pt>
                <c:pt idx="2">
                  <c:v>4.9000000000000002E-2</c:v>
                </c:pt>
                <c:pt idx="3">
                  <c:v>4.2999999999999997E-2</c:v>
                </c:pt>
                <c:pt idx="4">
                  <c:v>4.3999999999999997E-2</c:v>
                </c:pt>
                <c:pt idx="5">
                  <c:v>4.2999999999999997E-2</c:v>
                </c:pt>
                <c:pt idx="6">
                  <c:v>4.7E-2</c:v>
                </c:pt>
                <c:pt idx="7">
                  <c:v>4.9000000000000002E-2</c:v>
                </c:pt>
                <c:pt idx="8">
                  <c:v>5.2499999999999998E-2</c:v>
                </c:pt>
                <c:pt idx="9">
                  <c:v>7.5999999999999998E-2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7F1-49FD-BFDC-E08C61D3FF4E}"/>
            </c:ext>
          </c:extLst>
        </c:ser>
        <c:ser>
          <c:idx val="1"/>
          <c:order val="1"/>
          <c:tx>
            <c:v>Rotor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Plots!$A$77:$A$86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Plots!$C$77:$C$86</c:f>
              <c:numCache>
                <c:formatCode>General</c:formatCode>
                <c:ptCount val="10"/>
                <c:pt idx="0">
                  <c:v>4.7E-2</c:v>
                </c:pt>
                <c:pt idx="1">
                  <c:v>5.8000000000000003E-2</c:v>
                </c:pt>
                <c:pt idx="2">
                  <c:v>5.1999999999999998E-2</c:v>
                </c:pt>
                <c:pt idx="3">
                  <c:v>4.2999999999999997E-2</c:v>
                </c:pt>
                <c:pt idx="4">
                  <c:v>4.3999999999999997E-2</c:v>
                </c:pt>
                <c:pt idx="5">
                  <c:v>4.2999999999999997E-2</c:v>
                </c:pt>
                <c:pt idx="6">
                  <c:v>4.7E-2</c:v>
                </c:pt>
                <c:pt idx="7">
                  <c:v>4.9000000000000002E-2</c:v>
                </c:pt>
                <c:pt idx="8">
                  <c:v>5.2499999999999998E-2</c:v>
                </c:pt>
                <c:pt idx="9">
                  <c:v>5.5500000000000001E-2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7F1-49FD-BFDC-E08C61D3F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4281224"/>
        <c:axId val="614280568"/>
      </c:scatterChart>
      <c:valAx>
        <c:axId val="614281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280568"/>
        <c:crosses val="autoZero"/>
        <c:crossBetween val="midCat"/>
      </c:valAx>
      <c:valAx>
        <c:axId val="614280568"/>
        <c:scaling>
          <c:orientation val="minMax"/>
          <c:min val="2.0000000000000004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281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Stagewise distribution of rotor and stator pitchline diffusion factor</a:t>
            </a:r>
          </a:p>
        </c:rich>
      </c:tx>
      <c:layout>
        <c:manualLayout>
          <c:xMode val="edge"/>
          <c:yMode val="edge"/>
          <c:x val="0.16715604993820216"/>
          <c:y val="3.5634735543029879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Stator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Plots!$A$91:$A$100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Plots!$B$91:$B$100</c:f>
              <c:numCache>
                <c:formatCode>General</c:formatCode>
                <c:ptCount val="10"/>
                <c:pt idx="0">
                  <c:v>0.46400000000000002</c:v>
                </c:pt>
                <c:pt idx="1">
                  <c:v>0.47499999999999998</c:v>
                </c:pt>
                <c:pt idx="2">
                  <c:v>0.45200000000000001</c:v>
                </c:pt>
                <c:pt idx="3">
                  <c:v>0.47</c:v>
                </c:pt>
                <c:pt idx="4">
                  <c:v>0.49</c:v>
                </c:pt>
                <c:pt idx="5">
                  <c:v>0.44400000000000001</c:v>
                </c:pt>
                <c:pt idx="6">
                  <c:v>0.45700000000000002</c:v>
                </c:pt>
                <c:pt idx="7">
                  <c:v>0.51800000000000002</c:v>
                </c:pt>
                <c:pt idx="8">
                  <c:v>0.53500000000000003</c:v>
                </c:pt>
                <c:pt idx="9">
                  <c:v>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D9F-4F92-A22D-417366A41E10}"/>
            </c:ext>
          </c:extLst>
        </c:ser>
        <c:ser>
          <c:idx val="1"/>
          <c:order val="1"/>
          <c:tx>
            <c:v>Rotor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Plots!$A$91:$A$100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Plots!$C$91:$C$100</c:f>
              <c:numCache>
                <c:formatCode>General</c:formatCode>
                <c:ptCount val="10"/>
                <c:pt idx="0">
                  <c:v>0.46800000000000003</c:v>
                </c:pt>
                <c:pt idx="1">
                  <c:v>0.46</c:v>
                </c:pt>
                <c:pt idx="2">
                  <c:v>0.44500000000000001</c:v>
                </c:pt>
                <c:pt idx="3">
                  <c:v>0.44800000000000001</c:v>
                </c:pt>
                <c:pt idx="4">
                  <c:v>0.45100000000000001</c:v>
                </c:pt>
                <c:pt idx="5">
                  <c:v>0.41</c:v>
                </c:pt>
                <c:pt idx="6">
                  <c:v>0.41799999999999998</c:v>
                </c:pt>
                <c:pt idx="7">
                  <c:v>0.438</c:v>
                </c:pt>
                <c:pt idx="8">
                  <c:v>0.45800000000000002</c:v>
                </c:pt>
                <c:pt idx="9">
                  <c:v>0.46200000000000002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D9F-4F92-A22D-417366A41E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4281224"/>
        <c:axId val="614280568"/>
      </c:scatterChart>
      <c:valAx>
        <c:axId val="614281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280568"/>
        <c:crosses val="autoZero"/>
        <c:crossBetween val="midCat"/>
      </c:valAx>
      <c:valAx>
        <c:axId val="614280568"/>
        <c:scaling>
          <c:orientation val="minMax"/>
          <c:min val="2.0000000000000004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281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Stagewise distribution of rotor tip and stator hub inlet Mach numbers</a:t>
            </a:r>
          </a:p>
        </c:rich>
      </c:tx>
      <c:layout>
        <c:manualLayout>
          <c:xMode val="edge"/>
          <c:yMode val="edge"/>
          <c:x val="0.15319223985890654"/>
          <c:y val="3.5634735543029879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Stator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Plots!$A$105:$A$114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Plots!$B$105:$B$114</c:f>
              <c:numCache>
                <c:formatCode>General</c:formatCode>
                <c:ptCount val="10"/>
                <c:pt idx="0">
                  <c:v>0.86</c:v>
                </c:pt>
                <c:pt idx="1">
                  <c:v>0.78</c:v>
                </c:pt>
                <c:pt idx="2">
                  <c:v>0.74</c:v>
                </c:pt>
                <c:pt idx="3">
                  <c:v>0.7</c:v>
                </c:pt>
                <c:pt idx="4">
                  <c:v>0.66</c:v>
                </c:pt>
                <c:pt idx="5">
                  <c:v>0.59</c:v>
                </c:pt>
                <c:pt idx="6">
                  <c:v>0.57499999999999996</c:v>
                </c:pt>
                <c:pt idx="7">
                  <c:v>0.56000000000000005</c:v>
                </c:pt>
                <c:pt idx="8">
                  <c:v>0.53</c:v>
                </c:pt>
                <c:pt idx="9">
                  <c:v>0.48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8A5-4E88-A34B-666A4D13A589}"/>
            </c:ext>
          </c:extLst>
        </c:ser>
        <c:ser>
          <c:idx val="1"/>
          <c:order val="1"/>
          <c:tx>
            <c:v>Rotor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Plots!$A$105:$A$114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Plots!$C$105:$C$114</c:f>
              <c:numCache>
                <c:formatCode>General</c:formatCode>
                <c:ptCount val="10"/>
                <c:pt idx="0">
                  <c:v>1.36</c:v>
                </c:pt>
                <c:pt idx="1">
                  <c:v>1.08</c:v>
                </c:pt>
                <c:pt idx="2">
                  <c:v>0.95</c:v>
                </c:pt>
                <c:pt idx="3">
                  <c:v>0.86</c:v>
                </c:pt>
                <c:pt idx="4">
                  <c:v>0.78</c:v>
                </c:pt>
                <c:pt idx="5">
                  <c:v>0.75</c:v>
                </c:pt>
                <c:pt idx="6">
                  <c:v>0.72</c:v>
                </c:pt>
                <c:pt idx="7">
                  <c:v>0.69</c:v>
                </c:pt>
                <c:pt idx="8">
                  <c:v>0.66</c:v>
                </c:pt>
                <c:pt idx="9">
                  <c:v>0.64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8A5-4E88-A34B-666A4D13A589}"/>
            </c:ext>
          </c:extLst>
        </c:ser>
        <c:ser>
          <c:idx val="2"/>
          <c:order val="2"/>
          <c:tx>
            <c:v>Max Rotor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Plots!$A$105:$A$114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Plots!$D$105:$D$114</c:f>
              <c:numCache>
                <c:formatCode>General</c:formatCode>
                <c:ptCount val="10"/>
                <c:pt idx="0">
                  <c:v>1.36</c:v>
                </c:pt>
                <c:pt idx="1">
                  <c:v>1.1499999999999999</c:v>
                </c:pt>
                <c:pt idx="2">
                  <c:v>1.0249999999999999</c:v>
                </c:pt>
                <c:pt idx="3">
                  <c:v>0.94499999999999995</c:v>
                </c:pt>
                <c:pt idx="4">
                  <c:v>0.86</c:v>
                </c:pt>
                <c:pt idx="5">
                  <c:v>0.82499999999999996</c:v>
                </c:pt>
                <c:pt idx="6">
                  <c:v>0.79</c:v>
                </c:pt>
                <c:pt idx="7">
                  <c:v>0.76</c:v>
                </c:pt>
                <c:pt idx="8">
                  <c:v>0.74</c:v>
                </c:pt>
                <c:pt idx="9">
                  <c:v>0.71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8A5-4E88-A34B-666A4D13A5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4281224"/>
        <c:axId val="614280568"/>
      </c:scatterChart>
      <c:valAx>
        <c:axId val="614281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280568"/>
        <c:crosses val="autoZero"/>
        <c:crossBetween val="midCat"/>
      </c:valAx>
      <c:valAx>
        <c:axId val="614280568"/>
        <c:scaling>
          <c:orientation val="minMax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281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Stagewise distribution of rotor and stator pitch line solidity</a:t>
            </a:r>
          </a:p>
        </c:rich>
      </c:tx>
      <c:layout>
        <c:manualLayout>
          <c:xMode val="edge"/>
          <c:yMode val="edge"/>
          <c:x val="0.20324514991181658"/>
          <c:y val="4.7512980724039838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Stator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Plots!$A$19:$A$28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Plots!$B$19:$B$28</c:f>
              <c:numCache>
                <c:formatCode>General</c:formatCode>
                <c:ptCount val="10"/>
                <c:pt idx="0">
                  <c:v>1.3460000000000001</c:v>
                </c:pt>
                <c:pt idx="1">
                  <c:v>1.26</c:v>
                </c:pt>
                <c:pt idx="2">
                  <c:v>1.2789999999999999</c:v>
                </c:pt>
                <c:pt idx="3">
                  <c:v>1.258</c:v>
                </c:pt>
                <c:pt idx="4">
                  <c:v>1.385</c:v>
                </c:pt>
                <c:pt idx="5">
                  <c:v>1.4</c:v>
                </c:pt>
                <c:pt idx="6">
                  <c:v>1.4159999999999999</c:v>
                </c:pt>
                <c:pt idx="7">
                  <c:v>1.3</c:v>
                </c:pt>
                <c:pt idx="8">
                  <c:v>1.3480000000000001</c:v>
                </c:pt>
                <c:pt idx="9">
                  <c:v>1.663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D75-4E3F-BE01-9B11633B0CC7}"/>
            </c:ext>
          </c:extLst>
        </c:ser>
        <c:ser>
          <c:idx val="1"/>
          <c:order val="1"/>
          <c:tx>
            <c:v>Rotor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Plots!$A$19:$A$28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Plots!$C$19:$C$28</c:f>
              <c:numCache>
                <c:formatCode>General</c:formatCode>
                <c:ptCount val="10"/>
                <c:pt idx="0">
                  <c:v>1.7090000000000001</c:v>
                </c:pt>
                <c:pt idx="1">
                  <c:v>1.4750000000000001</c:v>
                </c:pt>
                <c:pt idx="2">
                  <c:v>1.39</c:v>
                </c:pt>
                <c:pt idx="3">
                  <c:v>1.3080000000000001</c:v>
                </c:pt>
                <c:pt idx="4">
                  <c:v>1.31</c:v>
                </c:pt>
                <c:pt idx="5">
                  <c:v>1.2809999999999999</c:v>
                </c:pt>
                <c:pt idx="6">
                  <c:v>1.2869999999999999</c:v>
                </c:pt>
                <c:pt idx="7">
                  <c:v>1.268</c:v>
                </c:pt>
                <c:pt idx="8">
                  <c:v>1.2490000000000001</c:v>
                </c:pt>
                <c:pt idx="9">
                  <c:v>1.2569999999999999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D75-4E3F-BE01-9B11633B0CC7}"/>
            </c:ext>
          </c:extLst>
        </c:ser>
        <c:ser>
          <c:idx val="2"/>
          <c:order val="2"/>
          <c:tx>
            <c:v>Stator_P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Plots!$D$117:$M$117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Plots!$D$124:$M$124</c:f>
              <c:numCache>
                <c:formatCode>General</c:formatCode>
                <c:ptCount val="10"/>
                <c:pt idx="0">
                  <c:v>1.353</c:v>
                </c:pt>
                <c:pt idx="1">
                  <c:v>1.2769999999999999</c:v>
                </c:pt>
                <c:pt idx="2">
                  <c:v>1.3080000000000001</c:v>
                </c:pt>
                <c:pt idx="3">
                  <c:v>1.2809999999999999</c:v>
                </c:pt>
                <c:pt idx="4">
                  <c:v>1.3740000000000001</c:v>
                </c:pt>
                <c:pt idx="5">
                  <c:v>1.474</c:v>
                </c:pt>
                <c:pt idx="6">
                  <c:v>1.379</c:v>
                </c:pt>
                <c:pt idx="7">
                  <c:v>1.276</c:v>
                </c:pt>
                <c:pt idx="8">
                  <c:v>1.3460000000000001</c:v>
                </c:pt>
                <c:pt idx="9">
                  <c:v>1.4530000000000001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D75-4E3F-BE01-9B11633B0CC7}"/>
            </c:ext>
          </c:extLst>
        </c:ser>
        <c:ser>
          <c:idx val="3"/>
          <c:order val="3"/>
          <c:tx>
            <c:v>Rotor_P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Plots!$D$117:$M$117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Plots!$D$123:$M$123</c:f>
              <c:numCache>
                <c:formatCode>General</c:formatCode>
                <c:ptCount val="10"/>
                <c:pt idx="0">
                  <c:v>1.6659999999999999</c:v>
                </c:pt>
                <c:pt idx="1">
                  <c:v>1.486</c:v>
                </c:pt>
                <c:pt idx="2">
                  <c:v>1.4470000000000001</c:v>
                </c:pt>
                <c:pt idx="3">
                  <c:v>1.38</c:v>
                </c:pt>
                <c:pt idx="4">
                  <c:v>1.274</c:v>
                </c:pt>
                <c:pt idx="5">
                  <c:v>1.2569999999999999</c:v>
                </c:pt>
                <c:pt idx="6">
                  <c:v>1.31</c:v>
                </c:pt>
                <c:pt idx="7">
                  <c:v>1.3169999999999999</c:v>
                </c:pt>
                <c:pt idx="8">
                  <c:v>1.3260000000000001</c:v>
                </c:pt>
                <c:pt idx="9">
                  <c:v>1.391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D75-4E3F-BE01-9B11633B0C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4281224"/>
        <c:axId val="614280568"/>
      </c:scatterChart>
      <c:valAx>
        <c:axId val="614281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280568"/>
        <c:crosses val="autoZero"/>
        <c:crossBetween val="midCat"/>
      </c:valAx>
      <c:valAx>
        <c:axId val="614280568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281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Rotor and stator pitch-line loss coefficient</a:t>
            </a:r>
          </a:p>
        </c:rich>
      </c:tx>
      <c:layout>
        <c:manualLayout>
          <c:xMode val="edge"/>
          <c:yMode val="edge"/>
          <c:x val="0.2868209529364385"/>
          <c:y val="3.5634735543029879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Stator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Plots!$A$77:$A$86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Plots!$B$77:$B$86</c:f>
              <c:numCache>
                <c:formatCode>General</c:formatCode>
                <c:ptCount val="10"/>
                <c:pt idx="0">
                  <c:v>6.2E-2</c:v>
                </c:pt>
                <c:pt idx="1">
                  <c:v>5.5E-2</c:v>
                </c:pt>
                <c:pt idx="2">
                  <c:v>4.9000000000000002E-2</c:v>
                </c:pt>
                <c:pt idx="3">
                  <c:v>4.2999999999999997E-2</c:v>
                </c:pt>
                <c:pt idx="4">
                  <c:v>4.3999999999999997E-2</c:v>
                </c:pt>
                <c:pt idx="5">
                  <c:v>4.2999999999999997E-2</c:v>
                </c:pt>
                <c:pt idx="6">
                  <c:v>4.7E-2</c:v>
                </c:pt>
                <c:pt idx="7">
                  <c:v>4.9000000000000002E-2</c:v>
                </c:pt>
                <c:pt idx="8">
                  <c:v>5.2499999999999998E-2</c:v>
                </c:pt>
                <c:pt idx="9">
                  <c:v>7.5999999999999998E-2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95D-49E9-BA23-572DB4027930}"/>
            </c:ext>
          </c:extLst>
        </c:ser>
        <c:ser>
          <c:idx val="1"/>
          <c:order val="1"/>
          <c:tx>
            <c:v>Rotor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Plots!$A$77:$A$86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Plots!$C$77:$C$86</c:f>
              <c:numCache>
                <c:formatCode>General</c:formatCode>
                <c:ptCount val="10"/>
                <c:pt idx="0">
                  <c:v>4.7E-2</c:v>
                </c:pt>
                <c:pt idx="1">
                  <c:v>5.8000000000000003E-2</c:v>
                </c:pt>
                <c:pt idx="2">
                  <c:v>5.1999999999999998E-2</c:v>
                </c:pt>
                <c:pt idx="3">
                  <c:v>4.2999999999999997E-2</c:v>
                </c:pt>
                <c:pt idx="4">
                  <c:v>4.3999999999999997E-2</c:v>
                </c:pt>
                <c:pt idx="5">
                  <c:v>4.2999999999999997E-2</c:v>
                </c:pt>
                <c:pt idx="6">
                  <c:v>4.7E-2</c:v>
                </c:pt>
                <c:pt idx="7">
                  <c:v>4.9000000000000002E-2</c:v>
                </c:pt>
                <c:pt idx="8">
                  <c:v>5.2499999999999998E-2</c:v>
                </c:pt>
                <c:pt idx="9">
                  <c:v>5.5500000000000001E-2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95D-49E9-BA23-572DB4027930}"/>
            </c:ext>
          </c:extLst>
        </c:ser>
        <c:ser>
          <c:idx val="2"/>
          <c:order val="2"/>
          <c:tx>
            <c:v>Stator_P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Plots!$D$117:$M$117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Plots!$D$122:$M$122</c:f>
              <c:numCache>
                <c:formatCode>General</c:formatCode>
                <c:ptCount val="10"/>
                <c:pt idx="0">
                  <c:v>7.0000000000000007E-2</c:v>
                </c:pt>
                <c:pt idx="1">
                  <c:v>6.5000000000000002E-2</c:v>
                </c:pt>
                <c:pt idx="2">
                  <c:v>6.5000000000000002E-2</c:v>
                </c:pt>
                <c:pt idx="3">
                  <c:v>0.06</c:v>
                </c:pt>
                <c:pt idx="4">
                  <c:v>0.06</c:v>
                </c:pt>
                <c:pt idx="5">
                  <c:v>6.5000000000000002E-2</c:v>
                </c:pt>
                <c:pt idx="6">
                  <c:v>6.5000000000000002E-2</c:v>
                </c:pt>
                <c:pt idx="7">
                  <c:v>6.5000000000000002E-2</c:v>
                </c:pt>
                <c:pt idx="8">
                  <c:v>6.5000000000000002E-2</c:v>
                </c:pt>
                <c:pt idx="9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95D-49E9-BA23-572DB4027930}"/>
            </c:ext>
          </c:extLst>
        </c:ser>
        <c:ser>
          <c:idx val="3"/>
          <c:order val="3"/>
          <c:tx>
            <c:v>Rotor_P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Plots!$D$117:$M$117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Plots!$D$121:$M$121</c:f>
              <c:numCache>
                <c:formatCode>General</c:formatCode>
                <c:ptCount val="10"/>
                <c:pt idx="0">
                  <c:v>5.2999999999999999E-2</c:v>
                </c:pt>
                <c:pt idx="1">
                  <c:v>6.8400000000000002E-2</c:v>
                </c:pt>
                <c:pt idx="2">
                  <c:v>6.8400000000000002E-2</c:v>
                </c:pt>
                <c:pt idx="3">
                  <c:v>6.8900000000000003E-2</c:v>
                </c:pt>
                <c:pt idx="4">
                  <c:v>6.9000000000000006E-2</c:v>
                </c:pt>
                <c:pt idx="5">
                  <c:v>6.9000000000000006E-2</c:v>
                </c:pt>
                <c:pt idx="6">
                  <c:v>6.9000000000000006E-2</c:v>
                </c:pt>
                <c:pt idx="7">
                  <c:v>6.9000000000000006E-2</c:v>
                </c:pt>
                <c:pt idx="8">
                  <c:v>6.9000000000000006E-2</c:v>
                </c:pt>
                <c:pt idx="9">
                  <c:v>7.0000000000000007E-2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95D-49E9-BA23-572DB40279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4281224"/>
        <c:axId val="614280568"/>
      </c:scatterChart>
      <c:valAx>
        <c:axId val="614281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280568"/>
        <c:crosses val="autoZero"/>
        <c:crossBetween val="midCat"/>
      </c:valAx>
      <c:valAx>
        <c:axId val="614280568"/>
        <c:scaling>
          <c:orientation val="minMax"/>
          <c:min val="2.0000000000000004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281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Stagewise distribution of average temperature rise</a:t>
            </a:r>
          </a:p>
        </c:rich>
      </c:tx>
      <c:layout>
        <c:manualLayout>
          <c:xMode val="edge"/>
          <c:yMode val="edge"/>
          <c:x val="0.25213834381813383"/>
          <c:y val="4.1573858133534855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Temperature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Plots!$A$63:$A$72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Plots!$B$63:$B$72</c:f>
              <c:numCache>
                <c:formatCode>General</c:formatCode>
                <c:ptCount val="10"/>
                <c:pt idx="0">
                  <c:v>53.28</c:v>
                </c:pt>
                <c:pt idx="1">
                  <c:v>52.88</c:v>
                </c:pt>
                <c:pt idx="2">
                  <c:v>51.69</c:v>
                </c:pt>
                <c:pt idx="3">
                  <c:v>50.46</c:v>
                </c:pt>
                <c:pt idx="4">
                  <c:v>49.68</c:v>
                </c:pt>
                <c:pt idx="5">
                  <c:v>44.15</c:v>
                </c:pt>
                <c:pt idx="6">
                  <c:v>46.23</c:v>
                </c:pt>
                <c:pt idx="7">
                  <c:v>47.86</c:v>
                </c:pt>
                <c:pt idx="8">
                  <c:v>48.86</c:v>
                </c:pt>
                <c:pt idx="9">
                  <c:v>48.2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B3C-44DB-8B74-CF20A201F842}"/>
            </c:ext>
          </c:extLst>
        </c:ser>
        <c:ser>
          <c:idx val="1"/>
          <c:order val="1"/>
          <c:tx>
            <c:v>Temperature_P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Plots!$D$117:$M$117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Plots!$D$120:$M$120</c:f>
              <c:numCache>
                <c:formatCode>General</c:formatCode>
                <c:ptCount val="10"/>
                <c:pt idx="0">
                  <c:v>52.7</c:v>
                </c:pt>
                <c:pt idx="1">
                  <c:v>52.3</c:v>
                </c:pt>
                <c:pt idx="2">
                  <c:v>51.12</c:v>
                </c:pt>
                <c:pt idx="3">
                  <c:v>49.74</c:v>
                </c:pt>
                <c:pt idx="4">
                  <c:v>49.14</c:v>
                </c:pt>
                <c:pt idx="5">
                  <c:v>43.62</c:v>
                </c:pt>
                <c:pt idx="6">
                  <c:v>45.69</c:v>
                </c:pt>
                <c:pt idx="7">
                  <c:v>47.27</c:v>
                </c:pt>
                <c:pt idx="8">
                  <c:v>48.26</c:v>
                </c:pt>
                <c:pt idx="9">
                  <c:v>47.57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B3C-44DB-8B74-CF20A201F8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4281224"/>
        <c:axId val="614280568"/>
      </c:scatterChart>
      <c:valAx>
        <c:axId val="614281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280568"/>
        <c:crosses val="autoZero"/>
        <c:crossBetween val="midCat"/>
      </c:valAx>
      <c:valAx>
        <c:axId val="614280568"/>
        <c:scaling>
          <c:orientation val="minMax"/>
          <c:min val="3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281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Stagewise distribution of rotor tip and stator hub inlet Mach numbers</a:t>
            </a:r>
          </a:p>
        </c:rich>
      </c:tx>
      <c:layout>
        <c:manualLayout>
          <c:xMode val="edge"/>
          <c:yMode val="edge"/>
          <c:x val="0.15319223985890654"/>
          <c:y val="3.5634735543029879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Stator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Plots!$A$105:$A$114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Plots!$B$105:$B$114</c:f>
              <c:numCache>
                <c:formatCode>General</c:formatCode>
                <c:ptCount val="10"/>
                <c:pt idx="0">
                  <c:v>0.86</c:v>
                </c:pt>
                <c:pt idx="1">
                  <c:v>0.78</c:v>
                </c:pt>
                <c:pt idx="2">
                  <c:v>0.74</c:v>
                </c:pt>
                <c:pt idx="3">
                  <c:v>0.7</c:v>
                </c:pt>
                <c:pt idx="4">
                  <c:v>0.66</c:v>
                </c:pt>
                <c:pt idx="5">
                  <c:v>0.59</c:v>
                </c:pt>
                <c:pt idx="6">
                  <c:v>0.57499999999999996</c:v>
                </c:pt>
                <c:pt idx="7">
                  <c:v>0.56000000000000005</c:v>
                </c:pt>
                <c:pt idx="8">
                  <c:v>0.53</c:v>
                </c:pt>
                <c:pt idx="9">
                  <c:v>0.48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59A-428C-AF4A-D0812F2EAC77}"/>
            </c:ext>
          </c:extLst>
        </c:ser>
        <c:ser>
          <c:idx val="1"/>
          <c:order val="1"/>
          <c:tx>
            <c:v>Rotor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Plots!$A$105:$A$114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Plots!$C$105:$C$114</c:f>
              <c:numCache>
                <c:formatCode>General</c:formatCode>
                <c:ptCount val="10"/>
                <c:pt idx="0">
                  <c:v>1.36</c:v>
                </c:pt>
                <c:pt idx="1">
                  <c:v>1.08</c:v>
                </c:pt>
                <c:pt idx="2">
                  <c:v>0.95</c:v>
                </c:pt>
                <c:pt idx="3">
                  <c:v>0.86</c:v>
                </c:pt>
                <c:pt idx="4">
                  <c:v>0.78</c:v>
                </c:pt>
                <c:pt idx="5">
                  <c:v>0.75</c:v>
                </c:pt>
                <c:pt idx="6">
                  <c:v>0.72</c:v>
                </c:pt>
                <c:pt idx="7">
                  <c:v>0.69</c:v>
                </c:pt>
                <c:pt idx="8">
                  <c:v>0.66</c:v>
                </c:pt>
                <c:pt idx="9">
                  <c:v>0.64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59A-428C-AF4A-D0812F2EAC77}"/>
            </c:ext>
          </c:extLst>
        </c:ser>
        <c:ser>
          <c:idx val="2"/>
          <c:order val="2"/>
          <c:tx>
            <c:v>Max Rotor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Plots!$A$105:$A$114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Plots!$D$105:$D$114</c:f>
              <c:numCache>
                <c:formatCode>General</c:formatCode>
                <c:ptCount val="10"/>
                <c:pt idx="0">
                  <c:v>1.36</c:v>
                </c:pt>
                <c:pt idx="1">
                  <c:v>1.1499999999999999</c:v>
                </c:pt>
                <c:pt idx="2">
                  <c:v>1.0249999999999999</c:v>
                </c:pt>
                <c:pt idx="3">
                  <c:v>0.94499999999999995</c:v>
                </c:pt>
                <c:pt idx="4">
                  <c:v>0.86</c:v>
                </c:pt>
                <c:pt idx="5">
                  <c:v>0.82499999999999996</c:v>
                </c:pt>
                <c:pt idx="6">
                  <c:v>0.79</c:v>
                </c:pt>
                <c:pt idx="7">
                  <c:v>0.76</c:v>
                </c:pt>
                <c:pt idx="8">
                  <c:v>0.74</c:v>
                </c:pt>
                <c:pt idx="9">
                  <c:v>0.71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59A-428C-AF4A-D0812F2EAC77}"/>
            </c:ext>
          </c:extLst>
        </c:ser>
        <c:ser>
          <c:idx val="3"/>
          <c:order val="3"/>
          <c:tx>
            <c:v>Rotor_P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Plots!$D$117:$M$117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Plots!$D$119:$M$119</c:f>
              <c:numCache>
                <c:formatCode>General</c:formatCode>
                <c:ptCount val="10"/>
                <c:pt idx="0">
                  <c:v>0.59</c:v>
                </c:pt>
                <c:pt idx="1">
                  <c:v>0.51</c:v>
                </c:pt>
                <c:pt idx="2">
                  <c:v>0.47499999999999998</c:v>
                </c:pt>
                <c:pt idx="3">
                  <c:v>0.46</c:v>
                </c:pt>
                <c:pt idx="4">
                  <c:v>0.443</c:v>
                </c:pt>
                <c:pt idx="5">
                  <c:v>0.41799999999999998</c:v>
                </c:pt>
                <c:pt idx="6">
                  <c:v>0.40200000000000002</c:v>
                </c:pt>
                <c:pt idx="7">
                  <c:v>0.38300000000000001</c:v>
                </c:pt>
                <c:pt idx="8">
                  <c:v>0.35</c:v>
                </c:pt>
                <c:pt idx="9">
                  <c:v>0.313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59A-428C-AF4A-D0812F2EAC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4281224"/>
        <c:axId val="614280568"/>
      </c:scatterChart>
      <c:valAx>
        <c:axId val="614281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280568"/>
        <c:crosses val="autoZero"/>
        <c:crossBetween val="midCat"/>
      </c:valAx>
      <c:valAx>
        <c:axId val="614280568"/>
        <c:scaling>
          <c:orientation val="minMax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281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Stagewise distribution of Pressure Ratio</a:t>
            </a:r>
          </a:p>
        </c:rich>
      </c:tx>
      <c:layout>
        <c:manualLayout>
          <c:xMode val="edge"/>
          <c:yMode val="edge"/>
          <c:x val="0.25213834381813383"/>
          <c:y val="4.1573858133534855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Plots!$B$137:$B$146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Plots!$C$137:$C$146</c:f>
              <c:numCache>
                <c:formatCode>General</c:formatCode>
                <c:ptCount val="10"/>
                <c:pt idx="0">
                  <c:v>1.6910000000000001</c:v>
                </c:pt>
                <c:pt idx="1">
                  <c:v>1.5740000000000001</c:v>
                </c:pt>
                <c:pt idx="2">
                  <c:v>1.482</c:v>
                </c:pt>
                <c:pt idx="3">
                  <c:v>1.419</c:v>
                </c:pt>
                <c:pt idx="4">
                  <c:v>1.3680000000000001</c:v>
                </c:pt>
                <c:pt idx="5">
                  <c:v>1.2909999999999999</c:v>
                </c:pt>
                <c:pt idx="6">
                  <c:v>1.278</c:v>
                </c:pt>
                <c:pt idx="7">
                  <c:v>1.2709999999999999</c:v>
                </c:pt>
                <c:pt idx="8">
                  <c:v>1.258</c:v>
                </c:pt>
                <c:pt idx="9">
                  <c:v>1.238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004-465D-B0FB-61D62E1009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4281224"/>
        <c:axId val="614280568"/>
      </c:scatterChart>
      <c:valAx>
        <c:axId val="614281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280568"/>
        <c:crosses val="autoZero"/>
        <c:crossBetween val="midCat"/>
      </c:valAx>
      <c:valAx>
        <c:axId val="614280568"/>
        <c:scaling>
          <c:orientation val="minMax"/>
          <c:min val="1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281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Stagewise distribution of adjusted</a:t>
            </a:r>
            <a:r>
              <a:rPr lang="en-US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Pressure Ratio</a:t>
            </a:r>
          </a:p>
        </c:rich>
      </c:tx>
      <c:layout>
        <c:manualLayout>
          <c:xMode val="edge"/>
          <c:yMode val="edge"/>
          <c:x val="0.25213834381813383"/>
          <c:y val="4.1573858133534855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PR</c:v>
          </c:tx>
          <c:spPr>
            <a:ln w="190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5000"/>
                </a:schemeClr>
              </a:solidFill>
              <a:ln w="9525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xVal>
            <c:numRef>
              <c:f>Plots!$B$150:$B$159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Plots!$C$150:$C$159</c:f>
              <c:numCache>
                <c:formatCode>0.000</c:formatCode>
                <c:ptCount val="10"/>
                <c:pt idx="0">
                  <c:v>1.677</c:v>
                </c:pt>
                <c:pt idx="1">
                  <c:v>1.5609999999999999</c:v>
                </c:pt>
                <c:pt idx="2">
                  <c:v>1.4692833525833906</c:v>
                </c:pt>
                <c:pt idx="3">
                  <c:v>1.4068239388096029</c:v>
                </c:pt>
                <c:pt idx="4">
                  <c:v>1.3562615562308222</c:v>
                </c:pt>
                <c:pt idx="5">
                  <c:v>1.2799222727295259</c:v>
                </c:pt>
                <c:pt idx="6">
                  <c:v>1.267033822268268</c:v>
                </c:pt>
                <c:pt idx="7">
                  <c:v>1.2609999999999999</c:v>
                </c:pt>
                <c:pt idx="8">
                  <c:v>1.248</c:v>
                </c:pt>
                <c:pt idx="9">
                  <c:v>1.228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468-4FFF-B332-55958F6B2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4281224"/>
        <c:axId val="614280568"/>
      </c:scatterChart>
      <c:valAx>
        <c:axId val="614281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280568"/>
        <c:crosses val="autoZero"/>
        <c:crossBetween val="midCat"/>
      </c:valAx>
      <c:valAx>
        <c:axId val="614280568"/>
        <c:scaling>
          <c:orientation val="minMax"/>
          <c:min val="1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281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'Compressor Map'!$B$2:$C$2</c:f>
              <c:strCache>
                <c:ptCount val="1"/>
                <c:pt idx="0">
                  <c:v>102.5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'Compressor Map'!$B$4:$B$6</c:f>
              <c:numCache>
                <c:formatCode>General</c:formatCode>
                <c:ptCount val="3"/>
                <c:pt idx="0">
                  <c:v>57.71</c:v>
                </c:pt>
                <c:pt idx="1">
                  <c:v>57.81</c:v>
                </c:pt>
                <c:pt idx="2">
                  <c:v>57.86</c:v>
                </c:pt>
              </c:numCache>
            </c:numRef>
          </c:xVal>
          <c:yVal>
            <c:numRef>
              <c:f>'Compressor Map'!$C$4:$C$6</c:f>
              <c:numCache>
                <c:formatCode>General</c:formatCode>
                <c:ptCount val="3"/>
                <c:pt idx="0">
                  <c:v>26.76</c:v>
                </c:pt>
                <c:pt idx="1">
                  <c:v>25.29</c:v>
                </c:pt>
                <c:pt idx="2">
                  <c:v>24.45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CC-4AED-AD73-96D42385233C}"/>
            </c:ext>
          </c:extLst>
        </c:ser>
        <c:ser>
          <c:idx val="1"/>
          <c:order val="1"/>
          <c:tx>
            <c:strRef>
              <c:f>'Compressor Map'!$B$9:$C$9</c:f>
              <c:strCache>
                <c:ptCount val="1"/>
                <c:pt idx="0">
                  <c:v>100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'Compressor Map'!$B$11:$B$16</c:f>
              <c:numCache>
                <c:formatCode>General</c:formatCode>
                <c:ptCount val="6"/>
                <c:pt idx="0">
                  <c:v>54.62</c:v>
                </c:pt>
                <c:pt idx="1">
                  <c:v>55</c:v>
                </c:pt>
                <c:pt idx="2">
                  <c:v>55.24</c:v>
                </c:pt>
                <c:pt idx="3">
                  <c:v>55.14</c:v>
                </c:pt>
                <c:pt idx="4">
                  <c:v>55</c:v>
                </c:pt>
                <c:pt idx="5">
                  <c:v>55.14</c:v>
                </c:pt>
              </c:numCache>
            </c:numRef>
          </c:xVal>
          <c:yVal>
            <c:numRef>
              <c:f>'Compressor Map'!$C$11:$C$16</c:f>
              <c:numCache>
                <c:formatCode>General</c:formatCode>
                <c:ptCount val="6"/>
                <c:pt idx="0">
                  <c:v>26.09</c:v>
                </c:pt>
                <c:pt idx="1">
                  <c:v>24.79</c:v>
                </c:pt>
                <c:pt idx="2">
                  <c:v>23.32</c:v>
                </c:pt>
                <c:pt idx="3">
                  <c:v>22.73</c:v>
                </c:pt>
                <c:pt idx="4">
                  <c:v>21.3</c:v>
                </c:pt>
                <c:pt idx="5">
                  <c:v>20.29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CC-4AED-AD73-96D42385233C}"/>
            </c:ext>
          </c:extLst>
        </c:ser>
        <c:ser>
          <c:idx val="2"/>
          <c:order val="2"/>
          <c:tx>
            <c:strRef>
              <c:f>'Compressor Map'!$B$19:$C$19</c:f>
              <c:strCache>
                <c:ptCount val="1"/>
                <c:pt idx="0">
                  <c:v>99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'Compressor Map'!$B$21:$B$24</c:f>
              <c:numCache>
                <c:formatCode>General</c:formatCode>
                <c:ptCount val="4"/>
                <c:pt idx="0">
                  <c:v>52</c:v>
                </c:pt>
                <c:pt idx="1">
                  <c:v>52.85</c:v>
                </c:pt>
                <c:pt idx="2">
                  <c:v>53.05</c:v>
                </c:pt>
                <c:pt idx="3">
                  <c:v>53</c:v>
                </c:pt>
              </c:numCache>
            </c:numRef>
          </c:xVal>
          <c:yVal>
            <c:numRef>
              <c:f>'Compressor Map'!$C$21:$C$24</c:f>
              <c:numCache>
                <c:formatCode>General</c:formatCode>
                <c:ptCount val="4"/>
                <c:pt idx="0">
                  <c:v>24.79</c:v>
                </c:pt>
                <c:pt idx="1">
                  <c:v>23.57</c:v>
                </c:pt>
                <c:pt idx="2">
                  <c:v>22.31</c:v>
                </c:pt>
                <c:pt idx="3">
                  <c:v>21.76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FCC-4AED-AD73-96D42385233C}"/>
            </c:ext>
          </c:extLst>
        </c:ser>
        <c:ser>
          <c:idx val="3"/>
          <c:order val="3"/>
          <c:tx>
            <c:strRef>
              <c:f>'Compressor Map'!$E$2:$F$2</c:f>
              <c:strCache>
                <c:ptCount val="1"/>
                <c:pt idx="0">
                  <c:v>97.5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'Compressor Map'!$E$4:$E$9</c:f>
              <c:numCache>
                <c:formatCode>General</c:formatCode>
                <c:ptCount val="6"/>
                <c:pt idx="0">
                  <c:v>48.05</c:v>
                </c:pt>
                <c:pt idx="1">
                  <c:v>48.52</c:v>
                </c:pt>
                <c:pt idx="2">
                  <c:v>49.38</c:v>
                </c:pt>
                <c:pt idx="3">
                  <c:v>49.38</c:v>
                </c:pt>
                <c:pt idx="4">
                  <c:v>49.28</c:v>
                </c:pt>
                <c:pt idx="5">
                  <c:v>49.38</c:v>
                </c:pt>
              </c:numCache>
            </c:numRef>
          </c:xVal>
          <c:yVal>
            <c:numRef>
              <c:f>'Compressor Map'!$F$4:$F$9</c:f>
              <c:numCache>
                <c:formatCode>General</c:formatCode>
                <c:ptCount val="6"/>
                <c:pt idx="0">
                  <c:v>22.1</c:v>
                </c:pt>
                <c:pt idx="1">
                  <c:v>21.55</c:v>
                </c:pt>
                <c:pt idx="2">
                  <c:v>20.46</c:v>
                </c:pt>
                <c:pt idx="3">
                  <c:v>19.79</c:v>
                </c:pt>
                <c:pt idx="4">
                  <c:v>18.57</c:v>
                </c:pt>
                <c:pt idx="5">
                  <c:v>17.77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FCC-4AED-AD73-96D42385233C}"/>
            </c:ext>
          </c:extLst>
        </c:ser>
        <c:ser>
          <c:idx val="4"/>
          <c:order val="4"/>
          <c:tx>
            <c:strRef>
              <c:f>'Compressor Map'!$E$12:$F$12</c:f>
              <c:strCache>
                <c:ptCount val="1"/>
                <c:pt idx="0">
                  <c:v>95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'Compressor Map'!$E$14:$E$16</c:f>
              <c:numCache>
                <c:formatCode>General</c:formatCode>
                <c:ptCount val="3"/>
                <c:pt idx="0">
                  <c:v>41.71</c:v>
                </c:pt>
                <c:pt idx="1">
                  <c:v>43</c:v>
                </c:pt>
                <c:pt idx="2">
                  <c:v>43.1</c:v>
                </c:pt>
              </c:numCache>
            </c:numRef>
          </c:xVal>
          <c:yVal>
            <c:numRef>
              <c:f>'Compressor Map'!$F$14:$F$16</c:f>
              <c:numCache>
                <c:formatCode>General</c:formatCode>
                <c:ptCount val="3"/>
                <c:pt idx="0">
                  <c:v>18.87</c:v>
                </c:pt>
                <c:pt idx="1">
                  <c:v>17.440000000000001</c:v>
                </c:pt>
                <c:pt idx="2">
                  <c:v>16.93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FCC-4AED-AD73-96D42385233C}"/>
            </c:ext>
          </c:extLst>
        </c:ser>
        <c:ser>
          <c:idx val="5"/>
          <c:order val="5"/>
          <c:tx>
            <c:strRef>
              <c:f>'Compressor Map'!$E$19:$F$19</c:f>
              <c:strCache>
                <c:ptCount val="1"/>
                <c:pt idx="0">
                  <c:v>92.5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'Compressor Map'!$E$21:$E$24</c:f>
              <c:numCache>
                <c:formatCode>General</c:formatCode>
                <c:ptCount val="4"/>
                <c:pt idx="0">
                  <c:v>34.76</c:v>
                </c:pt>
                <c:pt idx="1">
                  <c:v>35.520000000000003</c:v>
                </c:pt>
                <c:pt idx="2">
                  <c:v>36.67</c:v>
                </c:pt>
                <c:pt idx="3">
                  <c:v>36.9</c:v>
                </c:pt>
              </c:numCache>
            </c:numRef>
          </c:xVal>
          <c:yVal>
            <c:numRef>
              <c:f>'Compressor Map'!$F$21:$F$24</c:f>
              <c:numCache>
                <c:formatCode>General</c:formatCode>
                <c:ptCount val="4"/>
                <c:pt idx="0">
                  <c:v>15.42</c:v>
                </c:pt>
                <c:pt idx="1">
                  <c:v>14.83</c:v>
                </c:pt>
                <c:pt idx="2">
                  <c:v>13.4</c:v>
                </c:pt>
                <c:pt idx="3">
                  <c:v>12.69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FCC-4AED-AD73-96D4238523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3909984"/>
        <c:axId val="543912280"/>
      </c:scatterChart>
      <c:valAx>
        <c:axId val="543909984"/>
        <c:scaling>
          <c:orientation val="minMax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912280"/>
        <c:crosses val="autoZero"/>
        <c:crossBetween val="midCat"/>
      </c:valAx>
      <c:valAx>
        <c:axId val="543912280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909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Exit Total Temperature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OTAC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'ds Manual Calculations'!$AV$28:$AV$39</c:f>
              <c:numCache>
                <c:formatCode>General</c:formatCode>
                <c:ptCount val="12"/>
                <c:pt idx="0">
                  <c:v>8.7799999999999994</c:v>
                </c:pt>
                <c:pt idx="1">
                  <c:v>9.2439999999999998</c:v>
                </c:pt>
                <c:pt idx="2">
                  <c:v>9.6780000000000008</c:v>
                </c:pt>
                <c:pt idx="3">
                  <c:v>10.093</c:v>
                </c:pt>
                <c:pt idx="4">
                  <c:v>10.494999999999999</c:v>
                </c:pt>
                <c:pt idx="5">
                  <c:v>10.885999999999999</c:v>
                </c:pt>
                <c:pt idx="6">
                  <c:v>11.268000000000001</c:v>
                </c:pt>
                <c:pt idx="7">
                  <c:v>11.644</c:v>
                </c:pt>
                <c:pt idx="8">
                  <c:v>12.013999999999999</c:v>
                </c:pt>
                <c:pt idx="9">
                  <c:v>12.38</c:v>
                </c:pt>
                <c:pt idx="10">
                  <c:v>12.744999999999999</c:v>
                </c:pt>
                <c:pt idx="11">
                  <c:v>13.118</c:v>
                </c:pt>
              </c:numCache>
            </c:numRef>
          </c:xVal>
          <c:yVal>
            <c:numRef>
              <c:f>'ds Manual Calculations'!$M$28:$M$39</c:f>
              <c:numCache>
                <c:formatCode>General</c:formatCode>
                <c:ptCount val="12"/>
                <c:pt idx="0">
                  <c:v>652.76</c:v>
                </c:pt>
                <c:pt idx="1">
                  <c:v>649.48</c:v>
                </c:pt>
                <c:pt idx="2">
                  <c:v>647.16999999999996</c:v>
                </c:pt>
                <c:pt idx="3">
                  <c:v>645.88</c:v>
                </c:pt>
                <c:pt idx="4">
                  <c:v>645.41999999999996</c:v>
                </c:pt>
                <c:pt idx="5">
                  <c:v>645.38</c:v>
                </c:pt>
                <c:pt idx="6">
                  <c:v>645.54</c:v>
                </c:pt>
                <c:pt idx="7">
                  <c:v>645.97</c:v>
                </c:pt>
                <c:pt idx="8">
                  <c:v>647.39</c:v>
                </c:pt>
                <c:pt idx="9">
                  <c:v>649.72</c:v>
                </c:pt>
                <c:pt idx="10">
                  <c:v>654.1</c:v>
                </c:pt>
                <c:pt idx="11">
                  <c:v>666.81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15D-4597-92BA-769F18AB6B87}"/>
            </c:ext>
          </c:extLst>
        </c:ser>
        <c:ser>
          <c:idx val="1"/>
          <c:order val="1"/>
          <c:tx>
            <c:v>E3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'ds Manual Calculations'!$N$28:$N$39</c:f>
              <c:numCache>
                <c:formatCode>0.000</c:formatCode>
                <c:ptCount val="12"/>
                <c:pt idx="0">
                  <c:v>13.3082867782893</c:v>
                </c:pt>
                <c:pt idx="1">
                  <c:v>12.95908401020438</c:v>
                </c:pt>
                <c:pt idx="2">
                  <c:v>12.626022520012901</c:v>
                </c:pt>
                <c:pt idx="3">
                  <c:v>12.190601706594727</c:v>
                </c:pt>
                <c:pt idx="4">
                  <c:v>11.754393513767116</c:v>
                </c:pt>
                <c:pt idx="5">
                  <c:v>11.312279975368735</c:v>
                </c:pt>
                <c:pt idx="6">
                  <c:v>10.86071788405712</c:v>
                </c:pt>
                <c:pt idx="7">
                  <c:v>10.395376653080374</c:v>
                </c:pt>
                <c:pt idx="8">
                  <c:v>9.910744626572443</c:v>
                </c:pt>
                <c:pt idx="9">
                  <c:v>9.3993417001436814</c:v>
                </c:pt>
                <c:pt idx="10">
                  <c:v>8.8438455267864988</c:v>
                </c:pt>
                <c:pt idx="11">
                  <c:v>8.5403107644488756</c:v>
                </c:pt>
              </c:numCache>
            </c:numRef>
          </c:xVal>
          <c:yVal>
            <c:numRef>
              <c:f>'ds Manual Calculations'!$F$28:$F$39</c:f>
              <c:numCache>
                <c:formatCode>General</c:formatCode>
                <c:ptCount val="12"/>
                <c:pt idx="0">
                  <c:v>672.43767000000003</c:v>
                </c:pt>
                <c:pt idx="1">
                  <c:v>656.60335999999995</c:v>
                </c:pt>
                <c:pt idx="2">
                  <c:v>648.38486</c:v>
                </c:pt>
                <c:pt idx="3">
                  <c:v>644.38518999999997</c:v>
                </c:pt>
                <c:pt idx="4">
                  <c:v>643.01544000000001</c:v>
                </c:pt>
                <c:pt idx="5">
                  <c:v>642.96064999999999</c:v>
                </c:pt>
                <c:pt idx="6">
                  <c:v>643.45375999999999</c:v>
                </c:pt>
                <c:pt idx="7">
                  <c:v>645.20704000000001</c:v>
                </c:pt>
                <c:pt idx="8">
                  <c:v>647.89175</c:v>
                </c:pt>
                <c:pt idx="9">
                  <c:v>652.98721999999998</c:v>
                </c:pt>
                <c:pt idx="10">
                  <c:v>661.53445999999997</c:v>
                </c:pt>
                <c:pt idx="11">
                  <c:v>667.89009999999996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15D-4597-92BA-769F18AB6B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167983"/>
        <c:axId val="1661160911"/>
      </c:scatterChart>
      <c:valAx>
        <c:axId val="1661167983"/>
        <c:scaling>
          <c:orientation val="minMax"/>
          <c:min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60911"/>
        <c:crosses val="autoZero"/>
        <c:crossBetween val="midCat"/>
      </c:valAx>
      <c:valAx>
        <c:axId val="166116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679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Exit Total Temperature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OTAC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'ds Manual Calculations'!$AV$41:$AV$52</c:f>
              <c:numCache>
                <c:formatCode>General</c:formatCode>
                <c:ptCount val="12"/>
                <c:pt idx="0">
                  <c:v>9.4779999999999998</c:v>
                </c:pt>
                <c:pt idx="1">
                  <c:v>9.8190000000000008</c:v>
                </c:pt>
                <c:pt idx="2">
                  <c:v>10.138</c:v>
                </c:pt>
                <c:pt idx="3">
                  <c:v>10.445</c:v>
                </c:pt>
                <c:pt idx="4">
                  <c:v>10.746</c:v>
                </c:pt>
                <c:pt idx="5">
                  <c:v>11.044</c:v>
                </c:pt>
                <c:pt idx="6">
                  <c:v>11.340999999999999</c:v>
                </c:pt>
                <c:pt idx="7">
                  <c:v>11.638</c:v>
                </c:pt>
                <c:pt idx="8">
                  <c:v>11.936999999999999</c:v>
                </c:pt>
                <c:pt idx="9">
                  <c:v>12.239000000000001</c:v>
                </c:pt>
                <c:pt idx="10">
                  <c:v>12.554</c:v>
                </c:pt>
                <c:pt idx="11">
                  <c:v>12.916</c:v>
                </c:pt>
              </c:numCache>
            </c:numRef>
          </c:xVal>
          <c:yVal>
            <c:numRef>
              <c:f>'ds Manual Calculations'!$M$41:$M$52</c:f>
              <c:numCache>
                <c:formatCode>General</c:formatCode>
                <c:ptCount val="12"/>
                <c:pt idx="0">
                  <c:v>755.83</c:v>
                </c:pt>
                <c:pt idx="1">
                  <c:v>750.12</c:v>
                </c:pt>
                <c:pt idx="2">
                  <c:v>746.33</c:v>
                </c:pt>
                <c:pt idx="3">
                  <c:v>744.45</c:v>
                </c:pt>
                <c:pt idx="4">
                  <c:v>743.8</c:v>
                </c:pt>
                <c:pt idx="5">
                  <c:v>743.77</c:v>
                </c:pt>
                <c:pt idx="6">
                  <c:v>744.21</c:v>
                </c:pt>
                <c:pt idx="7">
                  <c:v>745</c:v>
                </c:pt>
                <c:pt idx="8">
                  <c:v>747.16</c:v>
                </c:pt>
                <c:pt idx="9">
                  <c:v>751.07</c:v>
                </c:pt>
                <c:pt idx="10">
                  <c:v>757.64</c:v>
                </c:pt>
                <c:pt idx="11">
                  <c:v>774.33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C04-43D9-9309-221AE5041B0C}"/>
            </c:ext>
          </c:extLst>
        </c:ser>
        <c:ser>
          <c:idx val="1"/>
          <c:order val="1"/>
          <c:tx>
            <c:v>e3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'ds Manual Calculations'!$N$41:$N$52</c:f>
              <c:numCache>
                <c:formatCode>General</c:formatCode>
                <c:ptCount val="12"/>
                <c:pt idx="0">
                  <c:v>13.117000000000001</c:v>
                </c:pt>
                <c:pt idx="1">
                  <c:v>12.792999999999999</c:v>
                </c:pt>
                <c:pt idx="2">
                  <c:v>12.506</c:v>
                </c:pt>
                <c:pt idx="3">
                  <c:v>12.141</c:v>
                </c:pt>
                <c:pt idx="4">
                  <c:v>11.78</c:v>
                </c:pt>
                <c:pt idx="5">
                  <c:v>11.417999999999999</c:v>
                </c:pt>
                <c:pt idx="6">
                  <c:v>11.054</c:v>
                </c:pt>
                <c:pt idx="7">
                  <c:v>10.686</c:v>
                </c:pt>
                <c:pt idx="8">
                  <c:v>10.311</c:v>
                </c:pt>
                <c:pt idx="9">
                  <c:v>9.9269999999999996</c:v>
                </c:pt>
                <c:pt idx="10">
                  <c:v>9.5190000000000001</c:v>
                </c:pt>
                <c:pt idx="11">
                  <c:v>9.3010000000000002</c:v>
                </c:pt>
              </c:numCache>
            </c:numRef>
          </c:xVal>
          <c:yVal>
            <c:numRef>
              <c:f>'ds Manual Calculations'!$F$41:$F$52</c:f>
              <c:numCache>
                <c:formatCode>General</c:formatCode>
                <c:ptCount val="12"/>
                <c:pt idx="0">
                  <c:v>781.96287999999993</c:v>
                </c:pt>
                <c:pt idx="1">
                  <c:v>761.25225999999998</c:v>
                </c:pt>
                <c:pt idx="2">
                  <c:v>750.07510000000002</c:v>
                </c:pt>
                <c:pt idx="3">
                  <c:v>743.82903999999996</c:v>
                </c:pt>
                <c:pt idx="4">
                  <c:v>741.63743999999997</c:v>
                </c:pt>
                <c:pt idx="5">
                  <c:v>741.19911999999999</c:v>
                </c:pt>
                <c:pt idx="6">
                  <c:v>741.52785999999992</c:v>
                </c:pt>
                <c:pt idx="7">
                  <c:v>743.55508999999995</c:v>
                </c:pt>
                <c:pt idx="8">
                  <c:v>746.89727999999991</c:v>
                </c:pt>
                <c:pt idx="9">
                  <c:v>753.69123999999988</c:v>
                </c:pt>
                <c:pt idx="10">
                  <c:v>765.69024999999999</c:v>
                </c:pt>
                <c:pt idx="11">
                  <c:v>774.45664999999997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C04-43D9-9309-221AE5041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167983"/>
        <c:axId val="1661160911"/>
      </c:scatterChart>
      <c:valAx>
        <c:axId val="1661167983"/>
        <c:scaling>
          <c:orientation val="minMax"/>
          <c:min val="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60911"/>
        <c:crosses val="autoZero"/>
        <c:crossBetween val="midCat"/>
      </c:valAx>
      <c:valAx>
        <c:axId val="166116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679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Exit Total Temperature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OTAC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'ds Manual Calculations'!$AV$54:$AV$65</c:f>
              <c:numCache>
                <c:formatCode>General</c:formatCode>
                <c:ptCount val="12"/>
                <c:pt idx="0">
                  <c:v>9.8179999999999996</c:v>
                </c:pt>
                <c:pt idx="1">
                  <c:v>10.125999999999999</c:v>
                </c:pt>
                <c:pt idx="2">
                  <c:v>10.417</c:v>
                </c:pt>
                <c:pt idx="3">
                  <c:v>10.698</c:v>
                </c:pt>
                <c:pt idx="4">
                  <c:v>10.973000000000001</c:v>
                </c:pt>
                <c:pt idx="5">
                  <c:v>11.243</c:v>
                </c:pt>
                <c:pt idx="6">
                  <c:v>11.510999999999999</c:v>
                </c:pt>
                <c:pt idx="7">
                  <c:v>11.776</c:v>
                </c:pt>
                <c:pt idx="8">
                  <c:v>12.039</c:v>
                </c:pt>
                <c:pt idx="9">
                  <c:v>12.302</c:v>
                </c:pt>
                <c:pt idx="10">
                  <c:v>12.566000000000001</c:v>
                </c:pt>
                <c:pt idx="11">
                  <c:v>12.84</c:v>
                </c:pt>
              </c:numCache>
            </c:numRef>
          </c:xVal>
          <c:yVal>
            <c:numRef>
              <c:f>'ds Manual Calculations'!$M$54:$M$65</c:f>
              <c:numCache>
                <c:formatCode>General</c:formatCode>
                <c:ptCount val="12"/>
                <c:pt idx="0">
                  <c:v>755.83</c:v>
                </c:pt>
                <c:pt idx="1">
                  <c:v>750.12</c:v>
                </c:pt>
                <c:pt idx="2">
                  <c:v>746.33</c:v>
                </c:pt>
                <c:pt idx="3">
                  <c:v>744.45</c:v>
                </c:pt>
                <c:pt idx="4">
                  <c:v>743.8</c:v>
                </c:pt>
                <c:pt idx="5">
                  <c:v>743.77</c:v>
                </c:pt>
                <c:pt idx="6">
                  <c:v>744.21</c:v>
                </c:pt>
                <c:pt idx="7">
                  <c:v>745</c:v>
                </c:pt>
                <c:pt idx="8">
                  <c:v>747.16</c:v>
                </c:pt>
                <c:pt idx="9">
                  <c:v>751.07</c:v>
                </c:pt>
                <c:pt idx="10">
                  <c:v>757.64</c:v>
                </c:pt>
                <c:pt idx="11">
                  <c:v>774.33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E3F-48E0-821C-4943CEF08CB6}"/>
            </c:ext>
          </c:extLst>
        </c:ser>
        <c:ser>
          <c:idx val="1"/>
          <c:order val="1"/>
          <c:tx>
            <c:v>E3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'ds Manual Calculations'!$N$54:$N$65</c:f>
              <c:numCache>
                <c:formatCode>0.000</c:formatCode>
                <c:ptCount val="12"/>
                <c:pt idx="0">
                  <c:v>12.981</c:v>
                </c:pt>
                <c:pt idx="1">
                  <c:v>12.721</c:v>
                </c:pt>
                <c:pt idx="2">
                  <c:v>12.477</c:v>
                </c:pt>
                <c:pt idx="3">
                  <c:v>12.16</c:v>
                </c:pt>
                <c:pt idx="4">
                  <c:v>11.846</c:v>
                </c:pt>
                <c:pt idx="5">
                  <c:v>11.53</c:v>
                </c:pt>
                <c:pt idx="6">
                  <c:v>11.21</c:v>
                </c:pt>
                <c:pt idx="7">
                  <c:v>10.887</c:v>
                </c:pt>
                <c:pt idx="8">
                  <c:v>10.557</c:v>
                </c:pt>
                <c:pt idx="9">
                  <c:v>10.217000000000001</c:v>
                </c:pt>
                <c:pt idx="10">
                  <c:v>9.8550000000000004</c:v>
                </c:pt>
                <c:pt idx="11">
                  <c:v>9.66</c:v>
                </c:pt>
              </c:numCache>
            </c:numRef>
          </c:xVal>
          <c:yVal>
            <c:numRef>
              <c:f>'ds Manual Calculations'!$F$54:$F$65</c:f>
              <c:numCache>
                <c:formatCode>General</c:formatCode>
                <c:ptCount val="12"/>
                <c:pt idx="0">
                  <c:v>782.01766999999995</c:v>
                </c:pt>
                <c:pt idx="1">
                  <c:v>761.30704999999989</c:v>
                </c:pt>
                <c:pt idx="2">
                  <c:v>750.02030999999999</c:v>
                </c:pt>
                <c:pt idx="3">
                  <c:v>743.82903999999996</c:v>
                </c:pt>
                <c:pt idx="4">
                  <c:v>741.58264999999994</c:v>
                </c:pt>
                <c:pt idx="5">
                  <c:v>741.14432999999997</c:v>
                </c:pt>
                <c:pt idx="6">
                  <c:v>741.52785999999992</c:v>
                </c:pt>
                <c:pt idx="7">
                  <c:v>743.55508999999995</c:v>
                </c:pt>
                <c:pt idx="8">
                  <c:v>746.84249</c:v>
                </c:pt>
                <c:pt idx="9">
                  <c:v>753.69123999999988</c:v>
                </c:pt>
                <c:pt idx="10">
                  <c:v>765.7450399999999</c:v>
                </c:pt>
                <c:pt idx="11">
                  <c:v>774.51143999999999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E3F-48E0-821C-4943CEF08C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167983"/>
        <c:axId val="1661160911"/>
      </c:scatterChart>
      <c:valAx>
        <c:axId val="1661167983"/>
        <c:scaling>
          <c:orientation val="minMax"/>
          <c:min val="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60911"/>
        <c:crosses val="autoZero"/>
        <c:crossBetween val="midCat"/>
      </c:valAx>
      <c:valAx>
        <c:axId val="166116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679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Exit Total Temperature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OTAC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'ds Manual Calculations'!$AV$67:$AV$78</c:f>
              <c:numCache>
                <c:formatCode>General</c:formatCode>
                <c:ptCount val="12"/>
                <c:pt idx="0">
                  <c:v>10.177</c:v>
                </c:pt>
                <c:pt idx="1">
                  <c:v>10.436</c:v>
                </c:pt>
                <c:pt idx="2">
                  <c:v>10.672000000000001</c:v>
                </c:pt>
                <c:pt idx="3">
                  <c:v>10.898</c:v>
                </c:pt>
                <c:pt idx="4">
                  <c:v>11.118</c:v>
                </c:pt>
                <c:pt idx="5">
                  <c:v>11.335000000000001</c:v>
                </c:pt>
                <c:pt idx="6">
                  <c:v>11.55</c:v>
                </c:pt>
                <c:pt idx="7">
                  <c:v>11.765000000000001</c:v>
                </c:pt>
                <c:pt idx="8">
                  <c:v>11.981</c:v>
                </c:pt>
                <c:pt idx="9">
                  <c:v>12.199</c:v>
                </c:pt>
                <c:pt idx="10">
                  <c:v>12.426</c:v>
                </c:pt>
                <c:pt idx="11">
                  <c:v>12.688000000000001</c:v>
                </c:pt>
              </c:numCache>
            </c:numRef>
          </c:xVal>
          <c:yVal>
            <c:numRef>
              <c:f>'ds Manual Calculations'!$M$67:$M$78</c:f>
              <c:numCache>
                <c:formatCode>General</c:formatCode>
                <c:ptCount val="12"/>
                <c:pt idx="0">
                  <c:v>856.89</c:v>
                </c:pt>
                <c:pt idx="1">
                  <c:v>848.66</c:v>
                </c:pt>
                <c:pt idx="2">
                  <c:v>843.58</c:v>
                </c:pt>
                <c:pt idx="3">
                  <c:v>841.03</c:v>
                </c:pt>
                <c:pt idx="4">
                  <c:v>839.89</c:v>
                </c:pt>
                <c:pt idx="5">
                  <c:v>839.85</c:v>
                </c:pt>
                <c:pt idx="6">
                  <c:v>840.39</c:v>
                </c:pt>
                <c:pt idx="7">
                  <c:v>841.58</c:v>
                </c:pt>
                <c:pt idx="8">
                  <c:v>844.52</c:v>
                </c:pt>
                <c:pt idx="9">
                  <c:v>849.92</c:v>
                </c:pt>
                <c:pt idx="10">
                  <c:v>858.77</c:v>
                </c:pt>
                <c:pt idx="11">
                  <c:v>879.47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C3B-4A8A-B0D6-2D7AF413F0D4}"/>
            </c:ext>
          </c:extLst>
        </c:ser>
        <c:ser>
          <c:idx val="1"/>
          <c:order val="1"/>
          <c:tx>
            <c:v>e3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'ds Manual Calculations'!$N$67:$N$78</c:f>
              <c:numCache>
                <c:formatCode>0.000</c:formatCode>
                <c:ptCount val="12"/>
                <c:pt idx="0">
                  <c:v>12.835000000000001</c:v>
                </c:pt>
                <c:pt idx="1">
                  <c:v>12.590999999999999</c:v>
                </c:pt>
                <c:pt idx="2">
                  <c:v>12.377000000000001</c:v>
                </c:pt>
                <c:pt idx="3">
                  <c:v>12.11</c:v>
                </c:pt>
                <c:pt idx="4">
                  <c:v>11.848000000000001</c:v>
                </c:pt>
                <c:pt idx="5">
                  <c:v>11.586</c:v>
                </c:pt>
                <c:pt idx="6">
                  <c:v>11.321</c:v>
                </c:pt>
                <c:pt idx="7">
                  <c:v>11.054</c:v>
                </c:pt>
                <c:pt idx="8">
                  <c:v>10.785</c:v>
                </c:pt>
                <c:pt idx="9">
                  <c:v>10.507</c:v>
                </c:pt>
                <c:pt idx="10">
                  <c:v>10.208</c:v>
                </c:pt>
                <c:pt idx="11">
                  <c:v>10.041</c:v>
                </c:pt>
              </c:numCache>
            </c:numRef>
          </c:xVal>
          <c:yVal>
            <c:numRef>
              <c:f>'ds Manual Calculations'!$F$67:$F$78</c:f>
              <c:numCache>
                <c:formatCode>General</c:formatCode>
                <c:ptCount val="12"/>
                <c:pt idx="0">
                  <c:v>889.13211999999999</c:v>
                </c:pt>
                <c:pt idx="1">
                  <c:v>863.54519000000005</c:v>
                </c:pt>
                <c:pt idx="2">
                  <c:v>849.29979000000003</c:v>
                </c:pt>
                <c:pt idx="3">
                  <c:v>840.91691999999989</c:v>
                </c:pt>
                <c:pt idx="4">
                  <c:v>837.84867999999994</c:v>
                </c:pt>
                <c:pt idx="5">
                  <c:v>837.02683000000002</c:v>
                </c:pt>
                <c:pt idx="6">
                  <c:v>837.35556999999994</c:v>
                </c:pt>
                <c:pt idx="7">
                  <c:v>839.65674999999999</c:v>
                </c:pt>
                <c:pt idx="8">
                  <c:v>843.49205000000006</c:v>
                </c:pt>
                <c:pt idx="9">
                  <c:v>852.03928999999994</c:v>
                </c:pt>
                <c:pt idx="10">
                  <c:v>867.65443999999991</c:v>
                </c:pt>
                <c:pt idx="11">
                  <c:v>878.94118000000003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C3B-4A8A-B0D6-2D7AF413F0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167983"/>
        <c:axId val="1661160911"/>
      </c:scatterChart>
      <c:valAx>
        <c:axId val="1661167983"/>
        <c:scaling>
          <c:orientation val="minMax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60911"/>
        <c:crosses val="autoZero"/>
        <c:crossBetween val="midCat"/>
      </c:valAx>
      <c:valAx>
        <c:axId val="166116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679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Exit Total Temperature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OTAC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'ds Manual Calculations'!$AV$80:$AV$91</c:f>
              <c:numCache>
                <c:formatCode>General</c:formatCode>
                <c:ptCount val="12"/>
                <c:pt idx="0">
                  <c:v>10.362</c:v>
                </c:pt>
                <c:pt idx="1">
                  <c:v>10.583</c:v>
                </c:pt>
                <c:pt idx="2">
                  <c:v>10.792999999999999</c:v>
                </c:pt>
                <c:pt idx="3">
                  <c:v>10.997</c:v>
                </c:pt>
                <c:pt idx="4">
                  <c:v>11.198</c:v>
                </c:pt>
                <c:pt idx="5">
                  <c:v>11.397</c:v>
                </c:pt>
                <c:pt idx="6">
                  <c:v>11.595000000000001</c:v>
                </c:pt>
                <c:pt idx="7">
                  <c:v>11.792999999999999</c:v>
                </c:pt>
                <c:pt idx="8">
                  <c:v>11.99</c:v>
                </c:pt>
                <c:pt idx="9">
                  <c:v>12.188000000000001</c:v>
                </c:pt>
                <c:pt idx="10">
                  <c:v>12.387</c:v>
                </c:pt>
                <c:pt idx="11">
                  <c:v>12.595000000000001</c:v>
                </c:pt>
              </c:numCache>
            </c:numRef>
          </c:xVal>
          <c:yVal>
            <c:numRef>
              <c:f>'ds Manual Calculations'!$M$80:$M$91</c:f>
              <c:numCache>
                <c:formatCode>General</c:formatCode>
                <c:ptCount val="12"/>
                <c:pt idx="0">
                  <c:v>856.89</c:v>
                </c:pt>
                <c:pt idx="1">
                  <c:v>848.66</c:v>
                </c:pt>
                <c:pt idx="2">
                  <c:v>843.58</c:v>
                </c:pt>
                <c:pt idx="3">
                  <c:v>841.03</c:v>
                </c:pt>
                <c:pt idx="4">
                  <c:v>839.89</c:v>
                </c:pt>
                <c:pt idx="5">
                  <c:v>839.85</c:v>
                </c:pt>
                <c:pt idx="6">
                  <c:v>840.39</c:v>
                </c:pt>
                <c:pt idx="7">
                  <c:v>841.58</c:v>
                </c:pt>
                <c:pt idx="8">
                  <c:v>844.52</c:v>
                </c:pt>
                <c:pt idx="9">
                  <c:v>849.92</c:v>
                </c:pt>
                <c:pt idx="10">
                  <c:v>858.77</c:v>
                </c:pt>
                <c:pt idx="11">
                  <c:v>879.47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92-460C-8D10-D59A2ECFEE8D}"/>
            </c:ext>
          </c:extLst>
        </c:ser>
        <c:ser>
          <c:idx val="1"/>
          <c:order val="1"/>
          <c:tx>
            <c:v>E3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'ds Manual Calculations'!$N$80:$N$91</c:f>
              <c:numCache>
                <c:formatCode>General</c:formatCode>
                <c:ptCount val="12"/>
                <c:pt idx="0">
                  <c:v>12.702999999999999</c:v>
                </c:pt>
                <c:pt idx="1">
                  <c:v>12.500999999999999</c:v>
                </c:pt>
                <c:pt idx="2">
                  <c:v>12.317</c:v>
                </c:pt>
                <c:pt idx="3">
                  <c:v>12.08</c:v>
                </c:pt>
                <c:pt idx="4">
                  <c:v>11.846</c:v>
                </c:pt>
                <c:pt idx="5">
                  <c:v>11.611000000000001</c:v>
                </c:pt>
                <c:pt idx="6">
                  <c:v>11.375999999999999</c:v>
                </c:pt>
                <c:pt idx="7">
                  <c:v>11.138999999999999</c:v>
                </c:pt>
                <c:pt idx="8">
                  <c:v>10.898</c:v>
                </c:pt>
                <c:pt idx="9">
                  <c:v>10.651999999999999</c:v>
                </c:pt>
                <c:pt idx="10">
                  <c:v>10.39</c:v>
                </c:pt>
                <c:pt idx="11">
                  <c:v>10.247999999999999</c:v>
                </c:pt>
              </c:numCache>
            </c:numRef>
          </c:xVal>
          <c:yVal>
            <c:numRef>
              <c:f>'ds Manual Calculations'!$F$80:$F$91</c:f>
              <c:numCache>
                <c:formatCode>General</c:formatCode>
                <c:ptCount val="12"/>
                <c:pt idx="0">
                  <c:v>889.13211999999999</c:v>
                </c:pt>
                <c:pt idx="1">
                  <c:v>863.70956000000001</c:v>
                </c:pt>
                <c:pt idx="2">
                  <c:v>849.35457999999994</c:v>
                </c:pt>
                <c:pt idx="3">
                  <c:v>840.97170999999992</c:v>
                </c:pt>
                <c:pt idx="4">
                  <c:v>837.79388999999992</c:v>
                </c:pt>
                <c:pt idx="5">
                  <c:v>837.02683000000002</c:v>
                </c:pt>
                <c:pt idx="6">
                  <c:v>837.24599000000001</c:v>
                </c:pt>
                <c:pt idx="7">
                  <c:v>839.60195999999996</c:v>
                </c:pt>
                <c:pt idx="8">
                  <c:v>843.49205000000006</c:v>
                </c:pt>
                <c:pt idx="9">
                  <c:v>851.98449999999991</c:v>
                </c:pt>
                <c:pt idx="10">
                  <c:v>867.54485999999997</c:v>
                </c:pt>
                <c:pt idx="11">
                  <c:v>878.94118000000003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C92-460C-8D10-D59A2ECFE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167983"/>
        <c:axId val="1661160911"/>
      </c:scatterChart>
      <c:valAx>
        <c:axId val="1661167983"/>
        <c:scaling>
          <c:orientation val="minMax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60911"/>
        <c:crosses val="autoZero"/>
        <c:crossBetween val="midCat"/>
      </c:valAx>
      <c:valAx>
        <c:axId val="166116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679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Exit Total Temperature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OTAC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'ds Manual Calculations'!$AV$93:$AV$104</c:f>
              <c:numCache>
                <c:formatCode>General</c:formatCode>
                <c:ptCount val="12"/>
                <c:pt idx="0">
                  <c:v>10.528</c:v>
                </c:pt>
                <c:pt idx="1">
                  <c:v>10.725</c:v>
                </c:pt>
                <c:pt idx="2">
                  <c:v>10.901999999999999</c:v>
                </c:pt>
                <c:pt idx="3">
                  <c:v>11.071999999999999</c:v>
                </c:pt>
                <c:pt idx="4">
                  <c:v>11.239000000000001</c:v>
                </c:pt>
                <c:pt idx="5">
                  <c:v>11.404</c:v>
                </c:pt>
                <c:pt idx="6">
                  <c:v>11.57</c:v>
                </c:pt>
                <c:pt idx="7">
                  <c:v>11.734999999999999</c:v>
                </c:pt>
                <c:pt idx="8">
                  <c:v>11.901999999999999</c:v>
                </c:pt>
                <c:pt idx="9">
                  <c:v>12.071</c:v>
                </c:pt>
                <c:pt idx="10">
                  <c:v>12.247</c:v>
                </c:pt>
                <c:pt idx="11">
                  <c:v>12.455</c:v>
                </c:pt>
              </c:numCache>
            </c:numRef>
          </c:xVal>
          <c:yVal>
            <c:numRef>
              <c:f>'ds Manual Calculations'!$M$93:$M$104</c:f>
              <c:numCache>
                <c:formatCode>General</c:formatCode>
                <c:ptCount val="12"/>
                <c:pt idx="0">
                  <c:v>956.2</c:v>
                </c:pt>
                <c:pt idx="1">
                  <c:v>945.53</c:v>
                </c:pt>
                <c:pt idx="2">
                  <c:v>938.76</c:v>
                </c:pt>
                <c:pt idx="3">
                  <c:v>935.23</c:v>
                </c:pt>
                <c:pt idx="4">
                  <c:v>933.68</c:v>
                </c:pt>
                <c:pt idx="5">
                  <c:v>933.59</c:v>
                </c:pt>
                <c:pt idx="6">
                  <c:v>934.32</c:v>
                </c:pt>
                <c:pt idx="7">
                  <c:v>935.89</c:v>
                </c:pt>
                <c:pt idx="8">
                  <c:v>939.75</c:v>
                </c:pt>
                <c:pt idx="9">
                  <c:v>946.75</c:v>
                </c:pt>
                <c:pt idx="10">
                  <c:v>957.92</c:v>
                </c:pt>
                <c:pt idx="11">
                  <c:v>982.18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976-48F8-AD40-77CAAFEB84A3}"/>
            </c:ext>
          </c:extLst>
        </c:ser>
        <c:ser>
          <c:idx val="1"/>
          <c:order val="1"/>
          <c:tx>
            <c:v>E3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'ds Manual Calculations'!$N$93:$N$104</c:f>
              <c:numCache>
                <c:formatCode>General</c:formatCode>
                <c:ptCount val="12"/>
                <c:pt idx="0">
                  <c:v>12.571999999999999</c:v>
                </c:pt>
                <c:pt idx="1">
                  <c:v>12.377000000000001</c:v>
                </c:pt>
                <c:pt idx="2">
                  <c:v>12.21</c:v>
                </c:pt>
                <c:pt idx="3">
                  <c:v>12.002000000000001</c:v>
                </c:pt>
                <c:pt idx="4">
                  <c:v>11.798</c:v>
                </c:pt>
                <c:pt idx="5">
                  <c:v>11.595000000000001</c:v>
                </c:pt>
                <c:pt idx="6">
                  <c:v>11.391999999999999</c:v>
                </c:pt>
                <c:pt idx="7">
                  <c:v>11.189</c:v>
                </c:pt>
                <c:pt idx="8">
                  <c:v>10.984999999999999</c:v>
                </c:pt>
                <c:pt idx="9">
                  <c:v>10.776</c:v>
                </c:pt>
                <c:pt idx="10">
                  <c:v>10.551</c:v>
                </c:pt>
                <c:pt idx="11">
                  <c:v>10.422000000000001</c:v>
                </c:pt>
              </c:numCache>
            </c:numRef>
          </c:xVal>
          <c:yVal>
            <c:numRef>
              <c:f>'ds Manual Calculations'!$F$93:$F$104</c:f>
              <c:numCache>
                <c:formatCode>General</c:formatCode>
                <c:ptCount val="12"/>
                <c:pt idx="0">
                  <c:v>993.50706999999989</c:v>
                </c:pt>
                <c:pt idx="1">
                  <c:v>963.81088999999997</c:v>
                </c:pt>
                <c:pt idx="2">
                  <c:v>946.55203999999992</c:v>
                </c:pt>
                <c:pt idx="3">
                  <c:v>935.92277999999988</c:v>
                </c:pt>
                <c:pt idx="4">
                  <c:v>931.81353000000001</c:v>
                </c:pt>
                <c:pt idx="5">
                  <c:v>930.60814999999991</c:v>
                </c:pt>
                <c:pt idx="6">
                  <c:v>930.82731000000001</c:v>
                </c:pt>
                <c:pt idx="7">
                  <c:v>933.45722999999998</c:v>
                </c:pt>
                <c:pt idx="8">
                  <c:v>938.11437999999998</c:v>
                </c:pt>
                <c:pt idx="9">
                  <c:v>948.68885</c:v>
                </c:pt>
                <c:pt idx="10">
                  <c:v>967.70097999999996</c:v>
                </c:pt>
                <c:pt idx="11">
                  <c:v>981.56285000000003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976-48F8-AD40-77CAAFEB84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167983"/>
        <c:axId val="1661160911"/>
      </c:scatterChart>
      <c:valAx>
        <c:axId val="1661167983"/>
        <c:scaling>
          <c:orientation val="minMax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60911"/>
        <c:crosses val="autoZero"/>
        <c:crossBetween val="midCat"/>
      </c:valAx>
      <c:valAx>
        <c:axId val="166116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679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Exit Total Temperature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OTAC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'ds Manual Calculations'!$AV$106:$AV$117</c:f>
              <c:numCache>
                <c:formatCode>General</c:formatCode>
                <c:ptCount val="12"/>
                <c:pt idx="0">
                  <c:v>10.625</c:v>
                </c:pt>
                <c:pt idx="1">
                  <c:v>10.791</c:v>
                </c:pt>
                <c:pt idx="2">
                  <c:v>10.954000000000001</c:v>
                </c:pt>
                <c:pt idx="3">
                  <c:v>11.113</c:v>
                </c:pt>
                <c:pt idx="4">
                  <c:v>11.27</c:v>
                </c:pt>
                <c:pt idx="5">
                  <c:v>11.426</c:v>
                </c:pt>
                <c:pt idx="6">
                  <c:v>11.582000000000001</c:v>
                </c:pt>
                <c:pt idx="7">
                  <c:v>11.738</c:v>
                </c:pt>
                <c:pt idx="8">
                  <c:v>11.895</c:v>
                </c:pt>
                <c:pt idx="9">
                  <c:v>12.053000000000001</c:v>
                </c:pt>
                <c:pt idx="10">
                  <c:v>12.211</c:v>
                </c:pt>
                <c:pt idx="11">
                  <c:v>12.374000000000001</c:v>
                </c:pt>
              </c:numCache>
            </c:numRef>
          </c:xVal>
          <c:yVal>
            <c:numRef>
              <c:f>'ds Manual Calculations'!$M$106:$M$117</c:f>
              <c:numCache>
                <c:formatCode>General</c:formatCode>
                <c:ptCount val="12"/>
                <c:pt idx="0">
                  <c:v>956.2</c:v>
                </c:pt>
                <c:pt idx="1">
                  <c:v>945.53</c:v>
                </c:pt>
                <c:pt idx="2">
                  <c:v>938.76</c:v>
                </c:pt>
                <c:pt idx="3">
                  <c:v>935.23</c:v>
                </c:pt>
                <c:pt idx="4">
                  <c:v>933.68</c:v>
                </c:pt>
                <c:pt idx="5">
                  <c:v>933.59</c:v>
                </c:pt>
                <c:pt idx="6">
                  <c:v>934.32</c:v>
                </c:pt>
                <c:pt idx="7">
                  <c:v>935.89</c:v>
                </c:pt>
                <c:pt idx="8">
                  <c:v>939.75</c:v>
                </c:pt>
                <c:pt idx="9">
                  <c:v>946.75</c:v>
                </c:pt>
                <c:pt idx="10">
                  <c:v>957.92</c:v>
                </c:pt>
                <c:pt idx="11">
                  <c:v>982.18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5C5-47FC-ABA1-671FE9B81A48}"/>
            </c:ext>
          </c:extLst>
        </c:ser>
        <c:ser>
          <c:idx val="1"/>
          <c:order val="1"/>
          <c:tx>
            <c:v>E3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'ds Manual Calculations'!$N$106:$N$117</c:f>
              <c:numCache>
                <c:formatCode>General</c:formatCode>
                <c:ptCount val="12"/>
                <c:pt idx="0">
                  <c:v>12.456</c:v>
                </c:pt>
                <c:pt idx="1">
                  <c:v>12.295999999999999</c:v>
                </c:pt>
                <c:pt idx="2">
                  <c:v>12.148</c:v>
                </c:pt>
                <c:pt idx="3">
                  <c:v>11.96</c:v>
                </c:pt>
                <c:pt idx="4">
                  <c:v>11.776</c:v>
                </c:pt>
                <c:pt idx="5">
                  <c:v>11.592000000000001</c:v>
                </c:pt>
                <c:pt idx="6">
                  <c:v>11.407999999999999</c:v>
                </c:pt>
                <c:pt idx="7">
                  <c:v>11.224</c:v>
                </c:pt>
                <c:pt idx="8">
                  <c:v>11.038</c:v>
                </c:pt>
                <c:pt idx="9">
                  <c:v>10.849</c:v>
                </c:pt>
                <c:pt idx="10">
                  <c:v>10.648999999999999</c:v>
                </c:pt>
                <c:pt idx="11">
                  <c:v>10.541</c:v>
                </c:pt>
              </c:numCache>
            </c:numRef>
          </c:xVal>
          <c:yVal>
            <c:numRef>
              <c:f>'ds Manual Calculations'!$F$106:$F$117</c:f>
              <c:numCache>
                <c:formatCode>General</c:formatCode>
                <c:ptCount val="12"/>
                <c:pt idx="0">
                  <c:v>993.50706999999989</c:v>
                </c:pt>
                <c:pt idx="1">
                  <c:v>963.92047000000002</c:v>
                </c:pt>
                <c:pt idx="2">
                  <c:v>946.66161999999997</c:v>
                </c:pt>
                <c:pt idx="3">
                  <c:v>935.86798999999996</c:v>
                </c:pt>
                <c:pt idx="4">
                  <c:v>931.70394999999996</c:v>
                </c:pt>
                <c:pt idx="5">
                  <c:v>930.55335999999988</c:v>
                </c:pt>
                <c:pt idx="6">
                  <c:v>930.77251999999999</c:v>
                </c:pt>
                <c:pt idx="7">
                  <c:v>933.45722999999998</c:v>
                </c:pt>
                <c:pt idx="8">
                  <c:v>938.11437999999998</c:v>
                </c:pt>
                <c:pt idx="9">
                  <c:v>948.63405999999998</c:v>
                </c:pt>
                <c:pt idx="10">
                  <c:v>967.64618999999993</c:v>
                </c:pt>
                <c:pt idx="11">
                  <c:v>981.50806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5C5-47FC-ABA1-671FE9B81A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167983"/>
        <c:axId val="1661160911"/>
      </c:scatterChart>
      <c:valAx>
        <c:axId val="1661167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60911"/>
        <c:crosses val="autoZero"/>
        <c:crossBetween val="midCat"/>
      </c:valAx>
      <c:valAx>
        <c:axId val="166116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679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Exit Total Temperature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OTAC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'ds Manual Calculations'!$AV$15:$AV$26</c:f>
              <c:numCache>
                <c:formatCode>General</c:formatCode>
                <c:ptCount val="12"/>
                <c:pt idx="0">
                  <c:v>8.2650000000000006</c:v>
                </c:pt>
                <c:pt idx="1">
                  <c:v>8.7639999999999993</c:v>
                </c:pt>
                <c:pt idx="2">
                  <c:v>9.2409999999999997</c:v>
                </c:pt>
                <c:pt idx="3">
                  <c:v>9.6999999999999993</c:v>
                </c:pt>
                <c:pt idx="4">
                  <c:v>10.145</c:v>
                </c:pt>
                <c:pt idx="5">
                  <c:v>10.581</c:v>
                </c:pt>
                <c:pt idx="6">
                  <c:v>11.009</c:v>
                </c:pt>
                <c:pt idx="7">
                  <c:v>11.433999999999999</c:v>
                </c:pt>
                <c:pt idx="8">
                  <c:v>11.856999999999999</c:v>
                </c:pt>
                <c:pt idx="9">
                  <c:v>12.286</c:v>
                </c:pt>
                <c:pt idx="10">
                  <c:v>12.731999999999999</c:v>
                </c:pt>
                <c:pt idx="11">
                  <c:v>13.249000000000001</c:v>
                </c:pt>
              </c:numCache>
            </c:numRef>
          </c:xVal>
          <c:yVal>
            <c:numRef>
              <c:f>'ds Manual Calculations'!$M$15:$M$26</c:f>
              <c:numCache>
                <c:formatCode>General</c:formatCode>
                <c:ptCount val="12"/>
                <c:pt idx="0">
                  <c:v>652.76</c:v>
                </c:pt>
                <c:pt idx="1">
                  <c:v>649.48</c:v>
                </c:pt>
                <c:pt idx="2">
                  <c:v>647.16999999999996</c:v>
                </c:pt>
                <c:pt idx="3">
                  <c:v>645.88</c:v>
                </c:pt>
                <c:pt idx="4">
                  <c:v>645.41999999999996</c:v>
                </c:pt>
                <c:pt idx="5">
                  <c:v>645.38</c:v>
                </c:pt>
                <c:pt idx="6">
                  <c:v>645.54</c:v>
                </c:pt>
                <c:pt idx="7">
                  <c:v>645.97</c:v>
                </c:pt>
                <c:pt idx="8">
                  <c:v>647.39</c:v>
                </c:pt>
                <c:pt idx="9">
                  <c:v>649.72</c:v>
                </c:pt>
                <c:pt idx="10">
                  <c:v>654.1</c:v>
                </c:pt>
                <c:pt idx="11">
                  <c:v>666.81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61D-4D83-A003-151A6187C61F}"/>
            </c:ext>
          </c:extLst>
        </c:ser>
        <c:ser>
          <c:idx val="1"/>
          <c:order val="1"/>
          <c:tx>
            <c:v>E3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'ds Manual Calculations'!$N$15:$N$26</c:f>
              <c:numCache>
                <c:formatCode>General</c:formatCode>
                <c:ptCount val="12"/>
                <c:pt idx="0">
                  <c:v>13.535</c:v>
                </c:pt>
                <c:pt idx="1">
                  <c:v>13.122999999999999</c:v>
                </c:pt>
                <c:pt idx="2">
                  <c:v>12.743</c:v>
                </c:pt>
                <c:pt idx="3">
                  <c:v>12.246</c:v>
                </c:pt>
                <c:pt idx="4">
                  <c:v>11.746</c:v>
                </c:pt>
                <c:pt idx="5">
                  <c:v>11.234999999999999</c:v>
                </c:pt>
                <c:pt idx="6">
                  <c:v>10.711</c:v>
                </c:pt>
                <c:pt idx="7">
                  <c:v>10.167999999999999</c:v>
                </c:pt>
                <c:pt idx="8">
                  <c:v>9.6029999999999998</c:v>
                </c:pt>
                <c:pt idx="9">
                  <c:v>9.0060000000000002</c:v>
                </c:pt>
                <c:pt idx="10">
                  <c:v>8.359</c:v>
                </c:pt>
                <c:pt idx="11">
                  <c:v>8.0090000000000003</c:v>
                </c:pt>
              </c:numCache>
            </c:numRef>
          </c:xVal>
          <c:yVal>
            <c:numRef>
              <c:f>'ds Manual Calculations'!$F$15:$F$26</c:f>
              <c:numCache>
                <c:formatCode>General</c:formatCode>
                <c:ptCount val="12"/>
                <c:pt idx="0">
                  <c:v>672.43767000000003</c:v>
                </c:pt>
                <c:pt idx="1">
                  <c:v>656.71294</c:v>
                </c:pt>
                <c:pt idx="2">
                  <c:v>648.43964999999992</c:v>
                </c:pt>
                <c:pt idx="3">
                  <c:v>644.43997999999988</c:v>
                </c:pt>
                <c:pt idx="4">
                  <c:v>643.07022999999992</c:v>
                </c:pt>
                <c:pt idx="5">
                  <c:v>642.96064999999999</c:v>
                </c:pt>
                <c:pt idx="6">
                  <c:v>643.50855000000001</c:v>
                </c:pt>
                <c:pt idx="7">
                  <c:v>645.15224999999998</c:v>
                </c:pt>
                <c:pt idx="8">
                  <c:v>647.94654000000003</c:v>
                </c:pt>
                <c:pt idx="9">
                  <c:v>652.98721999999998</c:v>
                </c:pt>
                <c:pt idx="10">
                  <c:v>661.53445999999997</c:v>
                </c:pt>
                <c:pt idx="11">
                  <c:v>667.89009999999996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61D-4D83-A003-151A6187C6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167983"/>
        <c:axId val="1661160911"/>
      </c:scatterChart>
      <c:valAx>
        <c:axId val="1661167983"/>
        <c:scaling>
          <c:orientation val="minMax"/>
          <c:min val="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60911"/>
        <c:crosses val="autoZero"/>
        <c:crossBetween val="midCat"/>
      </c:valAx>
      <c:valAx>
        <c:axId val="166116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679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Exit Total</a:t>
            </a:r>
            <a:r>
              <a:rPr lang="en-US" baseline="0"/>
              <a:t> Temperature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OTAC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'ds Manual Calculations'!$AV$2:$AV$13</c:f>
              <c:numCache>
                <c:formatCode>General</c:formatCode>
                <c:ptCount val="12"/>
                <c:pt idx="0">
                  <c:v>7.2249999999999996</c:v>
                </c:pt>
                <c:pt idx="1">
                  <c:v>8.02</c:v>
                </c:pt>
                <c:pt idx="2">
                  <c:v>8.7460000000000004</c:v>
                </c:pt>
                <c:pt idx="3">
                  <c:v>9.4190000000000005</c:v>
                </c:pt>
                <c:pt idx="4">
                  <c:v>10.050000000000001</c:v>
                </c:pt>
                <c:pt idx="5">
                  <c:v>10.647</c:v>
                </c:pt>
                <c:pt idx="6">
                  <c:v>11.215</c:v>
                </c:pt>
                <c:pt idx="7">
                  <c:v>11.757999999999999</c:v>
                </c:pt>
                <c:pt idx="8">
                  <c:v>12.282</c:v>
                </c:pt>
                <c:pt idx="9">
                  <c:v>12.787000000000001</c:v>
                </c:pt>
                <c:pt idx="10">
                  <c:v>13.278</c:v>
                </c:pt>
                <c:pt idx="11">
                  <c:v>13.756</c:v>
                </c:pt>
              </c:numCache>
            </c:numRef>
          </c:xVal>
          <c:yVal>
            <c:numRef>
              <c:f>'ds Manual Calculations'!$M$2:$M$13</c:f>
              <c:numCache>
                <c:formatCode>General</c:formatCode>
                <c:ptCount val="12"/>
                <c:pt idx="0">
                  <c:v>547.9</c:v>
                </c:pt>
                <c:pt idx="1">
                  <c:v>547.9</c:v>
                </c:pt>
                <c:pt idx="2">
                  <c:v>547.9</c:v>
                </c:pt>
                <c:pt idx="3">
                  <c:v>547.9</c:v>
                </c:pt>
                <c:pt idx="4">
                  <c:v>547.9</c:v>
                </c:pt>
                <c:pt idx="5">
                  <c:v>547.9</c:v>
                </c:pt>
                <c:pt idx="6">
                  <c:v>547.9</c:v>
                </c:pt>
                <c:pt idx="7">
                  <c:v>547.9</c:v>
                </c:pt>
                <c:pt idx="8">
                  <c:v>547.9</c:v>
                </c:pt>
                <c:pt idx="9">
                  <c:v>547.9</c:v>
                </c:pt>
                <c:pt idx="10">
                  <c:v>547.9</c:v>
                </c:pt>
                <c:pt idx="11">
                  <c:v>547.9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C48-4F80-B8F0-7A7154609045}"/>
            </c:ext>
          </c:extLst>
        </c:ser>
        <c:ser>
          <c:idx val="1"/>
          <c:order val="1"/>
          <c:tx>
            <c:v>E3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'ds Manual Calculations'!$N$2:$N$13</c:f>
              <c:numCache>
                <c:formatCode>General</c:formatCode>
                <c:ptCount val="12"/>
                <c:pt idx="0">
                  <c:v>13.992000000000001</c:v>
                </c:pt>
                <c:pt idx="1">
                  <c:v>13.576000000000001</c:v>
                </c:pt>
                <c:pt idx="2">
                  <c:v>13.162000000000001</c:v>
                </c:pt>
                <c:pt idx="3">
                  <c:v>12.601000000000001</c:v>
                </c:pt>
                <c:pt idx="4">
                  <c:v>12.021000000000001</c:v>
                </c:pt>
                <c:pt idx="5">
                  <c:v>11.414</c:v>
                </c:pt>
                <c:pt idx="6">
                  <c:v>10.771000000000001</c:v>
                </c:pt>
                <c:pt idx="7">
                  <c:v>10.083</c:v>
                </c:pt>
                <c:pt idx="8">
                  <c:v>9.3320000000000007</c:v>
                </c:pt>
                <c:pt idx="9">
                  <c:v>8.4849999999999994</c:v>
                </c:pt>
                <c:pt idx="10">
                  <c:v>7.4560000000000004</c:v>
                </c:pt>
                <c:pt idx="11">
                  <c:v>6.806</c:v>
                </c:pt>
              </c:numCache>
            </c:numRef>
          </c:xVal>
          <c:yVal>
            <c:numRef>
              <c:f>'ds Manual Calculations'!$F$2:$F$13</c:f>
              <c:numCache>
                <c:formatCode>General</c:formatCode>
                <c:ptCount val="12"/>
                <c:pt idx="0">
                  <c:v>545.21528999999998</c:v>
                </c:pt>
                <c:pt idx="1">
                  <c:v>545.21528999999998</c:v>
                </c:pt>
                <c:pt idx="2">
                  <c:v>545.21528999999998</c:v>
                </c:pt>
                <c:pt idx="3">
                  <c:v>545.21528999999998</c:v>
                </c:pt>
                <c:pt idx="4">
                  <c:v>545.21528999999998</c:v>
                </c:pt>
                <c:pt idx="5">
                  <c:v>545.65360999999996</c:v>
                </c:pt>
                <c:pt idx="6">
                  <c:v>546.31108999999992</c:v>
                </c:pt>
                <c:pt idx="7">
                  <c:v>547.68083999999999</c:v>
                </c:pt>
                <c:pt idx="8">
                  <c:v>549.59849000000008</c:v>
                </c:pt>
                <c:pt idx="9">
                  <c:v>552.33798999999999</c:v>
                </c:pt>
                <c:pt idx="10">
                  <c:v>556.17328999999995</c:v>
                </c:pt>
                <c:pt idx="11">
                  <c:v>558.91278999999997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C48-4F80-B8F0-7A71546090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167983"/>
        <c:axId val="1661160911"/>
      </c:scatterChart>
      <c:valAx>
        <c:axId val="1661167983"/>
        <c:scaling>
          <c:orientation val="minMax"/>
          <c:min val="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60911"/>
        <c:crosses val="autoZero"/>
        <c:crossBetween val="midCat"/>
      </c:valAx>
      <c:valAx>
        <c:axId val="166116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679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Pressure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OTAC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'ds Manual Calculations'!$AV$2:$AV$13</c:f>
              <c:numCache>
                <c:formatCode>General</c:formatCode>
                <c:ptCount val="12"/>
                <c:pt idx="0">
                  <c:v>7.2249999999999996</c:v>
                </c:pt>
                <c:pt idx="1">
                  <c:v>8.02</c:v>
                </c:pt>
                <c:pt idx="2">
                  <c:v>8.7460000000000004</c:v>
                </c:pt>
                <c:pt idx="3">
                  <c:v>9.4190000000000005</c:v>
                </c:pt>
                <c:pt idx="4">
                  <c:v>10.050000000000001</c:v>
                </c:pt>
                <c:pt idx="5">
                  <c:v>10.647</c:v>
                </c:pt>
                <c:pt idx="6">
                  <c:v>11.215</c:v>
                </c:pt>
                <c:pt idx="7">
                  <c:v>11.757999999999999</c:v>
                </c:pt>
                <c:pt idx="8">
                  <c:v>12.282</c:v>
                </c:pt>
                <c:pt idx="9">
                  <c:v>12.787000000000001</c:v>
                </c:pt>
                <c:pt idx="10">
                  <c:v>13.278</c:v>
                </c:pt>
                <c:pt idx="11">
                  <c:v>13.756</c:v>
                </c:pt>
              </c:numCache>
            </c:numRef>
          </c:xVal>
          <c:yVal>
            <c:numRef>
              <c:f>'ds Manual Calculations'!$AA$2:$AA$13</c:f>
              <c:numCache>
                <c:formatCode>General</c:formatCode>
                <c:ptCount val="12"/>
                <c:pt idx="0">
                  <c:v>8.6029999999999998</c:v>
                </c:pt>
                <c:pt idx="1">
                  <c:v>8.6020000000000003</c:v>
                </c:pt>
                <c:pt idx="2">
                  <c:v>8.6010000000000009</c:v>
                </c:pt>
                <c:pt idx="3">
                  <c:v>8.5990000000000002</c:v>
                </c:pt>
                <c:pt idx="4">
                  <c:v>8.5969999999999995</c:v>
                </c:pt>
                <c:pt idx="5">
                  <c:v>8.5939999999999994</c:v>
                </c:pt>
                <c:pt idx="6">
                  <c:v>8.59</c:v>
                </c:pt>
                <c:pt idx="7">
                  <c:v>8.5830000000000002</c:v>
                </c:pt>
                <c:pt idx="8">
                  <c:v>8.5749999999999993</c:v>
                </c:pt>
                <c:pt idx="9">
                  <c:v>8.5649999999999995</c:v>
                </c:pt>
                <c:pt idx="10">
                  <c:v>8.5510000000000002</c:v>
                </c:pt>
                <c:pt idx="11">
                  <c:v>8.5310000000000006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01B-412F-BE39-4E210FEFBEC2}"/>
            </c:ext>
          </c:extLst>
        </c:ser>
        <c:ser>
          <c:idx val="1"/>
          <c:order val="1"/>
          <c:tx>
            <c:v>E3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'ds Manual Calculations'!$N$2:$N$13</c:f>
              <c:numCache>
                <c:formatCode>General</c:formatCode>
                <c:ptCount val="12"/>
                <c:pt idx="0">
                  <c:v>13.992000000000001</c:v>
                </c:pt>
                <c:pt idx="1">
                  <c:v>13.576000000000001</c:v>
                </c:pt>
                <c:pt idx="2">
                  <c:v>13.162000000000001</c:v>
                </c:pt>
                <c:pt idx="3">
                  <c:v>12.601000000000001</c:v>
                </c:pt>
                <c:pt idx="4">
                  <c:v>12.021000000000001</c:v>
                </c:pt>
                <c:pt idx="5">
                  <c:v>11.414</c:v>
                </c:pt>
                <c:pt idx="6">
                  <c:v>10.771000000000001</c:v>
                </c:pt>
                <c:pt idx="7">
                  <c:v>10.083</c:v>
                </c:pt>
                <c:pt idx="8">
                  <c:v>9.3320000000000007</c:v>
                </c:pt>
                <c:pt idx="9">
                  <c:v>8.4849999999999994</c:v>
                </c:pt>
                <c:pt idx="10">
                  <c:v>7.4560000000000004</c:v>
                </c:pt>
                <c:pt idx="11">
                  <c:v>6.806</c:v>
                </c:pt>
              </c:numCache>
            </c:numRef>
          </c:xVal>
          <c:yVal>
            <c:numRef>
              <c:f>'ds Manual Calculations'!$D$2:$D$13</c:f>
              <c:numCache>
                <c:formatCode>General</c:formatCode>
                <c:ptCount val="12"/>
                <c:pt idx="0">
                  <c:v>8.3489799999999992</c:v>
                </c:pt>
                <c:pt idx="1">
                  <c:v>8.4709450000000004</c:v>
                </c:pt>
                <c:pt idx="2">
                  <c:v>8.5513900000000014</c:v>
                </c:pt>
                <c:pt idx="3">
                  <c:v>8.6058850000000007</c:v>
                </c:pt>
                <c:pt idx="4">
                  <c:v>8.6240500000000004</c:v>
                </c:pt>
                <c:pt idx="5">
                  <c:v>8.6309700000000014</c:v>
                </c:pt>
                <c:pt idx="6">
                  <c:v>8.6361600000000003</c:v>
                </c:pt>
                <c:pt idx="7">
                  <c:v>8.641350000000001</c:v>
                </c:pt>
                <c:pt idx="8">
                  <c:v>8.6352949999999993</c:v>
                </c:pt>
                <c:pt idx="9">
                  <c:v>8.5972349999999995</c:v>
                </c:pt>
                <c:pt idx="10">
                  <c:v>8.5029500000000002</c:v>
                </c:pt>
                <c:pt idx="11">
                  <c:v>8.4294250000000002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01B-412F-BE39-4E210FEFBE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153839"/>
        <c:axId val="1661155087"/>
      </c:scatterChart>
      <c:valAx>
        <c:axId val="1661153839"/>
        <c:scaling>
          <c:orientation val="minMax"/>
          <c:min val="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5087"/>
        <c:crosses val="autoZero"/>
        <c:crossBetween val="midCat"/>
      </c:valAx>
      <c:valAx>
        <c:axId val="166115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Pressure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OTAC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'ds Manual Calculations'!$AV$15:$AV$26</c:f>
              <c:numCache>
                <c:formatCode>General</c:formatCode>
                <c:ptCount val="12"/>
                <c:pt idx="0">
                  <c:v>8.2650000000000006</c:v>
                </c:pt>
                <c:pt idx="1">
                  <c:v>8.7639999999999993</c:v>
                </c:pt>
                <c:pt idx="2">
                  <c:v>9.2409999999999997</c:v>
                </c:pt>
                <c:pt idx="3">
                  <c:v>9.6999999999999993</c:v>
                </c:pt>
                <c:pt idx="4">
                  <c:v>10.145</c:v>
                </c:pt>
                <c:pt idx="5">
                  <c:v>10.581</c:v>
                </c:pt>
                <c:pt idx="6">
                  <c:v>11.009</c:v>
                </c:pt>
                <c:pt idx="7">
                  <c:v>11.433999999999999</c:v>
                </c:pt>
                <c:pt idx="8">
                  <c:v>11.856999999999999</c:v>
                </c:pt>
                <c:pt idx="9">
                  <c:v>12.286</c:v>
                </c:pt>
                <c:pt idx="10">
                  <c:v>12.731999999999999</c:v>
                </c:pt>
                <c:pt idx="11">
                  <c:v>13.249000000000001</c:v>
                </c:pt>
              </c:numCache>
            </c:numRef>
          </c:xVal>
          <c:yVal>
            <c:numRef>
              <c:f>'ds Manual Calculations'!$AA$15:$AA$26</c:f>
              <c:numCache>
                <c:formatCode>General</c:formatCode>
                <c:ptCount val="12"/>
                <c:pt idx="0">
                  <c:v>15.129</c:v>
                </c:pt>
                <c:pt idx="1">
                  <c:v>15.089</c:v>
                </c:pt>
                <c:pt idx="2">
                  <c:v>15.048</c:v>
                </c:pt>
                <c:pt idx="3">
                  <c:v>15.004</c:v>
                </c:pt>
                <c:pt idx="4">
                  <c:v>14.958</c:v>
                </c:pt>
                <c:pt idx="5">
                  <c:v>14.909000000000001</c:v>
                </c:pt>
                <c:pt idx="6">
                  <c:v>14.86</c:v>
                </c:pt>
                <c:pt idx="7">
                  <c:v>14.81</c:v>
                </c:pt>
                <c:pt idx="8">
                  <c:v>14.76</c:v>
                </c:pt>
                <c:pt idx="9">
                  <c:v>14.708</c:v>
                </c:pt>
                <c:pt idx="10">
                  <c:v>14.654999999999999</c:v>
                </c:pt>
                <c:pt idx="11">
                  <c:v>14.606999999999999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21C-42CC-86A1-5AFC84DA959D}"/>
            </c:ext>
          </c:extLst>
        </c:ser>
        <c:ser>
          <c:idx val="1"/>
          <c:order val="1"/>
          <c:tx>
            <c:v>E3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'ds Manual Calculations'!$N$15:$N$26</c:f>
              <c:numCache>
                <c:formatCode>General</c:formatCode>
                <c:ptCount val="12"/>
                <c:pt idx="0">
                  <c:v>13.535</c:v>
                </c:pt>
                <c:pt idx="1">
                  <c:v>13.122999999999999</c:v>
                </c:pt>
                <c:pt idx="2">
                  <c:v>12.743</c:v>
                </c:pt>
                <c:pt idx="3">
                  <c:v>12.246</c:v>
                </c:pt>
                <c:pt idx="4">
                  <c:v>11.746</c:v>
                </c:pt>
                <c:pt idx="5">
                  <c:v>11.234999999999999</c:v>
                </c:pt>
                <c:pt idx="6">
                  <c:v>10.711</c:v>
                </c:pt>
                <c:pt idx="7">
                  <c:v>10.167999999999999</c:v>
                </c:pt>
                <c:pt idx="8">
                  <c:v>9.6029999999999998</c:v>
                </c:pt>
                <c:pt idx="9">
                  <c:v>9.0060000000000002</c:v>
                </c:pt>
                <c:pt idx="10">
                  <c:v>8.359</c:v>
                </c:pt>
                <c:pt idx="11">
                  <c:v>8.0090000000000003</c:v>
                </c:pt>
              </c:numCache>
            </c:numRef>
          </c:xVal>
          <c:yVal>
            <c:numRef>
              <c:f>'ds Manual Calculations'!$D$15:$D$26</c:f>
              <c:numCache>
                <c:formatCode>General</c:formatCode>
                <c:ptCount val="12"/>
                <c:pt idx="0">
                  <c:v>14.602930000000001</c:v>
                </c:pt>
                <c:pt idx="1">
                  <c:v>14.643585000000002</c:v>
                </c:pt>
                <c:pt idx="2">
                  <c:v>14.684240000000001</c:v>
                </c:pt>
                <c:pt idx="3">
                  <c:v>14.738735</c:v>
                </c:pt>
                <c:pt idx="4">
                  <c:v>14.793229999999999</c:v>
                </c:pt>
                <c:pt idx="5">
                  <c:v>14.847725000000001</c:v>
                </c:pt>
                <c:pt idx="6">
                  <c:v>14.901355000000001</c:v>
                </c:pt>
                <c:pt idx="7">
                  <c:v>14.956715000000001</c:v>
                </c:pt>
                <c:pt idx="8">
                  <c:v>15.010345000000001</c:v>
                </c:pt>
                <c:pt idx="9">
                  <c:v>15.06484</c:v>
                </c:pt>
                <c:pt idx="10">
                  <c:v>15.119335000000001</c:v>
                </c:pt>
                <c:pt idx="11">
                  <c:v>15.14615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21C-42CC-86A1-5AFC84DA95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153839"/>
        <c:axId val="1661155087"/>
      </c:scatterChart>
      <c:valAx>
        <c:axId val="1661153839"/>
        <c:scaling>
          <c:orientation val="minMax"/>
          <c:min val="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5087"/>
        <c:crosses val="autoZero"/>
        <c:crossBetween val="midCat"/>
      </c:valAx>
      <c:valAx>
        <c:axId val="166115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Pressure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OTAC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'ds Manual Calculations'!$AV$28:$AV$39</c:f>
              <c:numCache>
                <c:formatCode>General</c:formatCode>
                <c:ptCount val="12"/>
                <c:pt idx="0">
                  <c:v>8.7799999999999994</c:v>
                </c:pt>
                <c:pt idx="1">
                  <c:v>9.2439999999999998</c:v>
                </c:pt>
                <c:pt idx="2">
                  <c:v>9.6780000000000008</c:v>
                </c:pt>
                <c:pt idx="3">
                  <c:v>10.093</c:v>
                </c:pt>
                <c:pt idx="4">
                  <c:v>10.494999999999999</c:v>
                </c:pt>
                <c:pt idx="5">
                  <c:v>10.885999999999999</c:v>
                </c:pt>
                <c:pt idx="6">
                  <c:v>11.268000000000001</c:v>
                </c:pt>
                <c:pt idx="7">
                  <c:v>11.644</c:v>
                </c:pt>
                <c:pt idx="8">
                  <c:v>12.013999999999999</c:v>
                </c:pt>
                <c:pt idx="9">
                  <c:v>12.38</c:v>
                </c:pt>
                <c:pt idx="10">
                  <c:v>12.744999999999999</c:v>
                </c:pt>
                <c:pt idx="11">
                  <c:v>13.118</c:v>
                </c:pt>
              </c:numCache>
            </c:numRef>
          </c:xVal>
          <c:yVal>
            <c:numRef>
              <c:f>'ds Manual Calculations'!$AA$28:$AA$39</c:f>
              <c:numCache>
                <c:formatCode>General</c:formatCode>
                <c:ptCount val="12"/>
                <c:pt idx="0">
                  <c:v>14.618</c:v>
                </c:pt>
                <c:pt idx="1">
                  <c:v>14.679</c:v>
                </c:pt>
                <c:pt idx="2">
                  <c:v>14.704000000000001</c:v>
                </c:pt>
                <c:pt idx="3">
                  <c:v>14.696</c:v>
                </c:pt>
                <c:pt idx="4">
                  <c:v>14.663</c:v>
                </c:pt>
                <c:pt idx="5">
                  <c:v>14.627000000000001</c:v>
                </c:pt>
                <c:pt idx="6">
                  <c:v>14.585000000000001</c:v>
                </c:pt>
                <c:pt idx="7">
                  <c:v>14.54</c:v>
                </c:pt>
                <c:pt idx="8">
                  <c:v>14.494</c:v>
                </c:pt>
                <c:pt idx="9">
                  <c:v>14.439</c:v>
                </c:pt>
                <c:pt idx="10">
                  <c:v>14.365</c:v>
                </c:pt>
                <c:pt idx="11">
                  <c:v>14.281000000000001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2DE-4B8F-8223-EE7D102307FF}"/>
            </c:ext>
          </c:extLst>
        </c:ser>
        <c:ser>
          <c:idx val="1"/>
          <c:order val="1"/>
          <c:tx>
            <c:v>E3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'ds Manual Calculations'!$N$28:$N$39</c:f>
              <c:numCache>
                <c:formatCode>0.000</c:formatCode>
                <c:ptCount val="12"/>
                <c:pt idx="0">
                  <c:v>13.3082867782893</c:v>
                </c:pt>
                <c:pt idx="1">
                  <c:v>12.95908401020438</c:v>
                </c:pt>
                <c:pt idx="2">
                  <c:v>12.626022520012901</c:v>
                </c:pt>
                <c:pt idx="3">
                  <c:v>12.190601706594727</c:v>
                </c:pt>
                <c:pt idx="4">
                  <c:v>11.754393513767116</c:v>
                </c:pt>
                <c:pt idx="5">
                  <c:v>11.312279975368735</c:v>
                </c:pt>
                <c:pt idx="6">
                  <c:v>10.86071788405712</c:v>
                </c:pt>
                <c:pt idx="7">
                  <c:v>10.395376653080374</c:v>
                </c:pt>
                <c:pt idx="8">
                  <c:v>9.910744626572443</c:v>
                </c:pt>
                <c:pt idx="9">
                  <c:v>9.3993417001436814</c:v>
                </c:pt>
                <c:pt idx="10">
                  <c:v>8.8438455267864988</c:v>
                </c:pt>
                <c:pt idx="11">
                  <c:v>8.5403107644488756</c:v>
                </c:pt>
              </c:numCache>
            </c:numRef>
          </c:xVal>
          <c:yVal>
            <c:numRef>
              <c:f>'ds Manual Calculations'!$D$28:$D$39</c:f>
              <c:numCache>
                <c:formatCode>General</c:formatCode>
                <c:ptCount val="12"/>
                <c:pt idx="0">
                  <c:v>14.257795000000002</c:v>
                </c:pt>
                <c:pt idx="1">
                  <c:v>14.324400000000001</c:v>
                </c:pt>
                <c:pt idx="2">
                  <c:v>14.393599999999999</c:v>
                </c:pt>
                <c:pt idx="3">
                  <c:v>14.471450000000001</c:v>
                </c:pt>
                <c:pt idx="4">
                  <c:v>14.526810000000001</c:v>
                </c:pt>
                <c:pt idx="5">
                  <c:v>14.57525</c:v>
                </c:pt>
                <c:pt idx="6">
                  <c:v>14.622824999999999</c:v>
                </c:pt>
                <c:pt idx="7">
                  <c:v>14.661750000000001</c:v>
                </c:pt>
                <c:pt idx="8">
                  <c:v>14.699810000000001</c:v>
                </c:pt>
                <c:pt idx="9">
                  <c:v>14.699810000000001</c:v>
                </c:pt>
                <c:pt idx="10">
                  <c:v>14.632340000000001</c:v>
                </c:pt>
                <c:pt idx="11">
                  <c:v>14.571790000000002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2DE-4B8F-8223-EE7D102307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153839"/>
        <c:axId val="1661155087"/>
      </c:scatterChart>
      <c:valAx>
        <c:axId val="1661153839"/>
        <c:scaling>
          <c:orientation val="minMax"/>
          <c:min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5087"/>
        <c:crosses val="autoZero"/>
        <c:crossBetween val="midCat"/>
      </c:valAx>
      <c:valAx>
        <c:axId val="166115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Pressure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OTAC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'ds Manual Calculations'!$AV$41:$AV$52</c:f>
              <c:numCache>
                <c:formatCode>General</c:formatCode>
                <c:ptCount val="12"/>
                <c:pt idx="0">
                  <c:v>9.4779999999999998</c:v>
                </c:pt>
                <c:pt idx="1">
                  <c:v>9.8190000000000008</c:v>
                </c:pt>
                <c:pt idx="2">
                  <c:v>10.138</c:v>
                </c:pt>
                <c:pt idx="3">
                  <c:v>10.445</c:v>
                </c:pt>
                <c:pt idx="4">
                  <c:v>10.746</c:v>
                </c:pt>
                <c:pt idx="5">
                  <c:v>11.044</c:v>
                </c:pt>
                <c:pt idx="6">
                  <c:v>11.340999999999999</c:v>
                </c:pt>
                <c:pt idx="7">
                  <c:v>11.638</c:v>
                </c:pt>
                <c:pt idx="8">
                  <c:v>11.936999999999999</c:v>
                </c:pt>
                <c:pt idx="9">
                  <c:v>12.239000000000001</c:v>
                </c:pt>
                <c:pt idx="10">
                  <c:v>12.554</c:v>
                </c:pt>
                <c:pt idx="11">
                  <c:v>12.916</c:v>
                </c:pt>
              </c:numCache>
            </c:numRef>
          </c:xVal>
          <c:yVal>
            <c:numRef>
              <c:f>'ds Manual Calculations'!$AA$41:$AA$52</c:f>
              <c:numCache>
                <c:formatCode>General</c:formatCode>
                <c:ptCount val="12"/>
                <c:pt idx="0">
                  <c:v>23.699000000000002</c:v>
                </c:pt>
                <c:pt idx="1">
                  <c:v>23.617000000000001</c:v>
                </c:pt>
                <c:pt idx="2">
                  <c:v>23.571999999999999</c:v>
                </c:pt>
                <c:pt idx="3">
                  <c:v>23.521999999999998</c:v>
                </c:pt>
                <c:pt idx="4">
                  <c:v>23.449000000000002</c:v>
                </c:pt>
                <c:pt idx="5">
                  <c:v>23.38</c:v>
                </c:pt>
                <c:pt idx="6">
                  <c:v>23.309000000000001</c:v>
                </c:pt>
                <c:pt idx="7">
                  <c:v>23.233000000000001</c:v>
                </c:pt>
                <c:pt idx="8">
                  <c:v>23.164999999999999</c:v>
                </c:pt>
                <c:pt idx="9">
                  <c:v>23.108000000000001</c:v>
                </c:pt>
                <c:pt idx="10">
                  <c:v>23.032</c:v>
                </c:pt>
                <c:pt idx="11">
                  <c:v>22.94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7CB-407E-9BE0-2988F2F1B9DE}"/>
            </c:ext>
          </c:extLst>
        </c:ser>
        <c:ser>
          <c:idx val="1"/>
          <c:order val="1"/>
          <c:tx>
            <c:v>E3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'ds Manual Calculations'!$N$41:$N$52</c:f>
              <c:numCache>
                <c:formatCode>General</c:formatCode>
                <c:ptCount val="12"/>
                <c:pt idx="0">
                  <c:v>13.117000000000001</c:v>
                </c:pt>
                <c:pt idx="1">
                  <c:v>12.792999999999999</c:v>
                </c:pt>
                <c:pt idx="2">
                  <c:v>12.506</c:v>
                </c:pt>
                <c:pt idx="3">
                  <c:v>12.141</c:v>
                </c:pt>
                <c:pt idx="4">
                  <c:v>11.78</c:v>
                </c:pt>
                <c:pt idx="5">
                  <c:v>11.417999999999999</c:v>
                </c:pt>
                <c:pt idx="6">
                  <c:v>11.054</c:v>
                </c:pt>
                <c:pt idx="7">
                  <c:v>10.686</c:v>
                </c:pt>
                <c:pt idx="8">
                  <c:v>10.311</c:v>
                </c:pt>
                <c:pt idx="9">
                  <c:v>9.9269999999999996</c:v>
                </c:pt>
                <c:pt idx="10">
                  <c:v>9.5190000000000001</c:v>
                </c:pt>
                <c:pt idx="11">
                  <c:v>9.3010000000000002</c:v>
                </c:pt>
              </c:numCache>
            </c:numRef>
          </c:xVal>
          <c:yVal>
            <c:numRef>
              <c:f>'ds Manual Calculations'!$D$41:$D$52</c:f>
              <c:numCache>
                <c:formatCode>General</c:formatCode>
                <c:ptCount val="12"/>
                <c:pt idx="0">
                  <c:v>22.920770000000001</c:v>
                </c:pt>
                <c:pt idx="1">
                  <c:v>22.982184999999998</c:v>
                </c:pt>
                <c:pt idx="2">
                  <c:v>23.044464999999999</c:v>
                </c:pt>
                <c:pt idx="3">
                  <c:v>23.125775000000004</c:v>
                </c:pt>
                <c:pt idx="4">
                  <c:v>23.208815000000001</c:v>
                </c:pt>
                <c:pt idx="5">
                  <c:v>23.291854999999998</c:v>
                </c:pt>
                <c:pt idx="6">
                  <c:v>23.374030000000001</c:v>
                </c:pt>
                <c:pt idx="7">
                  <c:v>23.456205000000001</c:v>
                </c:pt>
                <c:pt idx="8">
                  <c:v>23.539245000000001</c:v>
                </c:pt>
                <c:pt idx="9">
                  <c:v>23.621420000000001</c:v>
                </c:pt>
                <c:pt idx="10">
                  <c:v>23.703595</c:v>
                </c:pt>
                <c:pt idx="11">
                  <c:v>23.745114999999998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7CB-407E-9BE0-2988F2F1B9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153839"/>
        <c:axId val="1661155087"/>
      </c:scatterChart>
      <c:valAx>
        <c:axId val="1661153839"/>
        <c:scaling>
          <c:orientation val="minMax"/>
          <c:min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5087"/>
        <c:crosses val="autoZero"/>
        <c:crossBetween val="midCat"/>
      </c:valAx>
      <c:valAx>
        <c:axId val="166115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Pressure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OTAC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'ds Manual Calculations'!$AV$54:$AV$65</c:f>
              <c:numCache>
                <c:formatCode>General</c:formatCode>
                <c:ptCount val="12"/>
                <c:pt idx="0">
                  <c:v>9.8179999999999996</c:v>
                </c:pt>
                <c:pt idx="1">
                  <c:v>10.125999999999999</c:v>
                </c:pt>
                <c:pt idx="2">
                  <c:v>10.417</c:v>
                </c:pt>
                <c:pt idx="3">
                  <c:v>10.698</c:v>
                </c:pt>
                <c:pt idx="4">
                  <c:v>10.973000000000001</c:v>
                </c:pt>
                <c:pt idx="5">
                  <c:v>11.243</c:v>
                </c:pt>
                <c:pt idx="6">
                  <c:v>11.510999999999999</c:v>
                </c:pt>
                <c:pt idx="7">
                  <c:v>11.776</c:v>
                </c:pt>
                <c:pt idx="8">
                  <c:v>12.039</c:v>
                </c:pt>
                <c:pt idx="9">
                  <c:v>12.302</c:v>
                </c:pt>
                <c:pt idx="10">
                  <c:v>12.566000000000001</c:v>
                </c:pt>
                <c:pt idx="11">
                  <c:v>12.84</c:v>
                </c:pt>
              </c:numCache>
            </c:numRef>
          </c:xVal>
          <c:yVal>
            <c:numRef>
              <c:f>'ds Manual Calculations'!$AA$54:$AA$65</c:f>
              <c:numCache>
                <c:formatCode>General</c:formatCode>
                <c:ptCount val="12"/>
                <c:pt idx="0">
                  <c:v>23.036000000000001</c:v>
                </c:pt>
                <c:pt idx="1">
                  <c:v>23.087</c:v>
                </c:pt>
                <c:pt idx="2">
                  <c:v>23.126000000000001</c:v>
                </c:pt>
                <c:pt idx="3">
                  <c:v>23.123000000000001</c:v>
                </c:pt>
                <c:pt idx="4">
                  <c:v>23.071999999999999</c:v>
                </c:pt>
                <c:pt idx="5">
                  <c:v>23.018999999999998</c:v>
                </c:pt>
                <c:pt idx="6">
                  <c:v>22.957999999999998</c:v>
                </c:pt>
                <c:pt idx="7">
                  <c:v>22.888000000000002</c:v>
                </c:pt>
                <c:pt idx="8">
                  <c:v>22.817</c:v>
                </c:pt>
                <c:pt idx="9">
                  <c:v>22.742000000000001</c:v>
                </c:pt>
                <c:pt idx="10">
                  <c:v>22.655999999999999</c:v>
                </c:pt>
                <c:pt idx="11">
                  <c:v>22.510999999999999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792-4AC8-A9B0-4F29BB6E64C8}"/>
            </c:ext>
          </c:extLst>
        </c:ser>
        <c:ser>
          <c:idx val="1"/>
          <c:order val="1"/>
          <c:tx>
            <c:v>E3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'ds Manual Calculations'!$N$54:$N$65</c:f>
              <c:numCache>
                <c:formatCode>0.000</c:formatCode>
                <c:ptCount val="12"/>
                <c:pt idx="0">
                  <c:v>12.981</c:v>
                </c:pt>
                <c:pt idx="1">
                  <c:v>12.721</c:v>
                </c:pt>
                <c:pt idx="2">
                  <c:v>12.477</c:v>
                </c:pt>
                <c:pt idx="3">
                  <c:v>12.16</c:v>
                </c:pt>
                <c:pt idx="4">
                  <c:v>11.846</c:v>
                </c:pt>
                <c:pt idx="5">
                  <c:v>11.53</c:v>
                </c:pt>
                <c:pt idx="6">
                  <c:v>11.21</c:v>
                </c:pt>
                <c:pt idx="7">
                  <c:v>10.887</c:v>
                </c:pt>
                <c:pt idx="8">
                  <c:v>10.557</c:v>
                </c:pt>
                <c:pt idx="9">
                  <c:v>10.217000000000001</c:v>
                </c:pt>
                <c:pt idx="10">
                  <c:v>9.8550000000000004</c:v>
                </c:pt>
                <c:pt idx="11">
                  <c:v>9.66</c:v>
                </c:pt>
              </c:numCache>
            </c:numRef>
          </c:xVal>
          <c:yVal>
            <c:numRef>
              <c:f>'ds Manual Calculations'!$D$54:$D$65</c:f>
              <c:numCache>
                <c:formatCode>General</c:formatCode>
                <c:ptCount val="12"/>
                <c:pt idx="0">
                  <c:v>22.461455000000001</c:v>
                </c:pt>
                <c:pt idx="1">
                  <c:v>22.566985000000003</c:v>
                </c:pt>
                <c:pt idx="2">
                  <c:v>22.670784999999999</c:v>
                </c:pt>
                <c:pt idx="3">
                  <c:v>22.784965000000003</c:v>
                </c:pt>
                <c:pt idx="4">
                  <c:v>22.868005</c:v>
                </c:pt>
                <c:pt idx="5">
                  <c:v>22.943260000000002</c:v>
                </c:pt>
                <c:pt idx="6">
                  <c:v>23.015055</c:v>
                </c:pt>
                <c:pt idx="7">
                  <c:v>23.077335000000001</c:v>
                </c:pt>
                <c:pt idx="8">
                  <c:v>23.131830000000001</c:v>
                </c:pt>
                <c:pt idx="9">
                  <c:v>23.13702</c:v>
                </c:pt>
                <c:pt idx="10">
                  <c:v>23.062629999999999</c:v>
                </c:pt>
                <c:pt idx="11">
                  <c:v>22.997755000000002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792-4AC8-A9B0-4F29BB6E64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153839"/>
        <c:axId val="1661155087"/>
      </c:scatterChart>
      <c:valAx>
        <c:axId val="1661153839"/>
        <c:scaling>
          <c:orientation val="minMax"/>
          <c:min val="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5087"/>
        <c:crosses val="autoZero"/>
        <c:crossBetween val="midCat"/>
      </c:valAx>
      <c:valAx>
        <c:axId val="166115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Pressure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OTAC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'ds Manual Calculations'!$AV$67:$AV$78</c:f>
              <c:numCache>
                <c:formatCode>General</c:formatCode>
                <c:ptCount val="12"/>
                <c:pt idx="0">
                  <c:v>10.177</c:v>
                </c:pt>
                <c:pt idx="1">
                  <c:v>10.436</c:v>
                </c:pt>
                <c:pt idx="2">
                  <c:v>10.672000000000001</c:v>
                </c:pt>
                <c:pt idx="3">
                  <c:v>10.898</c:v>
                </c:pt>
                <c:pt idx="4">
                  <c:v>11.118</c:v>
                </c:pt>
                <c:pt idx="5">
                  <c:v>11.335000000000001</c:v>
                </c:pt>
                <c:pt idx="6">
                  <c:v>11.55</c:v>
                </c:pt>
                <c:pt idx="7">
                  <c:v>11.765000000000001</c:v>
                </c:pt>
                <c:pt idx="8">
                  <c:v>11.981</c:v>
                </c:pt>
                <c:pt idx="9">
                  <c:v>12.199</c:v>
                </c:pt>
                <c:pt idx="10">
                  <c:v>12.426</c:v>
                </c:pt>
                <c:pt idx="11">
                  <c:v>12.688000000000001</c:v>
                </c:pt>
              </c:numCache>
            </c:numRef>
          </c:xVal>
          <c:yVal>
            <c:numRef>
              <c:f>'ds Manual Calculations'!$AA$67:$AA$78</c:f>
              <c:numCache>
                <c:formatCode>General</c:formatCode>
                <c:ptCount val="12"/>
                <c:pt idx="0">
                  <c:v>34.963999999999999</c:v>
                </c:pt>
                <c:pt idx="1">
                  <c:v>34.843000000000004</c:v>
                </c:pt>
                <c:pt idx="2">
                  <c:v>34.786000000000001</c:v>
                </c:pt>
                <c:pt idx="3">
                  <c:v>34.729999999999997</c:v>
                </c:pt>
                <c:pt idx="4">
                  <c:v>34.634999999999998</c:v>
                </c:pt>
                <c:pt idx="5">
                  <c:v>34.546999999999997</c:v>
                </c:pt>
                <c:pt idx="6">
                  <c:v>34.454999999999998</c:v>
                </c:pt>
                <c:pt idx="7">
                  <c:v>34.354999999999997</c:v>
                </c:pt>
                <c:pt idx="8">
                  <c:v>34.26</c:v>
                </c:pt>
                <c:pt idx="9">
                  <c:v>34.19</c:v>
                </c:pt>
                <c:pt idx="10">
                  <c:v>34.128</c:v>
                </c:pt>
                <c:pt idx="11">
                  <c:v>34.017000000000003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E7C-4029-9ED2-0F3964D65FAC}"/>
            </c:ext>
          </c:extLst>
        </c:ser>
        <c:ser>
          <c:idx val="1"/>
          <c:order val="1"/>
          <c:tx>
            <c:v>E3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'ds Manual Calculations'!$N$67:$N$78</c:f>
              <c:numCache>
                <c:formatCode>0.000</c:formatCode>
                <c:ptCount val="12"/>
                <c:pt idx="0">
                  <c:v>12.835000000000001</c:v>
                </c:pt>
                <c:pt idx="1">
                  <c:v>12.590999999999999</c:v>
                </c:pt>
                <c:pt idx="2">
                  <c:v>12.377000000000001</c:v>
                </c:pt>
                <c:pt idx="3">
                  <c:v>12.11</c:v>
                </c:pt>
                <c:pt idx="4">
                  <c:v>11.848000000000001</c:v>
                </c:pt>
                <c:pt idx="5">
                  <c:v>11.586</c:v>
                </c:pt>
                <c:pt idx="6">
                  <c:v>11.321</c:v>
                </c:pt>
                <c:pt idx="7">
                  <c:v>11.054</c:v>
                </c:pt>
                <c:pt idx="8">
                  <c:v>10.785</c:v>
                </c:pt>
                <c:pt idx="9">
                  <c:v>10.507</c:v>
                </c:pt>
                <c:pt idx="10">
                  <c:v>10.208</c:v>
                </c:pt>
                <c:pt idx="11">
                  <c:v>10.041</c:v>
                </c:pt>
              </c:numCache>
            </c:numRef>
          </c:xVal>
          <c:yVal>
            <c:numRef>
              <c:f>'ds Manual Calculations'!$D$67:$D$78</c:f>
              <c:numCache>
                <c:formatCode>General</c:formatCode>
                <c:ptCount val="12"/>
                <c:pt idx="0">
                  <c:v>33.995365</c:v>
                </c:pt>
                <c:pt idx="1">
                  <c:v>34.023910000000001</c:v>
                </c:pt>
                <c:pt idx="2">
                  <c:v>34.104354999999998</c:v>
                </c:pt>
                <c:pt idx="3">
                  <c:v>34.211615000000002</c:v>
                </c:pt>
                <c:pt idx="4">
                  <c:v>34.320605</c:v>
                </c:pt>
                <c:pt idx="5">
                  <c:v>34.427865000000004</c:v>
                </c:pt>
                <c:pt idx="6">
                  <c:v>34.535989999999998</c:v>
                </c:pt>
                <c:pt idx="7">
                  <c:v>34.643250000000002</c:v>
                </c:pt>
                <c:pt idx="8">
                  <c:v>34.751375000000003</c:v>
                </c:pt>
                <c:pt idx="9">
                  <c:v>34.859500000000004</c:v>
                </c:pt>
                <c:pt idx="10">
                  <c:v>34.966760000000001</c:v>
                </c:pt>
                <c:pt idx="11">
                  <c:v>35.021255000000004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E7C-4029-9ED2-0F3964D65F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153839"/>
        <c:axId val="1661155087"/>
      </c:scatterChart>
      <c:valAx>
        <c:axId val="1661153839"/>
        <c:scaling>
          <c:orientation val="minMax"/>
          <c:min val="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5087"/>
        <c:crosses val="autoZero"/>
        <c:crossBetween val="midCat"/>
      </c:valAx>
      <c:valAx>
        <c:axId val="166115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Pressure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OTAC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'ds Manual Calculations'!$AV$80:$AV$91</c:f>
              <c:numCache>
                <c:formatCode>General</c:formatCode>
                <c:ptCount val="12"/>
                <c:pt idx="0">
                  <c:v>10.362</c:v>
                </c:pt>
                <c:pt idx="1">
                  <c:v>10.583</c:v>
                </c:pt>
                <c:pt idx="2">
                  <c:v>10.792999999999999</c:v>
                </c:pt>
                <c:pt idx="3">
                  <c:v>10.997</c:v>
                </c:pt>
                <c:pt idx="4">
                  <c:v>11.198</c:v>
                </c:pt>
                <c:pt idx="5">
                  <c:v>11.397</c:v>
                </c:pt>
                <c:pt idx="6">
                  <c:v>11.595000000000001</c:v>
                </c:pt>
                <c:pt idx="7">
                  <c:v>11.792999999999999</c:v>
                </c:pt>
                <c:pt idx="8">
                  <c:v>11.99</c:v>
                </c:pt>
                <c:pt idx="9">
                  <c:v>12.188000000000001</c:v>
                </c:pt>
                <c:pt idx="10">
                  <c:v>12.387</c:v>
                </c:pt>
                <c:pt idx="11">
                  <c:v>12.595000000000001</c:v>
                </c:pt>
              </c:numCache>
            </c:numRef>
          </c:xVal>
          <c:yVal>
            <c:numRef>
              <c:f>'ds Manual Calculations'!$AA$80:$AA$91</c:f>
              <c:numCache>
                <c:formatCode>General</c:formatCode>
                <c:ptCount val="12"/>
                <c:pt idx="0">
                  <c:v>34.143000000000001</c:v>
                </c:pt>
                <c:pt idx="1">
                  <c:v>34.189</c:v>
                </c:pt>
                <c:pt idx="2">
                  <c:v>34.241</c:v>
                </c:pt>
                <c:pt idx="3">
                  <c:v>34.247</c:v>
                </c:pt>
                <c:pt idx="4">
                  <c:v>34.182000000000002</c:v>
                </c:pt>
                <c:pt idx="5">
                  <c:v>34.112000000000002</c:v>
                </c:pt>
                <c:pt idx="6">
                  <c:v>34.030999999999999</c:v>
                </c:pt>
                <c:pt idx="7">
                  <c:v>33.936999999999998</c:v>
                </c:pt>
                <c:pt idx="8">
                  <c:v>33.838999999999999</c:v>
                </c:pt>
                <c:pt idx="9">
                  <c:v>33.75</c:v>
                </c:pt>
                <c:pt idx="10">
                  <c:v>33.649000000000001</c:v>
                </c:pt>
                <c:pt idx="11">
                  <c:v>33.475999999999999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A0C-48C1-AA63-1E3D9519D66A}"/>
            </c:ext>
          </c:extLst>
        </c:ser>
        <c:ser>
          <c:idx val="1"/>
          <c:order val="1"/>
          <c:tx>
            <c:v>E3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'ds Manual Calculations'!$N$80:$N$91</c:f>
              <c:numCache>
                <c:formatCode>General</c:formatCode>
                <c:ptCount val="12"/>
                <c:pt idx="0">
                  <c:v>12.702999999999999</c:v>
                </c:pt>
                <c:pt idx="1">
                  <c:v>12.500999999999999</c:v>
                </c:pt>
                <c:pt idx="2">
                  <c:v>12.317</c:v>
                </c:pt>
                <c:pt idx="3">
                  <c:v>12.08</c:v>
                </c:pt>
                <c:pt idx="4">
                  <c:v>11.846</c:v>
                </c:pt>
                <c:pt idx="5">
                  <c:v>11.611000000000001</c:v>
                </c:pt>
                <c:pt idx="6">
                  <c:v>11.375999999999999</c:v>
                </c:pt>
                <c:pt idx="7">
                  <c:v>11.138999999999999</c:v>
                </c:pt>
                <c:pt idx="8">
                  <c:v>10.898</c:v>
                </c:pt>
                <c:pt idx="9">
                  <c:v>10.651999999999999</c:v>
                </c:pt>
                <c:pt idx="10">
                  <c:v>10.39</c:v>
                </c:pt>
                <c:pt idx="11">
                  <c:v>10.247999999999999</c:v>
                </c:pt>
              </c:numCache>
            </c:numRef>
          </c:xVal>
          <c:yVal>
            <c:numRef>
              <c:f>'ds Manual Calculations'!$D$67:$D$78</c:f>
              <c:numCache>
                <c:formatCode>General</c:formatCode>
                <c:ptCount val="12"/>
                <c:pt idx="0">
                  <c:v>33.995365</c:v>
                </c:pt>
                <c:pt idx="1">
                  <c:v>34.023910000000001</c:v>
                </c:pt>
                <c:pt idx="2">
                  <c:v>34.104354999999998</c:v>
                </c:pt>
                <c:pt idx="3">
                  <c:v>34.211615000000002</c:v>
                </c:pt>
                <c:pt idx="4">
                  <c:v>34.320605</c:v>
                </c:pt>
                <c:pt idx="5">
                  <c:v>34.427865000000004</c:v>
                </c:pt>
                <c:pt idx="6">
                  <c:v>34.535989999999998</c:v>
                </c:pt>
                <c:pt idx="7">
                  <c:v>34.643250000000002</c:v>
                </c:pt>
                <c:pt idx="8">
                  <c:v>34.751375000000003</c:v>
                </c:pt>
                <c:pt idx="9">
                  <c:v>34.859500000000004</c:v>
                </c:pt>
                <c:pt idx="10">
                  <c:v>34.966760000000001</c:v>
                </c:pt>
                <c:pt idx="11">
                  <c:v>35.021255000000004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A0C-48C1-AA63-1E3D9519D6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153839"/>
        <c:axId val="1661155087"/>
      </c:scatterChart>
      <c:valAx>
        <c:axId val="1661153839"/>
        <c:scaling>
          <c:orientation val="minMax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5087"/>
        <c:crosses val="autoZero"/>
        <c:crossBetween val="midCat"/>
      </c:valAx>
      <c:valAx>
        <c:axId val="166115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Pressure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OTAC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'ds Manual Calculations'!$AV$93:$AV$104</c:f>
              <c:numCache>
                <c:formatCode>General</c:formatCode>
                <c:ptCount val="12"/>
                <c:pt idx="0">
                  <c:v>10.528</c:v>
                </c:pt>
                <c:pt idx="1">
                  <c:v>10.725</c:v>
                </c:pt>
                <c:pt idx="2">
                  <c:v>10.901999999999999</c:v>
                </c:pt>
                <c:pt idx="3">
                  <c:v>11.071999999999999</c:v>
                </c:pt>
                <c:pt idx="4">
                  <c:v>11.239000000000001</c:v>
                </c:pt>
                <c:pt idx="5">
                  <c:v>11.404</c:v>
                </c:pt>
                <c:pt idx="6">
                  <c:v>11.57</c:v>
                </c:pt>
                <c:pt idx="7">
                  <c:v>11.734999999999999</c:v>
                </c:pt>
                <c:pt idx="8">
                  <c:v>11.901999999999999</c:v>
                </c:pt>
                <c:pt idx="9">
                  <c:v>12.071</c:v>
                </c:pt>
                <c:pt idx="10">
                  <c:v>12.247</c:v>
                </c:pt>
                <c:pt idx="11">
                  <c:v>12.455</c:v>
                </c:pt>
              </c:numCache>
            </c:numRef>
          </c:xVal>
          <c:yVal>
            <c:numRef>
              <c:f>'ds Manual Calculations'!$AA$93:$AA$104</c:f>
              <c:numCache>
                <c:formatCode>General</c:formatCode>
                <c:ptCount val="12"/>
                <c:pt idx="0">
                  <c:v>49.415999999999997</c:v>
                </c:pt>
                <c:pt idx="1">
                  <c:v>49.252000000000002</c:v>
                </c:pt>
                <c:pt idx="2">
                  <c:v>49.170999999999999</c:v>
                </c:pt>
                <c:pt idx="3">
                  <c:v>49.098999999999997</c:v>
                </c:pt>
                <c:pt idx="4">
                  <c:v>48.976999999999997</c:v>
                </c:pt>
                <c:pt idx="5">
                  <c:v>48.863999999999997</c:v>
                </c:pt>
                <c:pt idx="6">
                  <c:v>48.746000000000002</c:v>
                </c:pt>
                <c:pt idx="7">
                  <c:v>48.615000000000002</c:v>
                </c:pt>
                <c:pt idx="8">
                  <c:v>48.5</c:v>
                </c:pt>
                <c:pt idx="9">
                  <c:v>48.429000000000002</c:v>
                </c:pt>
                <c:pt idx="10">
                  <c:v>48.365000000000002</c:v>
                </c:pt>
                <c:pt idx="11">
                  <c:v>48.216999999999999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7FC-4A0B-B2C8-C5DA1EA85866}"/>
            </c:ext>
          </c:extLst>
        </c:ser>
        <c:ser>
          <c:idx val="1"/>
          <c:order val="1"/>
          <c:tx>
            <c:v>E3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'ds Manual Calculations'!$N$93:$N$104</c:f>
              <c:numCache>
                <c:formatCode>General</c:formatCode>
                <c:ptCount val="12"/>
                <c:pt idx="0">
                  <c:v>12.571999999999999</c:v>
                </c:pt>
                <c:pt idx="1">
                  <c:v>12.377000000000001</c:v>
                </c:pt>
                <c:pt idx="2">
                  <c:v>12.21</c:v>
                </c:pt>
                <c:pt idx="3">
                  <c:v>12.002000000000001</c:v>
                </c:pt>
                <c:pt idx="4">
                  <c:v>11.798</c:v>
                </c:pt>
                <c:pt idx="5">
                  <c:v>11.595000000000001</c:v>
                </c:pt>
                <c:pt idx="6">
                  <c:v>11.391999999999999</c:v>
                </c:pt>
                <c:pt idx="7">
                  <c:v>11.189</c:v>
                </c:pt>
                <c:pt idx="8">
                  <c:v>10.984999999999999</c:v>
                </c:pt>
                <c:pt idx="9">
                  <c:v>10.776</c:v>
                </c:pt>
                <c:pt idx="10">
                  <c:v>10.551</c:v>
                </c:pt>
                <c:pt idx="11">
                  <c:v>10.422000000000001</c:v>
                </c:pt>
              </c:numCache>
            </c:numRef>
          </c:xVal>
          <c:yVal>
            <c:numRef>
              <c:f>'ds Manual Calculations'!$D$93:$D$104</c:f>
              <c:numCache>
                <c:formatCode>General</c:formatCode>
                <c:ptCount val="12"/>
                <c:pt idx="0">
                  <c:v>48.075835000000005</c:v>
                </c:pt>
                <c:pt idx="1">
                  <c:v>48.180500000000002</c:v>
                </c:pt>
                <c:pt idx="2">
                  <c:v>48.285164999999999</c:v>
                </c:pt>
                <c:pt idx="3">
                  <c:v>48.425295000000006</c:v>
                </c:pt>
                <c:pt idx="4">
                  <c:v>48.56456</c:v>
                </c:pt>
                <c:pt idx="5">
                  <c:v>48.704690000000006</c:v>
                </c:pt>
                <c:pt idx="6">
                  <c:v>48.843955000000001</c:v>
                </c:pt>
                <c:pt idx="7">
                  <c:v>48.984085</c:v>
                </c:pt>
                <c:pt idx="8">
                  <c:v>49.123350000000002</c:v>
                </c:pt>
                <c:pt idx="9">
                  <c:v>49.263480000000001</c:v>
                </c:pt>
                <c:pt idx="10">
                  <c:v>49.403610000000008</c:v>
                </c:pt>
                <c:pt idx="11">
                  <c:v>49.472810000000003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7FC-4A0B-B2C8-C5DA1EA85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153839"/>
        <c:axId val="1661155087"/>
      </c:scatterChart>
      <c:valAx>
        <c:axId val="1661153839"/>
        <c:scaling>
          <c:orientation val="minMax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5087"/>
        <c:crosses val="autoZero"/>
        <c:crossBetween val="midCat"/>
      </c:valAx>
      <c:valAx>
        <c:axId val="166115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Pressure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OTAC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'ds Manual Calculations'!$AV$119:$AV$130</c:f>
              <c:numCache>
                <c:formatCode>General</c:formatCode>
                <c:ptCount val="12"/>
                <c:pt idx="0">
                  <c:v>10.696999999999999</c:v>
                </c:pt>
                <c:pt idx="1">
                  <c:v>10.856</c:v>
                </c:pt>
                <c:pt idx="2">
                  <c:v>11.007</c:v>
                </c:pt>
                <c:pt idx="3">
                  <c:v>11.154</c:v>
                </c:pt>
                <c:pt idx="4">
                  <c:v>11.297000000000001</c:v>
                </c:pt>
                <c:pt idx="5">
                  <c:v>11.438000000000001</c:v>
                </c:pt>
                <c:pt idx="6">
                  <c:v>11.579000000000001</c:v>
                </c:pt>
                <c:pt idx="7">
                  <c:v>11.718999999999999</c:v>
                </c:pt>
                <c:pt idx="8">
                  <c:v>11.859</c:v>
                </c:pt>
                <c:pt idx="9">
                  <c:v>11.999000000000001</c:v>
                </c:pt>
                <c:pt idx="10">
                  <c:v>12.14</c:v>
                </c:pt>
                <c:pt idx="11">
                  <c:v>12.284000000000001</c:v>
                </c:pt>
              </c:numCache>
            </c:numRef>
          </c:xVal>
          <c:yVal>
            <c:numRef>
              <c:f>'ds Manual Calculations'!$AA$106:$AA$117</c:f>
              <c:numCache>
                <c:formatCode>General</c:formatCode>
                <c:ptCount val="12"/>
                <c:pt idx="0">
                  <c:v>48.423000000000002</c:v>
                </c:pt>
                <c:pt idx="1">
                  <c:v>48.454999999999998</c:v>
                </c:pt>
                <c:pt idx="2">
                  <c:v>48.506</c:v>
                </c:pt>
                <c:pt idx="3">
                  <c:v>48.518000000000001</c:v>
                </c:pt>
                <c:pt idx="4">
                  <c:v>48.442999999999998</c:v>
                </c:pt>
                <c:pt idx="5">
                  <c:v>48.351999999999997</c:v>
                </c:pt>
                <c:pt idx="6">
                  <c:v>48.244</c:v>
                </c:pt>
                <c:pt idx="7">
                  <c:v>48.119</c:v>
                </c:pt>
                <c:pt idx="8">
                  <c:v>47.997999999999998</c:v>
                </c:pt>
                <c:pt idx="9">
                  <c:v>47.9</c:v>
                </c:pt>
                <c:pt idx="10">
                  <c:v>47.783000000000001</c:v>
                </c:pt>
                <c:pt idx="11">
                  <c:v>47.530999999999999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894-41F3-8F21-CC2B370D94B5}"/>
            </c:ext>
          </c:extLst>
        </c:ser>
        <c:ser>
          <c:idx val="1"/>
          <c:order val="1"/>
          <c:tx>
            <c:v>E3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'ds Manual Calculations'!$N$119:$N$130</c:f>
              <c:numCache>
                <c:formatCode>General</c:formatCode>
                <c:ptCount val="12"/>
                <c:pt idx="0">
                  <c:v>12.343</c:v>
                </c:pt>
                <c:pt idx="1">
                  <c:v>12.179</c:v>
                </c:pt>
                <c:pt idx="2">
                  <c:v>12.042999999999999</c:v>
                </c:pt>
                <c:pt idx="3">
                  <c:v>11.875999999999999</c:v>
                </c:pt>
                <c:pt idx="4">
                  <c:v>11.712999999999999</c:v>
                </c:pt>
                <c:pt idx="5">
                  <c:v>11.55</c:v>
                </c:pt>
                <c:pt idx="6">
                  <c:v>11.388</c:v>
                </c:pt>
                <c:pt idx="7">
                  <c:v>11.224</c:v>
                </c:pt>
                <c:pt idx="8">
                  <c:v>11.06</c:v>
                </c:pt>
                <c:pt idx="9">
                  <c:v>10.891</c:v>
                </c:pt>
                <c:pt idx="10">
                  <c:v>10.706</c:v>
                </c:pt>
                <c:pt idx="11">
                  <c:v>10.598000000000001</c:v>
                </c:pt>
              </c:numCache>
            </c:numRef>
          </c:xVal>
          <c:yVal>
            <c:numRef>
              <c:f>'ds Manual Calculations'!$D$106:$D$117</c:f>
              <c:numCache>
                <c:formatCode>General</c:formatCode>
                <c:ptCount val="12"/>
                <c:pt idx="0">
                  <c:v>47.313770000000005</c:v>
                </c:pt>
                <c:pt idx="1">
                  <c:v>47.536075000000004</c:v>
                </c:pt>
                <c:pt idx="2">
                  <c:v>47.712535000000003</c:v>
                </c:pt>
                <c:pt idx="3">
                  <c:v>47.913215000000008</c:v>
                </c:pt>
                <c:pt idx="4">
                  <c:v>48.070644999999999</c:v>
                </c:pt>
                <c:pt idx="5">
                  <c:v>48.205584999999999</c:v>
                </c:pt>
                <c:pt idx="6">
                  <c:v>48.331875000000004</c:v>
                </c:pt>
                <c:pt idx="7">
                  <c:v>48.442594999999997</c:v>
                </c:pt>
                <c:pt idx="8">
                  <c:v>48.512659999999997</c:v>
                </c:pt>
                <c:pt idx="9">
                  <c:v>48.508335000000002</c:v>
                </c:pt>
                <c:pt idx="10">
                  <c:v>48.430485000000004</c:v>
                </c:pt>
                <c:pt idx="11">
                  <c:v>48.349175000000002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894-41F3-8F21-CC2B370D94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153839"/>
        <c:axId val="1661155087"/>
      </c:scatterChart>
      <c:valAx>
        <c:axId val="166115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5087"/>
        <c:crosses val="autoZero"/>
        <c:crossBetween val="midCat"/>
      </c:valAx>
      <c:valAx>
        <c:axId val="166115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Pressure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OTAC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'ds Manual Calculations'!$AV$119:$AV$130</c:f>
              <c:numCache>
                <c:formatCode>General</c:formatCode>
                <c:ptCount val="12"/>
                <c:pt idx="0">
                  <c:v>10.696999999999999</c:v>
                </c:pt>
                <c:pt idx="1">
                  <c:v>10.856</c:v>
                </c:pt>
                <c:pt idx="2">
                  <c:v>11.007</c:v>
                </c:pt>
                <c:pt idx="3">
                  <c:v>11.154</c:v>
                </c:pt>
                <c:pt idx="4">
                  <c:v>11.297000000000001</c:v>
                </c:pt>
                <c:pt idx="5">
                  <c:v>11.438000000000001</c:v>
                </c:pt>
                <c:pt idx="6">
                  <c:v>11.579000000000001</c:v>
                </c:pt>
                <c:pt idx="7">
                  <c:v>11.718999999999999</c:v>
                </c:pt>
                <c:pt idx="8">
                  <c:v>11.859</c:v>
                </c:pt>
                <c:pt idx="9">
                  <c:v>11.999000000000001</c:v>
                </c:pt>
                <c:pt idx="10">
                  <c:v>12.14</c:v>
                </c:pt>
                <c:pt idx="11">
                  <c:v>12.284000000000001</c:v>
                </c:pt>
              </c:numCache>
            </c:numRef>
          </c:xVal>
          <c:yVal>
            <c:numRef>
              <c:f>'ds Manual Calculations'!$AA$119:$AA$130</c:f>
              <c:numCache>
                <c:formatCode>General</c:formatCode>
                <c:ptCount val="12"/>
                <c:pt idx="0">
                  <c:v>67.525999999999996</c:v>
                </c:pt>
                <c:pt idx="1">
                  <c:v>67.323999999999998</c:v>
                </c:pt>
                <c:pt idx="2">
                  <c:v>67.2</c:v>
                </c:pt>
                <c:pt idx="3">
                  <c:v>67.088999999999999</c:v>
                </c:pt>
                <c:pt idx="4">
                  <c:v>66.921999999999997</c:v>
                </c:pt>
                <c:pt idx="5">
                  <c:v>66.774000000000001</c:v>
                </c:pt>
                <c:pt idx="6">
                  <c:v>66.616</c:v>
                </c:pt>
                <c:pt idx="7">
                  <c:v>66.447000000000003</c:v>
                </c:pt>
                <c:pt idx="8">
                  <c:v>66.304000000000002</c:v>
                </c:pt>
                <c:pt idx="9">
                  <c:v>66.233000000000004</c:v>
                </c:pt>
                <c:pt idx="10">
                  <c:v>66.17</c:v>
                </c:pt>
                <c:pt idx="11">
                  <c:v>65.960999999999999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48A-4DCC-B7E8-AC91E98C5A0B}"/>
            </c:ext>
          </c:extLst>
        </c:ser>
        <c:ser>
          <c:idx val="1"/>
          <c:order val="1"/>
          <c:tx>
            <c:v>E3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'ds Manual Calculations'!$N$119:$N$130</c:f>
              <c:numCache>
                <c:formatCode>General</c:formatCode>
                <c:ptCount val="12"/>
                <c:pt idx="0">
                  <c:v>12.343</c:v>
                </c:pt>
                <c:pt idx="1">
                  <c:v>12.179</c:v>
                </c:pt>
                <c:pt idx="2">
                  <c:v>12.042999999999999</c:v>
                </c:pt>
                <c:pt idx="3">
                  <c:v>11.875999999999999</c:v>
                </c:pt>
                <c:pt idx="4">
                  <c:v>11.712999999999999</c:v>
                </c:pt>
                <c:pt idx="5">
                  <c:v>11.55</c:v>
                </c:pt>
                <c:pt idx="6">
                  <c:v>11.388</c:v>
                </c:pt>
                <c:pt idx="7">
                  <c:v>11.224</c:v>
                </c:pt>
                <c:pt idx="8">
                  <c:v>11.06</c:v>
                </c:pt>
                <c:pt idx="9">
                  <c:v>10.891</c:v>
                </c:pt>
                <c:pt idx="10">
                  <c:v>10.706</c:v>
                </c:pt>
                <c:pt idx="11">
                  <c:v>10.598000000000001</c:v>
                </c:pt>
              </c:numCache>
            </c:numRef>
          </c:xVal>
          <c:yVal>
            <c:numRef>
              <c:f>'ds Manual Calculations'!$D$119:$D$130</c:f>
              <c:numCache>
                <c:formatCode>General</c:formatCode>
                <c:ptCount val="12"/>
                <c:pt idx="0">
                  <c:v>65.73827</c:v>
                </c:pt>
                <c:pt idx="1">
                  <c:v>65.875805</c:v>
                </c:pt>
                <c:pt idx="2">
                  <c:v>66.012475000000009</c:v>
                </c:pt>
                <c:pt idx="3">
                  <c:v>66.195855000000009</c:v>
                </c:pt>
                <c:pt idx="4">
                  <c:v>66.378370000000004</c:v>
                </c:pt>
                <c:pt idx="5">
                  <c:v>66.561750000000004</c:v>
                </c:pt>
                <c:pt idx="6">
                  <c:v>66.744264999999999</c:v>
                </c:pt>
                <c:pt idx="7">
                  <c:v>66.927644999999998</c:v>
                </c:pt>
                <c:pt idx="8">
                  <c:v>67.110160000000008</c:v>
                </c:pt>
                <c:pt idx="9">
                  <c:v>67.293540000000007</c:v>
                </c:pt>
                <c:pt idx="10">
                  <c:v>67.476055000000002</c:v>
                </c:pt>
                <c:pt idx="11">
                  <c:v>67.567745000000002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48A-4DCC-B7E8-AC91E98C5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153839"/>
        <c:axId val="1661155087"/>
      </c:scatterChart>
      <c:valAx>
        <c:axId val="166115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5087"/>
        <c:crosses val="autoZero"/>
        <c:crossBetween val="midCat"/>
      </c:valAx>
      <c:valAx>
        <c:axId val="166115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Pressure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OTAC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'ds Manual Calculations'!$AV$132:$AV$143</c:f>
              <c:numCache>
                <c:formatCode>General</c:formatCode>
                <c:ptCount val="12"/>
                <c:pt idx="0">
                  <c:v>10.728999999999999</c:v>
                </c:pt>
                <c:pt idx="1">
                  <c:v>10.867000000000001</c:v>
                </c:pt>
                <c:pt idx="2">
                  <c:v>11</c:v>
                </c:pt>
                <c:pt idx="3">
                  <c:v>11.129</c:v>
                </c:pt>
                <c:pt idx="4">
                  <c:v>11.257</c:v>
                </c:pt>
                <c:pt idx="5">
                  <c:v>11.385</c:v>
                </c:pt>
                <c:pt idx="6">
                  <c:v>11.513999999999999</c:v>
                </c:pt>
                <c:pt idx="7">
                  <c:v>11.641999999999999</c:v>
                </c:pt>
                <c:pt idx="8">
                  <c:v>11.772</c:v>
                </c:pt>
                <c:pt idx="9">
                  <c:v>11.904</c:v>
                </c:pt>
                <c:pt idx="10">
                  <c:v>12.038</c:v>
                </c:pt>
                <c:pt idx="11">
                  <c:v>12.18</c:v>
                </c:pt>
              </c:numCache>
            </c:numRef>
          </c:xVal>
          <c:yVal>
            <c:numRef>
              <c:f>'ds Manual Calculations'!$AA$132:$AA$143</c:f>
              <c:numCache>
                <c:formatCode>General</c:formatCode>
                <c:ptCount val="12"/>
                <c:pt idx="0">
                  <c:v>66.293999999999997</c:v>
                </c:pt>
                <c:pt idx="1">
                  <c:v>66.331000000000003</c:v>
                </c:pt>
                <c:pt idx="2">
                  <c:v>66.38</c:v>
                </c:pt>
                <c:pt idx="3">
                  <c:v>66.373000000000005</c:v>
                </c:pt>
                <c:pt idx="4">
                  <c:v>66.259</c:v>
                </c:pt>
                <c:pt idx="5">
                  <c:v>66.135999999999996</c:v>
                </c:pt>
                <c:pt idx="6">
                  <c:v>65.991</c:v>
                </c:pt>
                <c:pt idx="7">
                  <c:v>65.825999999999993</c:v>
                </c:pt>
                <c:pt idx="8">
                  <c:v>65.667000000000002</c:v>
                </c:pt>
                <c:pt idx="9">
                  <c:v>65.543999999999997</c:v>
                </c:pt>
                <c:pt idx="10">
                  <c:v>65.400999999999996</c:v>
                </c:pt>
                <c:pt idx="11">
                  <c:v>65.069000000000003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E6-4F47-92F1-EA0429300EC5}"/>
            </c:ext>
          </c:extLst>
        </c:ser>
        <c:ser>
          <c:idx val="1"/>
          <c:order val="1"/>
          <c:tx>
            <c:v>E3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'ds Manual Calculations'!$N$132:$N$143</c:f>
              <c:numCache>
                <c:formatCode>General</c:formatCode>
                <c:ptCount val="12"/>
                <c:pt idx="0">
                  <c:v>12.24</c:v>
                </c:pt>
                <c:pt idx="1">
                  <c:v>12.103999999999999</c:v>
                </c:pt>
                <c:pt idx="2">
                  <c:v>11.98</c:v>
                </c:pt>
                <c:pt idx="3">
                  <c:v>11.823</c:v>
                </c:pt>
                <c:pt idx="4">
                  <c:v>11.669</c:v>
                </c:pt>
                <c:pt idx="5">
                  <c:v>11.516</c:v>
                </c:pt>
                <c:pt idx="6">
                  <c:v>11.363</c:v>
                </c:pt>
                <c:pt idx="7">
                  <c:v>11.21</c:v>
                </c:pt>
                <c:pt idx="8">
                  <c:v>11.055</c:v>
                </c:pt>
                <c:pt idx="9">
                  <c:v>10.898999999999999</c:v>
                </c:pt>
                <c:pt idx="10">
                  <c:v>10.731</c:v>
                </c:pt>
                <c:pt idx="11">
                  <c:v>10.641999999999999</c:v>
                </c:pt>
              </c:numCache>
            </c:numRef>
          </c:xVal>
          <c:yVal>
            <c:numRef>
              <c:f>'ds Manual Calculations'!$D$132:$D$143</c:f>
              <c:numCache>
                <c:formatCode>General</c:formatCode>
                <c:ptCount val="12"/>
                <c:pt idx="0">
                  <c:v>64.773795000000007</c:v>
                </c:pt>
                <c:pt idx="1">
                  <c:v>65.061840000000004</c:v>
                </c:pt>
                <c:pt idx="2">
                  <c:v>65.290199999999999</c:v>
                </c:pt>
                <c:pt idx="3">
                  <c:v>65.552295000000001</c:v>
                </c:pt>
                <c:pt idx="4">
                  <c:v>65.758165000000005</c:v>
                </c:pt>
                <c:pt idx="5">
                  <c:v>65.937219999999996</c:v>
                </c:pt>
                <c:pt idx="6">
                  <c:v>66.104165000000009</c:v>
                </c:pt>
                <c:pt idx="7">
                  <c:v>66.252944999999997</c:v>
                </c:pt>
                <c:pt idx="8">
                  <c:v>66.351555000000005</c:v>
                </c:pt>
                <c:pt idx="9">
                  <c:v>66.358474999999999</c:v>
                </c:pt>
                <c:pt idx="10">
                  <c:v>66.273705000000007</c:v>
                </c:pt>
                <c:pt idx="11">
                  <c:v>66.179420000000007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E6-4F47-92F1-EA0429300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153839"/>
        <c:axId val="1661155087"/>
      </c:scatterChart>
      <c:valAx>
        <c:axId val="166115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5087"/>
        <c:crosses val="autoZero"/>
        <c:crossBetween val="midCat"/>
      </c:valAx>
      <c:valAx>
        <c:axId val="166115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Pressure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OTAC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'ds Manual Calculations'!$AV$145:$AV$156</c:f>
              <c:numCache>
                <c:formatCode>General</c:formatCode>
                <c:ptCount val="12"/>
                <c:pt idx="0">
                  <c:v>10.785</c:v>
                </c:pt>
                <c:pt idx="1">
                  <c:v>10.929</c:v>
                </c:pt>
                <c:pt idx="2">
                  <c:v>11.045</c:v>
                </c:pt>
                <c:pt idx="3">
                  <c:v>11.151</c:v>
                </c:pt>
                <c:pt idx="4">
                  <c:v>11.257</c:v>
                </c:pt>
                <c:pt idx="5">
                  <c:v>11.361000000000001</c:v>
                </c:pt>
                <c:pt idx="6">
                  <c:v>11.465999999999999</c:v>
                </c:pt>
                <c:pt idx="7">
                  <c:v>11.571999999999999</c:v>
                </c:pt>
                <c:pt idx="8">
                  <c:v>11.679</c:v>
                </c:pt>
                <c:pt idx="9">
                  <c:v>11.789</c:v>
                </c:pt>
                <c:pt idx="10">
                  <c:v>11.904999999999999</c:v>
                </c:pt>
                <c:pt idx="11">
                  <c:v>12.038</c:v>
                </c:pt>
              </c:numCache>
            </c:numRef>
          </c:xVal>
          <c:yVal>
            <c:numRef>
              <c:f>'ds Manual Calculations'!$AA$145:$AA$156</c:f>
              <c:numCache>
                <c:formatCode>General</c:formatCode>
                <c:ptCount val="12"/>
                <c:pt idx="0">
                  <c:v>86.893000000000001</c:v>
                </c:pt>
                <c:pt idx="1">
                  <c:v>86.671999999999997</c:v>
                </c:pt>
                <c:pt idx="2">
                  <c:v>86.533000000000001</c:v>
                </c:pt>
                <c:pt idx="3">
                  <c:v>86.394000000000005</c:v>
                </c:pt>
                <c:pt idx="4">
                  <c:v>86.188000000000002</c:v>
                </c:pt>
                <c:pt idx="5">
                  <c:v>86.016999999999996</c:v>
                </c:pt>
                <c:pt idx="6">
                  <c:v>85.834000000000003</c:v>
                </c:pt>
                <c:pt idx="7">
                  <c:v>85.638000000000005</c:v>
                </c:pt>
                <c:pt idx="8">
                  <c:v>85.47</c:v>
                </c:pt>
                <c:pt idx="9">
                  <c:v>85.388999999999996</c:v>
                </c:pt>
                <c:pt idx="10">
                  <c:v>85.325000000000003</c:v>
                </c:pt>
                <c:pt idx="11">
                  <c:v>85.051000000000002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0AC-4DE1-AD02-1AA0802BCB9D}"/>
            </c:ext>
          </c:extLst>
        </c:ser>
        <c:ser>
          <c:idx val="1"/>
          <c:order val="1"/>
          <c:tx>
            <c:v>E3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'ds Manual Calculations'!$N$145:$N$156</c:f>
              <c:numCache>
                <c:formatCode>General</c:formatCode>
                <c:ptCount val="12"/>
                <c:pt idx="0">
                  <c:v>12.099</c:v>
                </c:pt>
                <c:pt idx="1">
                  <c:v>11.992000000000001</c:v>
                </c:pt>
                <c:pt idx="2">
                  <c:v>11.878</c:v>
                </c:pt>
                <c:pt idx="3">
                  <c:v>11.737</c:v>
                </c:pt>
                <c:pt idx="4">
                  <c:v>11.602</c:v>
                </c:pt>
                <c:pt idx="5">
                  <c:v>11.467000000000001</c:v>
                </c:pt>
                <c:pt idx="6">
                  <c:v>11.333</c:v>
                </c:pt>
                <c:pt idx="7">
                  <c:v>11.198</c:v>
                </c:pt>
                <c:pt idx="8">
                  <c:v>11.063000000000001</c:v>
                </c:pt>
                <c:pt idx="9">
                  <c:v>10.923999999999999</c:v>
                </c:pt>
                <c:pt idx="10">
                  <c:v>10.773</c:v>
                </c:pt>
                <c:pt idx="11">
                  <c:v>10.686999999999999</c:v>
                </c:pt>
              </c:numCache>
            </c:numRef>
          </c:xVal>
          <c:yVal>
            <c:numRef>
              <c:f>'ds Manual Calculations'!$D$145:$D$156</c:f>
              <c:numCache>
                <c:formatCode>General</c:formatCode>
                <c:ptCount val="12"/>
                <c:pt idx="0">
                  <c:v>84.830550000000002</c:v>
                </c:pt>
                <c:pt idx="1">
                  <c:v>84.986249999999998</c:v>
                </c:pt>
                <c:pt idx="2">
                  <c:v>85.141950000000008</c:v>
                </c:pt>
                <c:pt idx="3">
                  <c:v>85.350415000000012</c:v>
                </c:pt>
                <c:pt idx="4">
                  <c:v>85.558014999999997</c:v>
                </c:pt>
                <c:pt idx="5">
                  <c:v>85.765615000000011</c:v>
                </c:pt>
                <c:pt idx="6">
                  <c:v>85.973214999999996</c:v>
                </c:pt>
                <c:pt idx="7">
                  <c:v>86.18081500000001</c:v>
                </c:pt>
                <c:pt idx="8">
                  <c:v>86.388415000000009</c:v>
                </c:pt>
                <c:pt idx="9">
                  <c:v>86.596015000000008</c:v>
                </c:pt>
                <c:pt idx="10">
                  <c:v>86.803615000000008</c:v>
                </c:pt>
                <c:pt idx="11">
                  <c:v>86.907415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0AC-4DE1-AD02-1AA0802BCB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153839"/>
        <c:axId val="1661155087"/>
      </c:scatterChart>
      <c:valAx>
        <c:axId val="166115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5087"/>
        <c:crosses val="autoZero"/>
        <c:crossBetween val="midCat"/>
      </c:valAx>
      <c:valAx>
        <c:axId val="166115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Pressure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OTAC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'ds Manual Calculations'!$AV$158:$AV$169</c:f>
              <c:numCache>
                <c:formatCode>General</c:formatCode>
                <c:ptCount val="12"/>
                <c:pt idx="0">
                  <c:v>10.797000000000001</c:v>
                </c:pt>
                <c:pt idx="1">
                  <c:v>10.907</c:v>
                </c:pt>
                <c:pt idx="2">
                  <c:v>11.013</c:v>
                </c:pt>
                <c:pt idx="3">
                  <c:v>11.117000000000001</c:v>
                </c:pt>
                <c:pt idx="4">
                  <c:v>11.221</c:v>
                </c:pt>
                <c:pt idx="5">
                  <c:v>11.324</c:v>
                </c:pt>
                <c:pt idx="6">
                  <c:v>11.427</c:v>
                </c:pt>
                <c:pt idx="7">
                  <c:v>11.532</c:v>
                </c:pt>
                <c:pt idx="8">
                  <c:v>11.637</c:v>
                </c:pt>
                <c:pt idx="9">
                  <c:v>11.744</c:v>
                </c:pt>
                <c:pt idx="10">
                  <c:v>11.853</c:v>
                </c:pt>
                <c:pt idx="11">
                  <c:v>11.967000000000001</c:v>
                </c:pt>
              </c:numCache>
            </c:numRef>
          </c:xVal>
          <c:yVal>
            <c:numRef>
              <c:f>'ds Manual Calculations'!$AA$158:$AA$169</c:f>
              <c:numCache>
                <c:formatCode>General</c:formatCode>
                <c:ptCount val="12"/>
                <c:pt idx="0">
                  <c:v>85.593000000000004</c:v>
                </c:pt>
                <c:pt idx="1">
                  <c:v>85.652000000000001</c:v>
                </c:pt>
                <c:pt idx="2">
                  <c:v>85.67</c:v>
                </c:pt>
                <c:pt idx="3">
                  <c:v>85.614000000000004</c:v>
                </c:pt>
                <c:pt idx="4">
                  <c:v>85.491</c:v>
                </c:pt>
                <c:pt idx="5">
                  <c:v>85.391000000000005</c:v>
                </c:pt>
                <c:pt idx="6">
                  <c:v>85.147000000000006</c:v>
                </c:pt>
                <c:pt idx="7">
                  <c:v>84.944999999999993</c:v>
                </c:pt>
                <c:pt idx="8">
                  <c:v>84.763000000000005</c:v>
                </c:pt>
                <c:pt idx="9">
                  <c:v>84.641000000000005</c:v>
                </c:pt>
                <c:pt idx="10">
                  <c:v>84.495999999999995</c:v>
                </c:pt>
                <c:pt idx="11">
                  <c:v>84.073999999999998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354-4CE9-8337-C08EC8203343}"/>
            </c:ext>
          </c:extLst>
        </c:ser>
        <c:ser>
          <c:idx val="1"/>
          <c:order val="1"/>
          <c:tx>
            <c:v>E3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'ds Manual Calculations'!$N$158:$N$169</c:f>
              <c:numCache>
                <c:formatCode>0.000</c:formatCode>
                <c:ptCount val="12"/>
                <c:pt idx="0">
                  <c:v>12.016</c:v>
                </c:pt>
                <c:pt idx="1">
                  <c:v>11.926</c:v>
                </c:pt>
                <c:pt idx="2">
                  <c:v>11.823</c:v>
                </c:pt>
                <c:pt idx="3">
                  <c:v>11.693</c:v>
                </c:pt>
                <c:pt idx="4">
                  <c:v>11.566000000000001</c:v>
                </c:pt>
                <c:pt idx="5">
                  <c:v>11.44</c:v>
                </c:pt>
                <c:pt idx="6">
                  <c:v>11.315</c:v>
                </c:pt>
                <c:pt idx="7">
                  <c:v>11.19</c:v>
                </c:pt>
                <c:pt idx="8">
                  <c:v>11.063000000000001</c:v>
                </c:pt>
                <c:pt idx="9">
                  <c:v>10.935</c:v>
                </c:pt>
                <c:pt idx="10">
                  <c:v>10.8</c:v>
                </c:pt>
                <c:pt idx="11">
                  <c:v>10.728999999999999</c:v>
                </c:pt>
              </c:numCache>
            </c:numRef>
          </c:xVal>
          <c:yVal>
            <c:numRef>
              <c:f>'ds Manual Calculations'!$D$158:$D$169</c:f>
              <c:numCache>
                <c:formatCode>General</c:formatCode>
                <c:ptCount val="12"/>
                <c:pt idx="0">
                  <c:v>83.749300000000005</c:v>
                </c:pt>
                <c:pt idx="1">
                  <c:v>84.047725</c:v>
                </c:pt>
                <c:pt idx="2">
                  <c:v>84.319334999999995</c:v>
                </c:pt>
                <c:pt idx="3">
                  <c:v>84.623814999999993</c:v>
                </c:pt>
                <c:pt idx="4">
                  <c:v>84.866015000000004</c:v>
                </c:pt>
                <c:pt idx="5">
                  <c:v>85.071020000000004</c:v>
                </c:pt>
                <c:pt idx="6">
                  <c:v>85.264780000000016</c:v>
                </c:pt>
                <c:pt idx="7">
                  <c:v>85.436915000000013</c:v>
                </c:pt>
                <c:pt idx="8">
                  <c:v>85.556285000000003</c:v>
                </c:pt>
                <c:pt idx="9">
                  <c:v>85.572720000000004</c:v>
                </c:pt>
                <c:pt idx="10">
                  <c:v>85.494005000000001</c:v>
                </c:pt>
                <c:pt idx="11">
                  <c:v>85.401449999999997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354-4CE9-8337-C08EC8203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153839"/>
        <c:axId val="1661155087"/>
      </c:scatterChart>
      <c:valAx>
        <c:axId val="166115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5087"/>
        <c:crosses val="autoZero"/>
        <c:crossBetween val="midCat"/>
      </c:valAx>
      <c:valAx>
        <c:axId val="166115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Pressure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OTAC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'ds Manual Calculations'!$AV$171:$AV$182</c:f>
              <c:numCache>
                <c:formatCode>General</c:formatCode>
                <c:ptCount val="12"/>
                <c:pt idx="0">
                  <c:v>10.831</c:v>
                </c:pt>
                <c:pt idx="1">
                  <c:v>10.933999999999999</c:v>
                </c:pt>
                <c:pt idx="2">
                  <c:v>11.029</c:v>
                </c:pt>
                <c:pt idx="3">
                  <c:v>11.119</c:v>
                </c:pt>
                <c:pt idx="4">
                  <c:v>11.209</c:v>
                </c:pt>
                <c:pt idx="5">
                  <c:v>11.297000000000001</c:v>
                </c:pt>
                <c:pt idx="6">
                  <c:v>11.385999999999999</c:v>
                </c:pt>
                <c:pt idx="7">
                  <c:v>11.476000000000001</c:v>
                </c:pt>
                <c:pt idx="8">
                  <c:v>11.568</c:v>
                </c:pt>
                <c:pt idx="9">
                  <c:v>11.662000000000001</c:v>
                </c:pt>
                <c:pt idx="10">
                  <c:v>11.763</c:v>
                </c:pt>
                <c:pt idx="11">
                  <c:v>11.881</c:v>
                </c:pt>
              </c:numCache>
            </c:numRef>
          </c:xVal>
          <c:yVal>
            <c:numRef>
              <c:f>'ds Manual Calculations'!$AA$171:$AA$182</c:f>
              <c:numCache>
                <c:formatCode>General</c:formatCode>
                <c:ptCount val="12"/>
                <c:pt idx="0">
                  <c:v>111.32599999999999</c:v>
                </c:pt>
                <c:pt idx="1">
                  <c:v>111.105</c:v>
                </c:pt>
                <c:pt idx="2">
                  <c:v>110.895</c:v>
                </c:pt>
                <c:pt idx="3">
                  <c:v>110.669</c:v>
                </c:pt>
                <c:pt idx="4">
                  <c:v>110.44</c:v>
                </c:pt>
                <c:pt idx="5">
                  <c:v>110.283</c:v>
                </c:pt>
                <c:pt idx="6">
                  <c:v>109.967</c:v>
                </c:pt>
                <c:pt idx="7">
                  <c:v>109.71299999999999</c:v>
                </c:pt>
                <c:pt idx="8">
                  <c:v>109.515</c:v>
                </c:pt>
                <c:pt idx="9">
                  <c:v>109.444</c:v>
                </c:pt>
                <c:pt idx="10">
                  <c:v>109.39100000000001</c:v>
                </c:pt>
                <c:pt idx="11">
                  <c:v>109.039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F33-434B-8798-BD11A64A439C}"/>
            </c:ext>
          </c:extLst>
        </c:ser>
        <c:ser>
          <c:idx val="1"/>
          <c:order val="1"/>
          <c:tx>
            <c:v>E3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'ds Manual Calculations'!$N$171:$N$182</c:f>
              <c:numCache>
                <c:formatCode>General</c:formatCode>
                <c:ptCount val="12"/>
                <c:pt idx="0">
                  <c:v>11.930999999999999</c:v>
                </c:pt>
                <c:pt idx="1">
                  <c:v>11.836</c:v>
                </c:pt>
                <c:pt idx="2">
                  <c:v>11.741</c:v>
                </c:pt>
                <c:pt idx="3">
                  <c:v>11.622</c:v>
                </c:pt>
                <c:pt idx="4">
                  <c:v>11.509</c:v>
                </c:pt>
                <c:pt idx="5">
                  <c:v>11.398</c:v>
                </c:pt>
                <c:pt idx="6">
                  <c:v>11.288</c:v>
                </c:pt>
                <c:pt idx="7">
                  <c:v>11.178000000000001</c:v>
                </c:pt>
                <c:pt idx="8">
                  <c:v>11.066000000000001</c:v>
                </c:pt>
                <c:pt idx="9">
                  <c:v>10.952</c:v>
                </c:pt>
                <c:pt idx="10">
                  <c:v>10.827999999999999</c:v>
                </c:pt>
                <c:pt idx="11">
                  <c:v>10.759</c:v>
                </c:pt>
              </c:numCache>
            </c:numRef>
          </c:xVal>
          <c:yVal>
            <c:numRef>
              <c:f>'ds Manual Calculations'!$D$171:$D$182</c:f>
              <c:numCache>
                <c:formatCode>General</c:formatCode>
                <c:ptCount val="12"/>
                <c:pt idx="0">
                  <c:v>108.72963500000002</c:v>
                </c:pt>
                <c:pt idx="1">
                  <c:v>108.91993500000001</c:v>
                </c:pt>
                <c:pt idx="2">
                  <c:v>109.10937</c:v>
                </c:pt>
                <c:pt idx="3">
                  <c:v>109.36281500000001</c:v>
                </c:pt>
                <c:pt idx="4">
                  <c:v>109.61539500000001</c:v>
                </c:pt>
                <c:pt idx="5">
                  <c:v>109.86883999999999</c:v>
                </c:pt>
                <c:pt idx="6">
                  <c:v>110.12142</c:v>
                </c:pt>
                <c:pt idx="7">
                  <c:v>110.374865</c:v>
                </c:pt>
                <c:pt idx="8">
                  <c:v>110.62831000000001</c:v>
                </c:pt>
                <c:pt idx="9">
                  <c:v>110.88089000000001</c:v>
                </c:pt>
                <c:pt idx="10">
                  <c:v>111.13433499999999</c:v>
                </c:pt>
                <c:pt idx="11">
                  <c:v>111.260625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F33-434B-8798-BD11A64A43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153839"/>
        <c:axId val="1661155087"/>
      </c:scatterChart>
      <c:valAx>
        <c:axId val="166115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5087"/>
        <c:crosses val="autoZero"/>
        <c:crossBetween val="midCat"/>
      </c:valAx>
      <c:valAx>
        <c:axId val="166115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Pressure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OTAC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'ds Manual Calculations'!$AV$184:$AV$195</c:f>
              <c:numCache>
                <c:formatCode>General</c:formatCode>
                <c:ptCount val="12"/>
                <c:pt idx="0">
                  <c:v>10.83</c:v>
                </c:pt>
                <c:pt idx="1">
                  <c:v>10.920999999999999</c:v>
                </c:pt>
                <c:pt idx="2">
                  <c:v>11.010999999999999</c:v>
                </c:pt>
                <c:pt idx="3">
                  <c:v>11.099</c:v>
                </c:pt>
                <c:pt idx="4">
                  <c:v>11.186999999999999</c:v>
                </c:pt>
                <c:pt idx="5">
                  <c:v>11.275</c:v>
                </c:pt>
                <c:pt idx="6">
                  <c:v>11.363</c:v>
                </c:pt>
                <c:pt idx="7">
                  <c:v>11.452</c:v>
                </c:pt>
                <c:pt idx="8">
                  <c:v>11.542999999999999</c:v>
                </c:pt>
                <c:pt idx="9">
                  <c:v>11.634</c:v>
                </c:pt>
                <c:pt idx="10">
                  <c:v>11.727</c:v>
                </c:pt>
                <c:pt idx="11">
                  <c:v>11.821999999999999</c:v>
                </c:pt>
              </c:numCache>
            </c:numRef>
          </c:xVal>
          <c:yVal>
            <c:numRef>
              <c:f>'ds Manual Calculations'!$AA$184:$AA$195</c:f>
              <c:numCache>
                <c:formatCode>General</c:formatCode>
                <c:ptCount val="12"/>
                <c:pt idx="0">
                  <c:v>109.524</c:v>
                </c:pt>
                <c:pt idx="1">
                  <c:v>109.584</c:v>
                </c:pt>
                <c:pt idx="2">
                  <c:v>109.584</c:v>
                </c:pt>
                <c:pt idx="3">
                  <c:v>109.524</c:v>
                </c:pt>
                <c:pt idx="4">
                  <c:v>109.42100000000001</c:v>
                </c:pt>
                <c:pt idx="5">
                  <c:v>109.345</c:v>
                </c:pt>
                <c:pt idx="6">
                  <c:v>109.047</c:v>
                </c:pt>
                <c:pt idx="7">
                  <c:v>108.776</c:v>
                </c:pt>
                <c:pt idx="8">
                  <c:v>108.52800000000001</c:v>
                </c:pt>
                <c:pt idx="9">
                  <c:v>108.36799999999999</c:v>
                </c:pt>
                <c:pt idx="10">
                  <c:v>108.188</c:v>
                </c:pt>
                <c:pt idx="11">
                  <c:v>107.673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9D2-4E56-83D9-84E041726E00}"/>
            </c:ext>
          </c:extLst>
        </c:ser>
        <c:ser>
          <c:idx val="1"/>
          <c:order val="1"/>
          <c:tx>
            <c:v>E3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'ds Manual Calculations'!$N$184:$N$195</c:f>
              <c:numCache>
                <c:formatCode>0.0000_);[Red]\(0.0000\)</c:formatCode>
                <c:ptCount val="12"/>
                <c:pt idx="0">
                  <c:v>11.843999999999999</c:v>
                </c:pt>
                <c:pt idx="1">
                  <c:v>11.768000000000001</c:v>
                </c:pt>
                <c:pt idx="2">
                  <c:v>11.682</c:v>
                </c:pt>
                <c:pt idx="3">
                  <c:v>11.571999999999999</c:v>
                </c:pt>
                <c:pt idx="4">
                  <c:v>11.464</c:v>
                </c:pt>
                <c:pt idx="5">
                  <c:v>11.358000000000001</c:v>
                </c:pt>
                <c:pt idx="6">
                  <c:v>11.252000000000001</c:v>
                </c:pt>
                <c:pt idx="7">
                  <c:v>11.146000000000001</c:v>
                </c:pt>
                <c:pt idx="8">
                  <c:v>11.039</c:v>
                </c:pt>
                <c:pt idx="9">
                  <c:v>10.929</c:v>
                </c:pt>
                <c:pt idx="10">
                  <c:v>10.815</c:v>
                </c:pt>
                <c:pt idx="11">
                  <c:v>10.755000000000001</c:v>
                </c:pt>
              </c:numCache>
            </c:numRef>
          </c:xVal>
          <c:yVal>
            <c:numRef>
              <c:f>'ds Manual Calculations'!$D$184:$D$195</c:f>
              <c:numCache>
                <c:formatCode>General</c:formatCode>
                <c:ptCount val="12"/>
                <c:pt idx="0">
                  <c:v>107.27989500000001</c:v>
                </c:pt>
                <c:pt idx="1">
                  <c:v>107.58351</c:v>
                </c:pt>
                <c:pt idx="2">
                  <c:v>107.90183</c:v>
                </c:pt>
                <c:pt idx="3">
                  <c:v>108.30059500000002</c:v>
                </c:pt>
                <c:pt idx="4">
                  <c:v>108.65524499999999</c:v>
                </c:pt>
                <c:pt idx="5">
                  <c:v>108.95713000000001</c:v>
                </c:pt>
                <c:pt idx="6">
                  <c:v>109.19673500000002</c:v>
                </c:pt>
                <c:pt idx="7">
                  <c:v>109.34465</c:v>
                </c:pt>
                <c:pt idx="8">
                  <c:v>109.42077</c:v>
                </c:pt>
                <c:pt idx="9">
                  <c:v>109.43979999999999</c:v>
                </c:pt>
                <c:pt idx="10">
                  <c:v>109.36368</c:v>
                </c:pt>
                <c:pt idx="11">
                  <c:v>109.300535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9D2-4E56-83D9-84E041726E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153839"/>
        <c:axId val="1661155087"/>
      </c:scatterChart>
      <c:valAx>
        <c:axId val="166115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5087"/>
        <c:crosses val="autoZero"/>
        <c:crossBetween val="midCat"/>
      </c:valAx>
      <c:valAx>
        <c:axId val="166115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Exit Total Temperature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OTAC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'ds Manual Calculations'!$AV$119:$AV$130</c:f>
              <c:numCache>
                <c:formatCode>General</c:formatCode>
                <c:ptCount val="12"/>
                <c:pt idx="0">
                  <c:v>10.696999999999999</c:v>
                </c:pt>
                <c:pt idx="1">
                  <c:v>10.856</c:v>
                </c:pt>
                <c:pt idx="2">
                  <c:v>11.007</c:v>
                </c:pt>
                <c:pt idx="3">
                  <c:v>11.154</c:v>
                </c:pt>
                <c:pt idx="4">
                  <c:v>11.297000000000001</c:v>
                </c:pt>
                <c:pt idx="5">
                  <c:v>11.438000000000001</c:v>
                </c:pt>
                <c:pt idx="6">
                  <c:v>11.579000000000001</c:v>
                </c:pt>
                <c:pt idx="7">
                  <c:v>11.718999999999999</c:v>
                </c:pt>
                <c:pt idx="8">
                  <c:v>11.859</c:v>
                </c:pt>
                <c:pt idx="9">
                  <c:v>11.999000000000001</c:v>
                </c:pt>
                <c:pt idx="10">
                  <c:v>12.14</c:v>
                </c:pt>
                <c:pt idx="11">
                  <c:v>12.284000000000001</c:v>
                </c:pt>
              </c:numCache>
            </c:numRef>
          </c:xVal>
          <c:yVal>
            <c:numRef>
              <c:f>'ds Manual Calculations'!$AC$119:$AC$130</c:f>
              <c:numCache>
                <c:formatCode>General</c:formatCode>
                <c:ptCount val="12"/>
                <c:pt idx="0">
                  <c:v>1050.1099999999999</c:v>
                </c:pt>
                <c:pt idx="1">
                  <c:v>1039.44</c:v>
                </c:pt>
                <c:pt idx="2">
                  <c:v>1032.9000000000001</c:v>
                </c:pt>
                <c:pt idx="3">
                  <c:v>1029.33</c:v>
                </c:pt>
                <c:pt idx="4">
                  <c:v>1027.54</c:v>
                </c:pt>
                <c:pt idx="5">
                  <c:v>1027.26</c:v>
                </c:pt>
                <c:pt idx="6">
                  <c:v>1028.0999999999999</c:v>
                </c:pt>
                <c:pt idx="7">
                  <c:v>1029.8800000000001</c:v>
                </c:pt>
                <c:pt idx="8">
                  <c:v>1033.51</c:v>
                </c:pt>
                <c:pt idx="9">
                  <c:v>1040.49</c:v>
                </c:pt>
                <c:pt idx="10">
                  <c:v>1053.4100000000001</c:v>
                </c:pt>
                <c:pt idx="11">
                  <c:v>1078.68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B0B-4377-8970-7DF2A5DD1A76}"/>
            </c:ext>
          </c:extLst>
        </c:ser>
        <c:ser>
          <c:idx val="1"/>
          <c:order val="1"/>
          <c:tx>
            <c:v>E3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'ds Manual Calculations'!$N$119:$N$130</c:f>
              <c:numCache>
                <c:formatCode>General</c:formatCode>
                <c:ptCount val="12"/>
                <c:pt idx="0">
                  <c:v>12.343</c:v>
                </c:pt>
                <c:pt idx="1">
                  <c:v>12.179</c:v>
                </c:pt>
                <c:pt idx="2">
                  <c:v>12.042999999999999</c:v>
                </c:pt>
                <c:pt idx="3">
                  <c:v>11.875999999999999</c:v>
                </c:pt>
                <c:pt idx="4">
                  <c:v>11.712999999999999</c:v>
                </c:pt>
                <c:pt idx="5">
                  <c:v>11.55</c:v>
                </c:pt>
                <c:pt idx="6">
                  <c:v>11.388</c:v>
                </c:pt>
                <c:pt idx="7">
                  <c:v>11.224</c:v>
                </c:pt>
                <c:pt idx="8">
                  <c:v>11.06</c:v>
                </c:pt>
                <c:pt idx="9">
                  <c:v>10.891</c:v>
                </c:pt>
                <c:pt idx="10">
                  <c:v>10.706</c:v>
                </c:pt>
                <c:pt idx="11">
                  <c:v>10.598000000000001</c:v>
                </c:pt>
              </c:numCache>
            </c:numRef>
          </c:xVal>
          <c:yVal>
            <c:numRef>
              <c:f>'ds Manual Calculations'!$F$119:$F$130</c:f>
              <c:numCache>
                <c:formatCode>General</c:formatCode>
                <c:ptCount val="12"/>
                <c:pt idx="0">
                  <c:v>1096.4026900000001</c:v>
                </c:pt>
                <c:pt idx="1">
                  <c:v>1062.48768</c:v>
                </c:pt>
                <c:pt idx="2">
                  <c:v>1042.3249599999999</c:v>
                </c:pt>
                <c:pt idx="3">
                  <c:v>1029.2301500000001</c:v>
                </c:pt>
                <c:pt idx="4">
                  <c:v>1024.07989</c:v>
                </c:pt>
                <c:pt idx="5">
                  <c:v>1022.65535</c:v>
                </c:pt>
                <c:pt idx="6">
                  <c:v>1022.7649299999999</c:v>
                </c:pt>
                <c:pt idx="7">
                  <c:v>1025.88796</c:v>
                </c:pt>
                <c:pt idx="8">
                  <c:v>1031.4765399999999</c:v>
                </c:pt>
                <c:pt idx="9">
                  <c:v>1044.0782399999998</c:v>
                </c:pt>
                <c:pt idx="10">
                  <c:v>1066.5969299999999</c:v>
                </c:pt>
                <c:pt idx="11">
                  <c:v>1083.0339299999998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B0B-4377-8970-7DF2A5DD1A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167983"/>
        <c:axId val="1661160911"/>
      </c:scatterChart>
      <c:valAx>
        <c:axId val="1661167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60911"/>
        <c:crosses val="autoZero"/>
        <c:crossBetween val="midCat"/>
      </c:valAx>
      <c:valAx>
        <c:axId val="166116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679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Exit Total Temperature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OTAC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'ds Manual Calculations'!$AV$132:$AV$143</c:f>
              <c:numCache>
                <c:formatCode>General</c:formatCode>
                <c:ptCount val="12"/>
                <c:pt idx="0">
                  <c:v>10.728999999999999</c:v>
                </c:pt>
                <c:pt idx="1">
                  <c:v>10.867000000000001</c:v>
                </c:pt>
                <c:pt idx="2">
                  <c:v>11</c:v>
                </c:pt>
                <c:pt idx="3">
                  <c:v>11.129</c:v>
                </c:pt>
                <c:pt idx="4">
                  <c:v>11.257</c:v>
                </c:pt>
                <c:pt idx="5">
                  <c:v>11.385</c:v>
                </c:pt>
                <c:pt idx="6">
                  <c:v>11.513999999999999</c:v>
                </c:pt>
                <c:pt idx="7">
                  <c:v>11.641999999999999</c:v>
                </c:pt>
                <c:pt idx="8">
                  <c:v>11.772</c:v>
                </c:pt>
                <c:pt idx="9">
                  <c:v>11.904</c:v>
                </c:pt>
                <c:pt idx="10">
                  <c:v>12.038</c:v>
                </c:pt>
                <c:pt idx="11">
                  <c:v>12.18</c:v>
                </c:pt>
              </c:numCache>
            </c:numRef>
          </c:xVal>
          <c:yVal>
            <c:numRef>
              <c:f>'ds Manual Calculations'!$AC$132:$AC$143</c:f>
              <c:numCache>
                <c:formatCode>General</c:formatCode>
                <c:ptCount val="12"/>
                <c:pt idx="0">
                  <c:v>1050.1099999999999</c:v>
                </c:pt>
                <c:pt idx="1">
                  <c:v>1039.44</c:v>
                </c:pt>
                <c:pt idx="2">
                  <c:v>1032.9000000000001</c:v>
                </c:pt>
                <c:pt idx="3">
                  <c:v>1029.33</c:v>
                </c:pt>
                <c:pt idx="4">
                  <c:v>1027.54</c:v>
                </c:pt>
                <c:pt idx="5">
                  <c:v>1027.26</c:v>
                </c:pt>
                <c:pt idx="6">
                  <c:v>1028.0999999999999</c:v>
                </c:pt>
                <c:pt idx="7">
                  <c:v>1029.8800000000001</c:v>
                </c:pt>
                <c:pt idx="8">
                  <c:v>1033.51</c:v>
                </c:pt>
                <c:pt idx="9">
                  <c:v>1040.49</c:v>
                </c:pt>
                <c:pt idx="10">
                  <c:v>1053.4100000000001</c:v>
                </c:pt>
                <c:pt idx="11">
                  <c:v>1078.68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89F-49ED-A9AA-55F8223A4E90}"/>
            </c:ext>
          </c:extLst>
        </c:ser>
        <c:ser>
          <c:idx val="1"/>
          <c:order val="1"/>
          <c:tx>
            <c:v>E3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'ds Manual Calculations'!$N$132:$N$143</c:f>
              <c:numCache>
                <c:formatCode>General</c:formatCode>
                <c:ptCount val="12"/>
                <c:pt idx="0">
                  <c:v>12.24</c:v>
                </c:pt>
                <c:pt idx="1">
                  <c:v>12.103999999999999</c:v>
                </c:pt>
                <c:pt idx="2">
                  <c:v>11.98</c:v>
                </c:pt>
                <c:pt idx="3">
                  <c:v>11.823</c:v>
                </c:pt>
                <c:pt idx="4">
                  <c:v>11.669</c:v>
                </c:pt>
                <c:pt idx="5">
                  <c:v>11.516</c:v>
                </c:pt>
                <c:pt idx="6">
                  <c:v>11.363</c:v>
                </c:pt>
                <c:pt idx="7">
                  <c:v>11.21</c:v>
                </c:pt>
                <c:pt idx="8">
                  <c:v>11.055</c:v>
                </c:pt>
                <c:pt idx="9">
                  <c:v>10.898999999999999</c:v>
                </c:pt>
                <c:pt idx="10">
                  <c:v>10.731</c:v>
                </c:pt>
                <c:pt idx="11">
                  <c:v>10.641999999999999</c:v>
                </c:pt>
              </c:numCache>
            </c:numRef>
          </c:xVal>
          <c:yVal>
            <c:numRef>
              <c:f>'ds Manual Calculations'!$F$132:$F$143</c:f>
              <c:numCache>
                <c:formatCode>General</c:formatCode>
                <c:ptCount val="12"/>
                <c:pt idx="0">
                  <c:v>1096.4026900000001</c:v>
                </c:pt>
                <c:pt idx="1">
                  <c:v>1062.48768</c:v>
                </c:pt>
                <c:pt idx="2">
                  <c:v>1042.3249599999999</c:v>
                </c:pt>
                <c:pt idx="3">
                  <c:v>1029.2301500000001</c:v>
                </c:pt>
                <c:pt idx="4">
                  <c:v>1024.07989</c:v>
                </c:pt>
                <c:pt idx="5">
                  <c:v>1022.65535</c:v>
                </c:pt>
                <c:pt idx="6">
                  <c:v>1022.7649299999999</c:v>
                </c:pt>
                <c:pt idx="7">
                  <c:v>1025.88796</c:v>
                </c:pt>
                <c:pt idx="8">
                  <c:v>1031.4765399999999</c:v>
                </c:pt>
                <c:pt idx="9">
                  <c:v>1044.0782399999998</c:v>
                </c:pt>
                <c:pt idx="10">
                  <c:v>1066.5969299999999</c:v>
                </c:pt>
                <c:pt idx="11">
                  <c:v>1082.8695599999999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89F-49ED-A9AA-55F8223A4E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167983"/>
        <c:axId val="1661160911"/>
      </c:scatterChart>
      <c:valAx>
        <c:axId val="1661167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60911"/>
        <c:crosses val="autoZero"/>
        <c:crossBetween val="midCat"/>
      </c:valAx>
      <c:valAx>
        <c:axId val="166116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679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Exit Total Temperature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OTAC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'ds Manual Calculations'!$AV$145:$AV$156</c:f>
              <c:numCache>
                <c:formatCode>General</c:formatCode>
                <c:ptCount val="12"/>
                <c:pt idx="0">
                  <c:v>10.785</c:v>
                </c:pt>
                <c:pt idx="1">
                  <c:v>10.929</c:v>
                </c:pt>
                <c:pt idx="2">
                  <c:v>11.045</c:v>
                </c:pt>
                <c:pt idx="3">
                  <c:v>11.151</c:v>
                </c:pt>
                <c:pt idx="4">
                  <c:v>11.257</c:v>
                </c:pt>
                <c:pt idx="5">
                  <c:v>11.361000000000001</c:v>
                </c:pt>
                <c:pt idx="6">
                  <c:v>11.465999999999999</c:v>
                </c:pt>
                <c:pt idx="7">
                  <c:v>11.571999999999999</c:v>
                </c:pt>
                <c:pt idx="8">
                  <c:v>11.679</c:v>
                </c:pt>
                <c:pt idx="9">
                  <c:v>11.789</c:v>
                </c:pt>
                <c:pt idx="10">
                  <c:v>11.904999999999999</c:v>
                </c:pt>
                <c:pt idx="11">
                  <c:v>12.038</c:v>
                </c:pt>
              </c:numCache>
            </c:numRef>
          </c:xVal>
          <c:yVal>
            <c:numRef>
              <c:f>'ds Manual Calculations'!$AC$145:$AC$156</c:f>
              <c:numCache>
                <c:formatCode>General</c:formatCode>
                <c:ptCount val="12"/>
                <c:pt idx="0">
                  <c:v>1149.76</c:v>
                </c:pt>
                <c:pt idx="1">
                  <c:v>1130.1600000000001</c:v>
                </c:pt>
                <c:pt idx="2">
                  <c:v>1116.0999999999999</c:v>
                </c:pt>
                <c:pt idx="3">
                  <c:v>1111.54</c:v>
                </c:pt>
                <c:pt idx="4">
                  <c:v>1109.28</c:v>
                </c:pt>
                <c:pt idx="5">
                  <c:v>1108.94</c:v>
                </c:pt>
                <c:pt idx="6">
                  <c:v>1109.8800000000001</c:v>
                </c:pt>
                <c:pt idx="7">
                  <c:v>1112.3499999999999</c:v>
                </c:pt>
                <c:pt idx="8">
                  <c:v>1116.6199999999999</c:v>
                </c:pt>
                <c:pt idx="9">
                  <c:v>1124.71</c:v>
                </c:pt>
                <c:pt idx="10">
                  <c:v>1139.8599999999999</c:v>
                </c:pt>
                <c:pt idx="11">
                  <c:v>1168.44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F83-4505-B1ED-9630143377F5}"/>
            </c:ext>
          </c:extLst>
        </c:ser>
        <c:ser>
          <c:idx val="1"/>
          <c:order val="1"/>
          <c:tx>
            <c:v>E3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'ds Manual Calculations'!$N$145:$N$156</c:f>
              <c:numCache>
                <c:formatCode>General</c:formatCode>
                <c:ptCount val="12"/>
                <c:pt idx="0">
                  <c:v>12.099</c:v>
                </c:pt>
                <c:pt idx="1">
                  <c:v>11.992000000000001</c:v>
                </c:pt>
                <c:pt idx="2">
                  <c:v>11.878</c:v>
                </c:pt>
                <c:pt idx="3">
                  <c:v>11.737</c:v>
                </c:pt>
                <c:pt idx="4">
                  <c:v>11.602</c:v>
                </c:pt>
                <c:pt idx="5">
                  <c:v>11.467000000000001</c:v>
                </c:pt>
                <c:pt idx="6">
                  <c:v>11.333</c:v>
                </c:pt>
                <c:pt idx="7">
                  <c:v>11.198</c:v>
                </c:pt>
                <c:pt idx="8">
                  <c:v>11.063000000000001</c:v>
                </c:pt>
                <c:pt idx="9">
                  <c:v>10.923999999999999</c:v>
                </c:pt>
                <c:pt idx="10">
                  <c:v>10.773</c:v>
                </c:pt>
                <c:pt idx="11">
                  <c:v>10.686999999999999</c:v>
                </c:pt>
              </c:numCache>
            </c:numRef>
          </c:xVal>
          <c:yVal>
            <c:numRef>
              <c:f>'ds Manual Calculations'!$F$145:$F$156</c:f>
              <c:numCache>
                <c:formatCode>General</c:formatCode>
                <c:ptCount val="12"/>
                <c:pt idx="0">
                  <c:v>1180.7244999999998</c:v>
                </c:pt>
                <c:pt idx="1">
                  <c:v>1150.6447899999998</c:v>
                </c:pt>
                <c:pt idx="2">
                  <c:v>1127.6329900000001</c:v>
                </c:pt>
                <c:pt idx="3">
                  <c:v>1112.1274199999998</c:v>
                </c:pt>
                <c:pt idx="4">
                  <c:v>1106.4292600000001</c:v>
                </c:pt>
                <c:pt idx="5">
                  <c:v>1104.0732899999998</c:v>
                </c:pt>
                <c:pt idx="6">
                  <c:v>1104.12808</c:v>
                </c:pt>
                <c:pt idx="7">
                  <c:v>1107.5250599999999</c:v>
                </c:pt>
                <c:pt idx="8">
                  <c:v>1113.99028</c:v>
                </c:pt>
                <c:pt idx="9">
                  <c:v>1128.5644199999999</c:v>
                </c:pt>
                <c:pt idx="10">
                  <c:v>1154.3157199999998</c:v>
                </c:pt>
                <c:pt idx="11">
                  <c:v>1172.9443200000001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F83-4505-B1ED-9630143377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167983"/>
        <c:axId val="1661160911"/>
      </c:scatterChart>
      <c:valAx>
        <c:axId val="1661167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60911"/>
        <c:crosses val="autoZero"/>
        <c:crossBetween val="midCat"/>
      </c:valAx>
      <c:valAx>
        <c:axId val="166116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679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Exit Total Temperature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OTAC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'ds Manual Calculations'!$AV$158:$AV$169</c:f>
              <c:numCache>
                <c:formatCode>General</c:formatCode>
                <c:ptCount val="12"/>
                <c:pt idx="0">
                  <c:v>10.797000000000001</c:v>
                </c:pt>
                <c:pt idx="1">
                  <c:v>10.907</c:v>
                </c:pt>
                <c:pt idx="2">
                  <c:v>11.013</c:v>
                </c:pt>
                <c:pt idx="3">
                  <c:v>11.117000000000001</c:v>
                </c:pt>
                <c:pt idx="4">
                  <c:v>11.221</c:v>
                </c:pt>
                <c:pt idx="5">
                  <c:v>11.324</c:v>
                </c:pt>
                <c:pt idx="6">
                  <c:v>11.427</c:v>
                </c:pt>
                <c:pt idx="7">
                  <c:v>11.532</c:v>
                </c:pt>
                <c:pt idx="8">
                  <c:v>11.637</c:v>
                </c:pt>
                <c:pt idx="9">
                  <c:v>11.744</c:v>
                </c:pt>
                <c:pt idx="10">
                  <c:v>11.853</c:v>
                </c:pt>
                <c:pt idx="11">
                  <c:v>11.967000000000001</c:v>
                </c:pt>
              </c:numCache>
            </c:numRef>
          </c:xVal>
          <c:yVal>
            <c:numRef>
              <c:f>'ds Manual Calculations'!$AC$158:$AC$169</c:f>
              <c:numCache>
                <c:formatCode>General</c:formatCode>
                <c:ptCount val="12"/>
                <c:pt idx="0">
                  <c:v>1149.76</c:v>
                </c:pt>
                <c:pt idx="1">
                  <c:v>1130.1600000000001</c:v>
                </c:pt>
                <c:pt idx="2">
                  <c:v>1116.0999999999999</c:v>
                </c:pt>
                <c:pt idx="3">
                  <c:v>1111.54</c:v>
                </c:pt>
                <c:pt idx="4">
                  <c:v>1109.28</c:v>
                </c:pt>
                <c:pt idx="5">
                  <c:v>1108.94</c:v>
                </c:pt>
                <c:pt idx="6">
                  <c:v>1109.8800000000001</c:v>
                </c:pt>
                <c:pt idx="7">
                  <c:v>1112.3499999999999</c:v>
                </c:pt>
                <c:pt idx="8">
                  <c:v>1116.6199999999999</c:v>
                </c:pt>
                <c:pt idx="9">
                  <c:v>1124.71</c:v>
                </c:pt>
                <c:pt idx="10">
                  <c:v>1139.8599999999999</c:v>
                </c:pt>
                <c:pt idx="11">
                  <c:v>1168.44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412-4316-B392-5886C3FA9681}"/>
            </c:ext>
          </c:extLst>
        </c:ser>
        <c:ser>
          <c:idx val="1"/>
          <c:order val="1"/>
          <c:tx>
            <c:v>E3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'ds Manual Calculations'!$N$158:$N$169</c:f>
              <c:numCache>
                <c:formatCode>0.000</c:formatCode>
                <c:ptCount val="12"/>
                <c:pt idx="0">
                  <c:v>12.016</c:v>
                </c:pt>
                <c:pt idx="1">
                  <c:v>11.926</c:v>
                </c:pt>
                <c:pt idx="2">
                  <c:v>11.823</c:v>
                </c:pt>
                <c:pt idx="3">
                  <c:v>11.693</c:v>
                </c:pt>
                <c:pt idx="4">
                  <c:v>11.566000000000001</c:v>
                </c:pt>
                <c:pt idx="5">
                  <c:v>11.44</c:v>
                </c:pt>
                <c:pt idx="6">
                  <c:v>11.315</c:v>
                </c:pt>
                <c:pt idx="7">
                  <c:v>11.19</c:v>
                </c:pt>
                <c:pt idx="8">
                  <c:v>11.063000000000001</c:v>
                </c:pt>
                <c:pt idx="9">
                  <c:v>10.935</c:v>
                </c:pt>
                <c:pt idx="10">
                  <c:v>10.8</c:v>
                </c:pt>
                <c:pt idx="11">
                  <c:v>10.728999999999999</c:v>
                </c:pt>
              </c:numCache>
            </c:numRef>
          </c:xVal>
          <c:yVal>
            <c:numRef>
              <c:f>'ds Manual Calculations'!$F$158:$F$169</c:f>
              <c:numCache>
                <c:formatCode>General</c:formatCode>
                <c:ptCount val="12"/>
                <c:pt idx="0">
                  <c:v>1180.7244999999998</c:v>
                </c:pt>
                <c:pt idx="1">
                  <c:v>1150.6447899999998</c:v>
                </c:pt>
                <c:pt idx="2">
                  <c:v>1127.6329900000001</c:v>
                </c:pt>
                <c:pt idx="3">
                  <c:v>1112.1274199999998</c:v>
                </c:pt>
                <c:pt idx="4">
                  <c:v>1105.8813600000001</c:v>
                </c:pt>
                <c:pt idx="5">
                  <c:v>1104.0732899999998</c:v>
                </c:pt>
                <c:pt idx="6">
                  <c:v>1104.12808</c:v>
                </c:pt>
                <c:pt idx="7">
                  <c:v>1107.5250599999999</c:v>
                </c:pt>
                <c:pt idx="8">
                  <c:v>1113.99028</c:v>
                </c:pt>
                <c:pt idx="9">
                  <c:v>1128.5644199999999</c:v>
                </c:pt>
                <c:pt idx="10">
                  <c:v>1154.3157199999998</c:v>
                </c:pt>
                <c:pt idx="11">
                  <c:v>1172.9443200000001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412-4316-B392-5886C3FA96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167983"/>
        <c:axId val="1661160911"/>
      </c:scatterChart>
      <c:valAx>
        <c:axId val="1661167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60911"/>
        <c:crosses val="autoZero"/>
        <c:crossBetween val="midCat"/>
      </c:valAx>
      <c:valAx>
        <c:axId val="166116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679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Exit Total Temperature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OTAC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'ds Manual Calculations'!$AV$171:$AV$182</c:f>
              <c:numCache>
                <c:formatCode>General</c:formatCode>
                <c:ptCount val="12"/>
                <c:pt idx="0">
                  <c:v>10.831</c:v>
                </c:pt>
                <c:pt idx="1">
                  <c:v>10.933999999999999</c:v>
                </c:pt>
                <c:pt idx="2">
                  <c:v>11.029</c:v>
                </c:pt>
                <c:pt idx="3">
                  <c:v>11.119</c:v>
                </c:pt>
                <c:pt idx="4">
                  <c:v>11.209</c:v>
                </c:pt>
                <c:pt idx="5">
                  <c:v>11.297000000000001</c:v>
                </c:pt>
                <c:pt idx="6">
                  <c:v>11.385999999999999</c:v>
                </c:pt>
                <c:pt idx="7">
                  <c:v>11.476000000000001</c:v>
                </c:pt>
                <c:pt idx="8">
                  <c:v>11.568</c:v>
                </c:pt>
                <c:pt idx="9">
                  <c:v>11.662000000000001</c:v>
                </c:pt>
                <c:pt idx="10">
                  <c:v>11.763</c:v>
                </c:pt>
                <c:pt idx="11">
                  <c:v>11.881</c:v>
                </c:pt>
              </c:numCache>
            </c:numRef>
          </c:xVal>
          <c:yVal>
            <c:numRef>
              <c:f>'ds Manual Calculations'!$AC$171:$AC$182</c:f>
              <c:numCache>
                <c:formatCode>General</c:formatCode>
                <c:ptCount val="12"/>
                <c:pt idx="0">
                  <c:v>1241.8699999999999</c:v>
                </c:pt>
                <c:pt idx="1">
                  <c:v>1219.67</c:v>
                </c:pt>
                <c:pt idx="2">
                  <c:v>1203.53</c:v>
                </c:pt>
                <c:pt idx="3">
                  <c:v>1197.76</c:v>
                </c:pt>
                <c:pt idx="4">
                  <c:v>1194.77</c:v>
                </c:pt>
                <c:pt idx="5">
                  <c:v>1194.07</c:v>
                </c:pt>
                <c:pt idx="6">
                  <c:v>1195.1199999999999</c:v>
                </c:pt>
                <c:pt idx="7">
                  <c:v>1198.17</c:v>
                </c:pt>
                <c:pt idx="8">
                  <c:v>1203.4000000000001</c:v>
                </c:pt>
                <c:pt idx="9">
                  <c:v>1212.95</c:v>
                </c:pt>
                <c:pt idx="10">
                  <c:v>1230.23</c:v>
                </c:pt>
                <c:pt idx="11">
                  <c:v>1262.02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859-495B-96D7-821E97A56566}"/>
            </c:ext>
          </c:extLst>
        </c:ser>
        <c:ser>
          <c:idx val="1"/>
          <c:order val="1"/>
          <c:tx>
            <c:v>E3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'ds Manual Calculations'!$N$171:$N$182</c:f>
              <c:numCache>
                <c:formatCode>General</c:formatCode>
                <c:ptCount val="12"/>
                <c:pt idx="0">
                  <c:v>11.930999999999999</c:v>
                </c:pt>
                <c:pt idx="1">
                  <c:v>11.836</c:v>
                </c:pt>
                <c:pt idx="2">
                  <c:v>11.741</c:v>
                </c:pt>
                <c:pt idx="3">
                  <c:v>11.622</c:v>
                </c:pt>
                <c:pt idx="4">
                  <c:v>11.509</c:v>
                </c:pt>
                <c:pt idx="5">
                  <c:v>11.398</c:v>
                </c:pt>
                <c:pt idx="6">
                  <c:v>11.288</c:v>
                </c:pt>
                <c:pt idx="7">
                  <c:v>11.178000000000001</c:v>
                </c:pt>
                <c:pt idx="8">
                  <c:v>11.066000000000001</c:v>
                </c:pt>
                <c:pt idx="9">
                  <c:v>10.952</c:v>
                </c:pt>
                <c:pt idx="10">
                  <c:v>10.827999999999999</c:v>
                </c:pt>
                <c:pt idx="11">
                  <c:v>10.759</c:v>
                </c:pt>
              </c:numCache>
            </c:numRef>
          </c:xVal>
          <c:yVal>
            <c:numRef>
              <c:f>'ds Manual Calculations'!$F$171:$F$182</c:f>
              <c:numCache>
                <c:formatCode>General</c:formatCode>
                <c:ptCount val="12"/>
                <c:pt idx="0">
                  <c:v>1275.7851499999999</c:v>
                </c:pt>
                <c:pt idx="1">
                  <c:v>1242.58241</c:v>
                </c:pt>
                <c:pt idx="2">
                  <c:v>1216.8311099999999</c:v>
                </c:pt>
                <c:pt idx="3">
                  <c:v>1199.0243600000001</c:v>
                </c:pt>
                <c:pt idx="4">
                  <c:v>1191.4633399999998</c:v>
                </c:pt>
                <c:pt idx="5">
                  <c:v>1188.9977900000001</c:v>
                </c:pt>
                <c:pt idx="6">
                  <c:v>1188.9977900000001</c:v>
                </c:pt>
                <c:pt idx="7">
                  <c:v>1192.99746</c:v>
                </c:pt>
                <c:pt idx="8">
                  <c:v>1200.6680599999997</c:v>
                </c:pt>
                <c:pt idx="9">
                  <c:v>1217.4885900000002</c:v>
                </c:pt>
                <c:pt idx="10">
                  <c:v>1246.52729</c:v>
                </c:pt>
                <c:pt idx="11">
                  <c:v>1267.2927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859-495B-96D7-821E97A565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167983"/>
        <c:axId val="1661160911"/>
      </c:scatterChart>
      <c:valAx>
        <c:axId val="1661167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60911"/>
        <c:crosses val="autoZero"/>
        <c:crossBetween val="midCat"/>
      </c:valAx>
      <c:valAx>
        <c:axId val="166116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679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Exit Total Temperature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OTAC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'ds Manual Calculations'!$AV$184:$AV$195</c:f>
              <c:numCache>
                <c:formatCode>General</c:formatCode>
                <c:ptCount val="12"/>
                <c:pt idx="0">
                  <c:v>10.83</c:v>
                </c:pt>
                <c:pt idx="1">
                  <c:v>10.920999999999999</c:v>
                </c:pt>
                <c:pt idx="2">
                  <c:v>11.010999999999999</c:v>
                </c:pt>
                <c:pt idx="3">
                  <c:v>11.099</c:v>
                </c:pt>
                <c:pt idx="4">
                  <c:v>11.186999999999999</c:v>
                </c:pt>
                <c:pt idx="5">
                  <c:v>11.275</c:v>
                </c:pt>
                <c:pt idx="6">
                  <c:v>11.363</c:v>
                </c:pt>
                <c:pt idx="7">
                  <c:v>11.452</c:v>
                </c:pt>
                <c:pt idx="8">
                  <c:v>11.542999999999999</c:v>
                </c:pt>
                <c:pt idx="9">
                  <c:v>11.634</c:v>
                </c:pt>
                <c:pt idx="10">
                  <c:v>11.727</c:v>
                </c:pt>
                <c:pt idx="11">
                  <c:v>11.821999999999999</c:v>
                </c:pt>
              </c:numCache>
            </c:numRef>
          </c:xVal>
          <c:yVal>
            <c:numRef>
              <c:f>'ds Manual Calculations'!$AC$184:$AC$195</c:f>
              <c:numCache>
                <c:formatCode>General</c:formatCode>
                <c:ptCount val="12"/>
                <c:pt idx="0">
                  <c:v>1241.8699999999999</c:v>
                </c:pt>
                <c:pt idx="1">
                  <c:v>1219.67</c:v>
                </c:pt>
                <c:pt idx="2">
                  <c:v>1203.53</c:v>
                </c:pt>
                <c:pt idx="3">
                  <c:v>1197.76</c:v>
                </c:pt>
                <c:pt idx="4">
                  <c:v>1194.77</c:v>
                </c:pt>
                <c:pt idx="5">
                  <c:v>1194.07</c:v>
                </c:pt>
                <c:pt idx="6">
                  <c:v>1195.1199999999999</c:v>
                </c:pt>
                <c:pt idx="7">
                  <c:v>1198.17</c:v>
                </c:pt>
                <c:pt idx="8">
                  <c:v>1203.4000000000001</c:v>
                </c:pt>
                <c:pt idx="9">
                  <c:v>1212.95</c:v>
                </c:pt>
                <c:pt idx="10">
                  <c:v>1230.23</c:v>
                </c:pt>
                <c:pt idx="11">
                  <c:v>1262.02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5D1-42F1-93D5-18973599E964}"/>
            </c:ext>
          </c:extLst>
        </c:ser>
        <c:ser>
          <c:idx val="1"/>
          <c:order val="1"/>
          <c:tx>
            <c:v>E3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'ds Manual Calculations'!$N$184:$N$195</c:f>
              <c:numCache>
                <c:formatCode>0.0000_);[Red]\(0.0000\)</c:formatCode>
                <c:ptCount val="12"/>
                <c:pt idx="0">
                  <c:v>11.843999999999999</c:v>
                </c:pt>
                <c:pt idx="1">
                  <c:v>11.768000000000001</c:v>
                </c:pt>
                <c:pt idx="2">
                  <c:v>11.682</c:v>
                </c:pt>
                <c:pt idx="3">
                  <c:v>11.571999999999999</c:v>
                </c:pt>
                <c:pt idx="4">
                  <c:v>11.464</c:v>
                </c:pt>
                <c:pt idx="5">
                  <c:v>11.358000000000001</c:v>
                </c:pt>
                <c:pt idx="6">
                  <c:v>11.252000000000001</c:v>
                </c:pt>
                <c:pt idx="7">
                  <c:v>11.146000000000001</c:v>
                </c:pt>
                <c:pt idx="8">
                  <c:v>11.039</c:v>
                </c:pt>
                <c:pt idx="9">
                  <c:v>10.929</c:v>
                </c:pt>
                <c:pt idx="10">
                  <c:v>10.815</c:v>
                </c:pt>
                <c:pt idx="11">
                  <c:v>10.755000000000001</c:v>
                </c:pt>
              </c:numCache>
            </c:numRef>
          </c:xVal>
          <c:yVal>
            <c:numRef>
              <c:f>'ds Manual Calculations'!$F$184:$F$195</c:f>
              <c:numCache>
                <c:formatCode>General</c:formatCode>
                <c:ptCount val="12"/>
                <c:pt idx="0">
                  <c:v>1275.7851499999999</c:v>
                </c:pt>
                <c:pt idx="1">
                  <c:v>1242.58241</c:v>
                </c:pt>
                <c:pt idx="2">
                  <c:v>1216.8311099999999</c:v>
                </c:pt>
                <c:pt idx="3">
                  <c:v>1199.0243600000001</c:v>
                </c:pt>
                <c:pt idx="4">
                  <c:v>1191.4633399999998</c:v>
                </c:pt>
                <c:pt idx="5">
                  <c:v>1188.9977900000001</c:v>
                </c:pt>
                <c:pt idx="6">
                  <c:v>1188.9977900000001</c:v>
                </c:pt>
                <c:pt idx="7">
                  <c:v>1192.99746</c:v>
                </c:pt>
                <c:pt idx="8">
                  <c:v>1200.6680599999997</c:v>
                </c:pt>
                <c:pt idx="9">
                  <c:v>1217.4885900000002</c:v>
                </c:pt>
                <c:pt idx="10">
                  <c:v>1246.52729</c:v>
                </c:pt>
                <c:pt idx="11">
                  <c:v>1267.2927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5D1-42F1-93D5-18973599E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167983"/>
        <c:axId val="1661160911"/>
      </c:scatterChart>
      <c:valAx>
        <c:axId val="1661167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60911"/>
        <c:crosses val="autoZero"/>
        <c:crossBetween val="midCat"/>
      </c:valAx>
      <c:valAx>
        <c:axId val="166116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679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'ds Manual Calculations'!$N$2:$N$13</c:f>
              <c:numCache>
                <c:formatCode>General</c:formatCode>
                <c:ptCount val="12"/>
                <c:pt idx="0">
                  <c:v>13.992000000000001</c:v>
                </c:pt>
                <c:pt idx="1">
                  <c:v>13.576000000000001</c:v>
                </c:pt>
                <c:pt idx="2">
                  <c:v>13.162000000000001</c:v>
                </c:pt>
                <c:pt idx="3">
                  <c:v>12.601000000000001</c:v>
                </c:pt>
                <c:pt idx="4">
                  <c:v>12.021000000000001</c:v>
                </c:pt>
                <c:pt idx="5">
                  <c:v>11.414</c:v>
                </c:pt>
                <c:pt idx="6">
                  <c:v>10.771000000000001</c:v>
                </c:pt>
                <c:pt idx="7">
                  <c:v>10.083</c:v>
                </c:pt>
                <c:pt idx="8">
                  <c:v>9.3320000000000007</c:v>
                </c:pt>
                <c:pt idx="9">
                  <c:v>8.4849999999999994</c:v>
                </c:pt>
                <c:pt idx="10">
                  <c:v>7.4560000000000004</c:v>
                </c:pt>
                <c:pt idx="11">
                  <c:v>6.806</c:v>
                </c:pt>
              </c:numCache>
            </c:numRef>
          </c:xVal>
          <c:yVal>
            <c:numRef>
              <c:f>'ds Manual Calculations'!$K$2:$K$13</c:f>
              <c:numCache>
                <c:formatCode>General</c:formatCode>
                <c:ptCount val="12"/>
                <c:pt idx="0">
                  <c:v>1.0363929300226575E-3</c:v>
                </c:pt>
                <c:pt idx="1">
                  <c:v>8.7629843261920572E-4</c:v>
                </c:pt>
                <c:pt idx="2">
                  <c:v>7.5130993542689927E-4</c:v>
                </c:pt>
                <c:pt idx="3">
                  <c:v>6.3037642229937189E-4</c:v>
                </c:pt>
                <c:pt idx="4">
                  <c:v>5.5391808369284869E-4</c:v>
                </c:pt>
                <c:pt idx="5">
                  <c:v>4.8519318838783276E-4</c:v>
                </c:pt>
                <c:pt idx="6">
                  <c:v>4.4395049782109059E-4</c:v>
                </c:pt>
                <c:pt idx="7">
                  <c:v>4.1642633562685065E-4</c:v>
                </c:pt>
                <c:pt idx="8">
                  <c:v>3.962805968708385E-4</c:v>
                </c:pt>
                <c:pt idx="9">
                  <c:v>3.8444538104658423E-4</c:v>
                </c:pt>
                <c:pt idx="10">
                  <c:v>3.7512097032094105E-4</c:v>
                </c:pt>
                <c:pt idx="11">
                  <c:v>3.7866425674008174E-4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2DB-4A81-867B-7C22261F2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1951423"/>
        <c:axId val="1771929375"/>
      </c:scatterChart>
      <c:valAx>
        <c:axId val="1771951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929375"/>
        <c:crosses val="autoZero"/>
        <c:crossBetween val="midCat"/>
      </c:valAx>
      <c:valAx>
        <c:axId val="1771929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951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'ds Manual Calculations'!$N$15:$N$26</c:f>
              <c:numCache>
                <c:formatCode>General</c:formatCode>
                <c:ptCount val="12"/>
                <c:pt idx="0">
                  <c:v>13.535</c:v>
                </c:pt>
                <c:pt idx="1">
                  <c:v>13.122999999999999</c:v>
                </c:pt>
                <c:pt idx="2">
                  <c:v>12.743</c:v>
                </c:pt>
                <c:pt idx="3">
                  <c:v>12.246</c:v>
                </c:pt>
                <c:pt idx="4">
                  <c:v>11.746</c:v>
                </c:pt>
                <c:pt idx="5">
                  <c:v>11.234999999999999</c:v>
                </c:pt>
                <c:pt idx="6">
                  <c:v>10.711</c:v>
                </c:pt>
                <c:pt idx="7">
                  <c:v>10.167999999999999</c:v>
                </c:pt>
                <c:pt idx="8">
                  <c:v>9.6029999999999998</c:v>
                </c:pt>
                <c:pt idx="9">
                  <c:v>9.0060000000000002</c:v>
                </c:pt>
                <c:pt idx="10">
                  <c:v>8.359</c:v>
                </c:pt>
                <c:pt idx="11">
                  <c:v>8.0090000000000003</c:v>
                </c:pt>
              </c:numCache>
            </c:numRef>
          </c:xVal>
          <c:yVal>
            <c:numRef>
              <c:f>'ds Manual Calculations'!$K$15:$K$26</c:f>
              <c:numCache>
                <c:formatCode>General</c:formatCode>
                <c:ptCount val="12"/>
                <c:pt idx="0">
                  <c:v>1.2015443627537592E-2</c:v>
                </c:pt>
                <c:pt idx="1">
                  <c:v>7.1260639984543489E-3</c:v>
                </c:pt>
                <c:pt idx="2">
                  <c:v>4.5484118829967335E-3</c:v>
                </c:pt>
                <c:pt idx="3">
                  <c:v>3.2520072549364273E-3</c:v>
                </c:pt>
                <c:pt idx="4">
                  <c:v>2.6259075094815301E-3</c:v>
                </c:pt>
                <c:pt idx="5">
                  <c:v>2.1948533824332275E-3</c:v>
                </c:pt>
                <c:pt idx="6">
                  <c:v>1.9039478783938607E-3</c:v>
                </c:pt>
                <c:pt idx="7">
                  <c:v>1.7016343316463463E-3</c:v>
                </c:pt>
                <c:pt idx="8">
                  <c:v>1.6126558837370152E-3</c:v>
                </c:pt>
                <c:pt idx="9">
                  <c:v>1.719981665292393E-3</c:v>
                </c:pt>
                <c:pt idx="10">
                  <c:v>2.1752039906038981E-3</c:v>
                </c:pt>
                <c:pt idx="11">
                  <c:v>2.572885314949213E-3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7B0-4A4E-9E2E-C335740DD6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1951423"/>
        <c:axId val="1771929375"/>
      </c:scatterChart>
      <c:valAx>
        <c:axId val="1771951423"/>
        <c:scaling>
          <c:orientation val="minMax"/>
          <c:min val="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929375"/>
        <c:crosses val="autoZero"/>
        <c:crossBetween val="midCat"/>
      </c:valAx>
      <c:valAx>
        <c:axId val="1771929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951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'ds Manual Calculations'!$N$28:$N$39</c:f>
              <c:numCache>
                <c:formatCode>0.000</c:formatCode>
                <c:ptCount val="12"/>
                <c:pt idx="0">
                  <c:v>13.3082867782893</c:v>
                </c:pt>
                <c:pt idx="1">
                  <c:v>12.95908401020438</c:v>
                </c:pt>
                <c:pt idx="2">
                  <c:v>12.626022520012901</c:v>
                </c:pt>
                <c:pt idx="3">
                  <c:v>12.190601706594727</c:v>
                </c:pt>
                <c:pt idx="4">
                  <c:v>11.754393513767116</c:v>
                </c:pt>
                <c:pt idx="5">
                  <c:v>11.312279975368735</c:v>
                </c:pt>
                <c:pt idx="6">
                  <c:v>10.86071788405712</c:v>
                </c:pt>
                <c:pt idx="7">
                  <c:v>10.395376653080374</c:v>
                </c:pt>
                <c:pt idx="8">
                  <c:v>9.910744626572443</c:v>
                </c:pt>
                <c:pt idx="9">
                  <c:v>9.3993417001436814</c:v>
                </c:pt>
                <c:pt idx="10">
                  <c:v>8.8438455267864988</c:v>
                </c:pt>
                <c:pt idx="11">
                  <c:v>8.5403107644488756</c:v>
                </c:pt>
              </c:numCache>
            </c:numRef>
          </c:xVal>
          <c:yVal>
            <c:numRef>
              <c:f>'ds Manual Calculations'!$K$28:$K$39</c:f>
              <c:numCache>
                <c:formatCode>General</c:formatCode>
                <c:ptCount val="12"/>
                <c:pt idx="0">
                  <c:v>1.6429131317363711E-3</c:v>
                </c:pt>
                <c:pt idx="1">
                  <c:v>1.514106095155043E-3</c:v>
                </c:pt>
                <c:pt idx="2">
                  <c:v>1.3738119942454559E-3</c:v>
                </c:pt>
                <c:pt idx="3">
                  <c:v>1.2579981889616204E-3</c:v>
                </c:pt>
                <c:pt idx="4">
                  <c:v>1.2493120056114963E-3</c:v>
                </c:pt>
                <c:pt idx="5">
                  <c:v>1.2732830529629691E-3</c:v>
                </c:pt>
                <c:pt idx="6">
                  <c:v>1.3011789854485544E-3</c:v>
                </c:pt>
                <c:pt idx="7">
                  <c:v>1.3694031765954587E-3</c:v>
                </c:pt>
                <c:pt idx="8">
                  <c:v>1.4373304826952541E-3</c:v>
                </c:pt>
                <c:pt idx="9">
                  <c:v>1.6862098072374689E-3</c:v>
                </c:pt>
                <c:pt idx="10">
                  <c:v>2.2498236457886237E-3</c:v>
                </c:pt>
                <c:pt idx="11">
                  <c:v>2.6600875082730159E-3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C43-47ED-8D2A-D5F333FB8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1951423"/>
        <c:axId val="1771929375"/>
      </c:scatterChart>
      <c:valAx>
        <c:axId val="1771951423"/>
        <c:scaling>
          <c:orientation val="minMax"/>
          <c:min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929375"/>
        <c:crosses val="autoZero"/>
        <c:crossBetween val="midCat"/>
      </c:valAx>
      <c:valAx>
        <c:axId val="1771929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951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'ds Manual Calculations'!$N$41:$N$52</c:f>
              <c:numCache>
                <c:formatCode>General</c:formatCode>
                <c:ptCount val="12"/>
                <c:pt idx="0">
                  <c:v>13.117000000000001</c:v>
                </c:pt>
                <c:pt idx="1">
                  <c:v>12.792999999999999</c:v>
                </c:pt>
                <c:pt idx="2">
                  <c:v>12.506</c:v>
                </c:pt>
                <c:pt idx="3">
                  <c:v>12.141</c:v>
                </c:pt>
                <c:pt idx="4">
                  <c:v>11.78</c:v>
                </c:pt>
                <c:pt idx="5">
                  <c:v>11.417999999999999</c:v>
                </c:pt>
                <c:pt idx="6">
                  <c:v>11.054</c:v>
                </c:pt>
                <c:pt idx="7">
                  <c:v>10.686</c:v>
                </c:pt>
                <c:pt idx="8">
                  <c:v>10.311</c:v>
                </c:pt>
                <c:pt idx="9">
                  <c:v>9.9269999999999996</c:v>
                </c:pt>
                <c:pt idx="10">
                  <c:v>9.5190000000000001</c:v>
                </c:pt>
                <c:pt idx="11">
                  <c:v>9.3010000000000002</c:v>
                </c:pt>
              </c:numCache>
            </c:numRef>
          </c:xVal>
          <c:yVal>
            <c:numRef>
              <c:f>'ds Manual Calculations'!$K$41:$K$52</c:f>
              <c:numCache>
                <c:formatCode>General</c:formatCode>
                <c:ptCount val="12"/>
                <c:pt idx="0">
                  <c:v>3.6618944328339238E-3</c:v>
                </c:pt>
                <c:pt idx="1">
                  <c:v>3.0306350274554722E-3</c:v>
                </c:pt>
                <c:pt idx="2">
                  <c:v>2.6601697097011559E-3</c:v>
                </c:pt>
                <c:pt idx="3">
                  <c:v>2.2708114353368961E-3</c:v>
                </c:pt>
                <c:pt idx="4">
                  <c:v>2.0975399563160912E-3</c:v>
                </c:pt>
                <c:pt idx="5">
                  <c:v>1.9798721834983803E-3</c:v>
                </c:pt>
                <c:pt idx="6">
                  <c:v>1.8677796346757945E-3</c:v>
                </c:pt>
                <c:pt idx="7">
                  <c:v>1.8522093537247999E-3</c:v>
                </c:pt>
                <c:pt idx="8">
                  <c:v>1.8143872021449473E-3</c:v>
                </c:pt>
                <c:pt idx="9">
                  <c:v>1.9044624775110541E-3</c:v>
                </c:pt>
                <c:pt idx="10">
                  <c:v>2.0117730036541756E-3</c:v>
                </c:pt>
                <c:pt idx="11">
                  <c:v>2.0362440685821534E-3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658-452E-860D-4F8485C9D3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1951423"/>
        <c:axId val="1771929375"/>
      </c:scatterChart>
      <c:valAx>
        <c:axId val="1771951423"/>
        <c:scaling>
          <c:orientation val="minMax"/>
          <c:min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929375"/>
        <c:crosses val="autoZero"/>
        <c:crossBetween val="midCat"/>
      </c:valAx>
      <c:valAx>
        <c:axId val="1771929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951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Exit Total Temperature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OTAC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'ds Manual Calculations'!$AV$197:$AV$208</c:f>
              <c:numCache>
                <c:formatCode>General</c:formatCode>
                <c:ptCount val="12"/>
                <c:pt idx="0">
                  <c:v>10.823</c:v>
                </c:pt>
                <c:pt idx="1">
                  <c:v>10.906000000000001</c:v>
                </c:pt>
                <c:pt idx="2">
                  <c:v>10.987</c:v>
                </c:pt>
                <c:pt idx="3">
                  <c:v>11.067</c:v>
                </c:pt>
                <c:pt idx="4">
                  <c:v>11.147</c:v>
                </c:pt>
                <c:pt idx="5">
                  <c:v>11.226000000000001</c:v>
                </c:pt>
                <c:pt idx="6">
                  <c:v>11.305</c:v>
                </c:pt>
                <c:pt idx="7">
                  <c:v>11.385999999999999</c:v>
                </c:pt>
                <c:pt idx="8">
                  <c:v>11.468</c:v>
                </c:pt>
                <c:pt idx="9">
                  <c:v>11.552</c:v>
                </c:pt>
                <c:pt idx="10">
                  <c:v>11.637</c:v>
                </c:pt>
                <c:pt idx="11">
                  <c:v>11.725</c:v>
                </c:pt>
              </c:numCache>
            </c:numRef>
          </c:xVal>
          <c:yVal>
            <c:numRef>
              <c:f>'ds Manual Calculations'!$AC$197:$AC$208</c:f>
              <c:numCache>
                <c:formatCode>General</c:formatCode>
                <c:ptCount val="12"/>
                <c:pt idx="0">
                  <c:v>1337.08</c:v>
                </c:pt>
                <c:pt idx="1">
                  <c:v>1312.42</c:v>
                </c:pt>
                <c:pt idx="2">
                  <c:v>1294.28</c:v>
                </c:pt>
                <c:pt idx="3">
                  <c:v>1287.29</c:v>
                </c:pt>
                <c:pt idx="4">
                  <c:v>1283.3900000000001</c:v>
                </c:pt>
                <c:pt idx="5">
                  <c:v>1282.32</c:v>
                </c:pt>
                <c:pt idx="6">
                  <c:v>1283.54</c:v>
                </c:pt>
                <c:pt idx="7">
                  <c:v>1287.3399999999999</c:v>
                </c:pt>
                <c:pt idx="8">
                  <c:v>1293.75</c:v>
                </c:pt>
                <c:pt idx="9">
                  <c:v>1304.96</c:v>
                </c:pt>
                <c:pt idx="10">
                  <c:v>1324.56</c:v>
                </c:pt>
                <c:pt idx="11">
                  <c:v>1359.57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CB4-4977-A741-9989B0E90F6A}"/>
            </c:ext>
          </c:extLst>
        </c:ser>
        <c:ser>
          <c:idx val="1"/>
          <c:order val="1"/>
          <c:tx>
            <c:v>E3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'ds Manual Calculations'!$N$197:$N$208</c:f>
              <c:numCache>
                <c:formatCode>General</c:formatCode>
                <c:ptCount val="12"/>
                <c:pt idx="0">
                  <c:v>11.766</c:v>
                </c:pt>
                <c:pt idx="1">
                  <c:v>11.715</c:v>
                </c:pt>
                <c:pt idx="2">
                  <c:v>11.625999999999999</c:v>
                </c:pt>
                <c:pt idx="3">
                  <c:v>11.521000000000001</c:v>
                </c:pt>
                <c:pt idx="4">
                  <c:v>11.422000000000001</c:v>
                </c:pt>
                <c:pt idx="5">
                  <c:v>11.327</c:v>
                </c:pt>
                <c:pt idx="6">
                  <c:v>11.233000000000001</c:v>
                </c:pt>
                <c:pt idx="7">
                  <c:v>11.138</c:v>
                </c:pt>
                <c:pt idx="8">
                  <c:v>11.042</c:v>
                </c:pt>
                <c:pt idx="9">
                  <c:v>10.943</c:v>
                </c:pt>
                <c:pt idx="10">
                  <c:v>10.835000000000001</c:v>
                </c:pt>
                <c:pt idx="11">
                  <c:v>10.775</c:v>
                </c:pt>
              </c:numCache>
            </c:numRef>
          </c:xVal>
          <c:yVal>
            <c:numRef>
              <c:f>'ds Manual Calculations'!$F$197:$F$208</c:f>
              <c:numCache>
                <c:formatCode>General</c:formatCode>
                <c:ptCount val="12"/>
                <c:pt idx="0">
                  <c:v>1360.1069600000001</c:v>
                </c:pt>
                <c:pt idx="1">
                  <c:v>1338.84844</c:v>
                </c:pt>
                <c:pt idx="2">
                  <c:v>1310.19327</c:v>
                </c:pt>
                <c:pt idx="3">
                  <c:v>1289.7565999999999</c:v>
                </c:pt>
                <c:pt idx="4">
                  <c:v>1280.55188</c:v>
                </c:pt>
                <c:pt idx="5">
                  <c:v>1277.1001100000001</c:v>
                </c:pt>
                <c:pt idx="6">
                  <c:v>1276.8809499999998</c:v>
                </c:pt>
                <c:pt idx="7">
                  <c:v>1281.5381</c:v>
                </c:pt>
                <c:pt idx="8">
                  <c:v>1290.57845</c:v>
                </c:pt>
                <c:pt idx="9">
                  <c:v>1309.59058</c:v>
                </c:pt>
                <c:pt idx="10">
                  <c:v>1341.8618899999999</c:v>
                </c:pt>
                <c:pt idx="11">
                  <c:v>1364.5997400000001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CB4-4977-A741-9989B0E90F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167983"/>
        <c:axId val="1661160911"/>
      </c:scatterChart>
      <c:valAx>
        <c:axId val="1661167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60911"/>
        <c:crosses val="autoZero"/>
        <c:crossBetween val="midCat"/>
      </c:valAx>
      <c:valAx>
        <c:axId val="166116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679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Exit Total Temperature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OTAC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'ds Manual Calculations'!$AV$210:$AV$221</c:f>
              <c:numCache>
                <c:formatCode>General</c:formatCode>
                <c:ptCount val="12"/>
                <c:pt idx="0">
                  <c:v>10.851000000000001</c:v>
                </c:pt>
                <c:pt idx="1">
                  <c:v>10.930999999999999</c:v>
                </c:pt>
                <c:pt idx="2">
                  <c:v>11.007999999999999</c:v>
                </c:pt>
                <c:pt idx="3">
                  <c:v>11.084</c:v>
                </c:pt>
                <c:pt idx="4">
                  <c:v>11.159000000000001</c:v>
                </c:pt>
                <c:pt idx="5">
                  <c:v>11.234</c:v>
                </c:pt>
                <c:pt idx="6">
                  <c:v>11.308999999999999</c:v>
                </c:pt>
                <c:pt idx="7">
                  <c:v>11.385</c:v>
                </c:pt>
                <c:pt idx="8">
                  <c:v>11.462</c:v>
                </c:pt>
                <c:pt idx="9">
                  <c:v>11.54</c:v>
                </c:pt>
                <c:pt idx="10">
                  <c:v>11.62</c:v>
                </c:pt>
                <c:pt idx="11">
                  <c:v>11.705</c:v>
                </c:pt>
              </c:numCache>
            </c:numRef>
          </c:xVal>
          <c:yVal>
            <c:numRef>
              <c:f>'ds Manual Calculations'!$AC$210:$AC$221</c:f>
              <c:numCache>
                <c:formatCode>General</c:formatCode>
                <c:ptCount val="12"/>
                <c:pt idx="0">
                  <c:v>1337.08</c:v>
                </c:pt>
                <c:pt idx="1">
                  <c:v>1312.42</c:v>
                </c:pt>
                <c:pt idx="2">
                  <c:v>1294.28</c:v>
                </c:pt>
                <c:pt idx="3">
                  <c:v>1287.29</c:v>
                </c:pt>
                <c:pt idx="4">
                  <c:v>1283.3900000000001</c:v>
                </c:pt>
                <c:pt idx="5">
                  <c:v>1282.32</c:v>
                </c:pt>
                <c:pt idx="6">
                  <c:v>1283.54</c:v>
                </c:pt>
                <c:pt idx="7">
                  <c:v>1287.3399999999999</c:v>
                </c:pt>
                <c:pt idx="8">
                  <c:v>1293.75</c:v>
                </c:pt>
                <c:pt idx="9">
                  <c:v>1304.96</c:v>
                </c:pt>
                <c:pt idx="10">
                  <c:v>1324.56</c:v>
                </c:pt>
                <c:pt idx="11">
                  <c:v>1359.57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9CA-4CB6-B525-81AD3BC26D0F}"/>
            </c:ext>
          </c:extLst>
        </c:ser>
        <c:ser>
          <c:idx val="1"/>
          <c:order val="1"/>
          <c:tx>
            <c:v>E3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'ds Manual Calculations'!$N$210:$N$221</c:f>
              <c:numCache>
                <c:formatCode>General</c:formatCode>
                <c:ptCount val="12"/>
                <c:pt idx="0">
                  <c:v>11.711</c:v>
                </c:pt>
                <c:pt idx="1">
                  <c:v>11.669</c:v>
                </c:pt>
                <c:pt idx="2">
                  <c:v>11.590999999999999</c:v>
                </c:pt>
                <c:pt idx="3">
                  <c:v>11.492000000000001</c:v>
                </c:pt>
                <c:pt idx="4">
                  <c:v>11.396000000000001</c:v>
                </c:pt>
                <c:pt idx="5">
                  <c:v>11.302</c:v>
                </c:pt>
                <c:pt idx="6">
                  <c:v>11.208</c:v>
                </c:pt>
                <c:pt idx="7">
                  <c:v>11.115</c:v>
                </c:pt>
                <c:pt idx="8">
                  <c:v>11.02</c:v>
                </c:pt>
                <c:pt idx="9">
                  <c:v>10.923</c:v>
                </c:pt>
                <c:pt idx="10">
                  <c:v>10.821999999999999</c:v>
                </c:pt>
                <c:pt idx="11">
                  <c:v>10.769</c:v>
                </c:pt>
              </c:numCache>
            </c:numRef>
          </c:xVal>
          <c:yVal>
            <c:numRef>
              <c:f>'ds Manual Calculations'!$F$210:$F$221</c:f>
              <c:numCache>
                <c:formatCode>General</c:formatCode>
                <c:ptCount val="12"/>
                <c:pt idx="0">
                  <c:v>1360.1069600000001</c:v>
                </c:pt>
                <c:pt idx="1">
                  <c:v>1338.84844</c:v>
                </c:pt>
                <c:pt idx="2">
                  <c:v>1310.19327</c:v>
                </c:pt>
                <c:pt idx="3">
                  <c:v>1289.7565999999999</c:v>
                </c:pt>
                <c:pt idx="4">
                  <c:v>1280.55188</c:v>
                </c:pt>
                <c:pt idx="5">
                  <c:v>1277.1001100000001</c:v>
                </c:pt>
                <c:pt idx="6">
                  <c:v>1276.8809499999998</c:v>
                </c:pt>
                <c:pt idx="7">
                  <c:v>1281.5381</c:v>
                </c:pt>
                <c:pt idx="8">
                  <c:v>1290.57845</c:v>
                </c:pt>
                <c:pt idx="9">
                  <c:v>1309.59058</c:v>
                </c:pt>
                <c:pt idx="10">
                  <c:v>1341.8618899999999</c:v>
                </c:pt>
                <c:pt idx="11">
                  <c:v>1364.5997400000001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9CA-4CB6-B525-81AD3BC26D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167983"/>
        <c:axId val="1661160911"/>
      </c:scatterChart>
      <c:valAx>
        <c:axId val="1661167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60911"/>
        <c:crosses val="autoZero"/>
        <c:crossBetween val="midCat"/>
      </c:valAx>
      <c:valAx>
        <c:axId val="166116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679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Exit Total Temperature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OTAC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'ds Manual Calculations'!$AV$223:$AV$234</c:f>
              <c:numCache>
                <c:formatCode>General</c:formatCode>
                <c:ptCount val="12"/>
                <c:pt idx="0">
                  <c:v>10.831</c:v>
                </c:pt>
                <c:pt idx="1">
                  <c:v>10.912000000000001</c:v>
                </c:pt>
                <c:pt idx="2">
                  <c:v>10.986000000000001</c:v>
                </c:pt>
                <c:pt idx="3">
                  <c:v>11.054</c:v>
                </c:pt>
                <c:pt idx="4">
                  <c:v>11.121</c:v>
                </c:pt>
                <c:pt idx="5">
                  <c:v>11.186</c:v>
                </c:pt>
                <c:pt idx="6">
                  <c:v>11.250999999999999</c:v>
                </c:pt>
                <c:pt idx="7">
                  <c:v>11.317</c:v>
                </c:pt>
                <c:pt idx="8">
                  <c:v>11.385</c:v>
                </c:pt>
                <c:pt idx="9">
                  <c:v>11.456</c:v>
                </c:pt>
                <c:pt idx="10">
                  <c:v>11.532999999999999</c:v>
                </c:pt>
                <c:pt idx="11">
                  <c:v>11.625999999999999</c:v>
                </c:pt>
              </c:numCache>
            </c:numRef>
          </c:xVal>
          <c:yVal>
            <c:numRef>
              <c:f>'ds Manual Calculations'!$AC$223:$AC$234</c:f>
              <c:numCache>
                <c:formatCode>General</c:formatCode>
                <c:ptCount val="12"/>
                <c:pt idx="0">
                  <c:v>1434.41</c:v>
                </c:pt>
                <c:pt idx="1">
                  <c:v>1407.24</c:v>
                </c:pt>
                <c:pt idx="2">
                  <c:v>1386.99</c:v>
                </c:pt>
                <c:pt idx="3">
                  <c:v>1378.71</c:v>
                </c:pt>
                <c:pt idx="4">
                  <c:v>1373.93</c:v>
                </c:pt>
                <c:pt idx="5">
                  <c:v>1372.49</c:v>
                </c:pt>
                <c:pt idx="6">
                  <c:v>1373.86</c:v>
                </c:pt>
                <c:pt idx="7">
                  <c:v>1378.45</c:v>
                </c:pt>
                <c:pt idx="8">
                  <c:v>1386.09</c:v>
                </c:pt>
                <c:pt idx="9">
                  <c:v>1398.99</c:v>
                </c:pt>
                <c:pt idx="10">
                  <c:v>1420.94</c:v>
                </c:pt>
                <c:pt idx="11">
                  <c:v>1459.27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06D-4D98-9FCE-1BFD32CD94BF}"/>
            </c:ext>
          </c:extLst>
        </c:ser>
        <c:ser>
          <c:idx val="1"/>
          <c:order val="1"/>
          <c:tx>
            <c:v>E3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'ds Manual Calculations'!$N$223:$N$234</c:f>
              <c:numCache>
                <c:formatCode>General</c:formatCode>
                <c:ptCount val="12"/>
                <c:pt idx="0">
                  <c:v>11.669</c:v>
                </c:pt>
                <c:pt idx="1">
                  <c:v>11.621</c:v>
                </c:pt>
                <c:pt idx="2">
                  <c:v>11.54</c:v>
                </c:pt>
                <c:pt idx="3">
                  <c:v>11.445</c:v>
                </c:pt>
                <c:pt idx="4">
                  <c:v>11.351000000000001</c:v>
                </c:pt>
                <c:pt idx="5">
                  <c:v>11.272</c:v>
                </c:pt>
                <c:pt idx="6">
                  <c:v>11.189</c:v>
                </c:pt>
                <c:pt idx="7">
                  <c:v>11.105</c:v>
                </c:pt>
                <c:pt idx="8">
                  <c:v>11.02</c:v>
                </c:pt>
                <c:pt idx="9">
                  <c:v>10.93</c:v>
                </c:pt>
                <c:pt idx="10">
                  <c:v>10.833</c:v>
                </c:pt>
                <c:pt idx="11">
                  <c:v>10.778</c:v>
                </c:pt>
              </c:numCache>
            </c:numRef>
          </c:xVal>
          <c:yVal>
            <c:numRef>
              <c:f>'ds Manual Calculations'!$F$223:$F$234</c:f>
              <c:numCache>
                <c:formatCode>General</c:formatCode>
                <c:ptCount val="12"/>
                <c:pt idx="0">
                  <c:v>1460.37266</c:v>
                </c:pt>
                <c:pt idx="1">
                  <c:v>1437.19649</c:v>
                </c:pt>
                <c:pt idx="2">
                  <c:v>1405.5826599999998</c:v>
                </c:pt>
                <c:pt idx="3">
                  <c:v>1382.46128</c:v>
                </c:pt>
                <c:pt idx="4">
                  <c:v>1371.5580699999998</c:v>
                </c:pt>
                <c:pt idx="5">
                  <c:v>1367.0652899999998</c:v>
                </c:pt>
                <c:pt idx="6">
                  <c:v>1366.6817599999999</c:v>
                </c:pt>
                <c:pt idx="7">
                  <c:v>1371.99639</c:v>
                </c:pt>
                <c:pt idx="8">
                  <c:v>1382.3516999999999</c:v>
                </c:pt>
                <c:pt idx="9">
                  <c:v>1403.6650099999999</c:v>
                </c:pt>
                <c:pt idx="10">
                  <c:v>1439.2785099999999</c:v>
                </c:pt>
                <c:pt idx="11">
                  <c:v>1464.04359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06D-4D98-9FCE-1BFD32CD94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167983"/>
        <c:axId val="1661160911"/>
      </c:scatterChart>
      <c:valAx>
        <c:axId val="1661167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60911"/>
        <c:crosses val="autoZero"/>
        <c:crossBetween val="midCat"/>
      </c:valAx>
      <c:valAx>
        <c:axId val="166116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679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Exit Total Temperature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OTAC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'ds Manual Calculations'!$AV$236:$AV$247</c:f>
              <c:numCache>
                <c:formatCode>General</c:formatCode>
                <c:ptCount val="12"/>
                <c:pt idx="0">
                  <c:v>10.827999999999999</c:v>
                </c:pt>
                <c:pt idx="1">
                  <c:v>10.9</c:v>
                </c:pt>
                <c:pt idx="2">
                  <c:v>10.97</c:v>
                </c:pt>
                <c:pt idx="3">
                  <c:v>11.038</c:v>
                </c:pt>
                <c:pt idx="4">
                  <c:v>11.106</c:v>
                </c:pt>
                <c:pt idx="5">
                  <c:v>11.173999999999999</c:v>
                </c:pt>
                <c:pt idx="6">
                  <c:v>11.242000000000001</c:v>
                </c:pt>
                <c:pt idx="7">
                  <c:v>11.311</c:v>
                </c:pt>
                <c:pt idx="8">
                  <c:v>11.379</c:v>
                </c:pt>
                <c:pt idx="9">
                  <c:v>11.449</c:v>
                </c:pt>
                <c:pt idx="10">
                  <c:v>11.521000000000001</c:v>
                </c:pt>
                <c:pt idx="11">
                  <c:v>11.597</c:v>
                </c:pt>
              </c:numCache>
            </c:numRef>
          </c:xVal>
          <c:yVal>
            <c:numRef>
              <c:f>'ds Manual Calculations'!$AC$236:$AC$247</c:f>
              <c:numCache>
                <c:formatCode>General</c:formatCode>
                <c:ptCount val="12"/>
                <c:pt idx="0">
                  <c:v>1434.41</c:v>
                </c:pt>
                <c:pt idx="1">
                  <c:v>1407.24</c:v>
                </c:pt>
                <c:pt idx="2">
                  <c:v>1386.99</c:v>
                </c:pt>
                <c:pt idx="3">
                  <c:v>1378.71</c:v>
                </c:pt>
                <c:pt idx="4">
                  <c:v>1373.93</c:v>
                </c:pt>
                <c:pt idx="5">
                  <c:v>1372.49</c:v>
                </c:pt>
                <c:pt idx="6">
                  <c:v>1373.86</c:v>
                </c:pt>
                <c:pt idx="7">
                  <c:v>1378.45</c:v>
                </c:pt>
                <c:pt idx="8">
                  <c:v>1386.09</c:v>
                </c:pt>
                <c:pt idx="9">
                  <c:v>1398.99</c:v>
                </c:pt>
                <c:pt idx="10">
                  <c:v>1420.94</c:v>
                </c:pt>
                <c:pt idx="11">
                  <c:v>1459.27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B89-45F5-96EC-69691F021B35}"/>
            </c:ext>
          </c:extLst>
        </c:ser>
        <c:ser>
          <c:idx val="1"/>
          <c:order val="1"/>
          <c:tx>
            <c:v>E3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'ds Manual Calculations'!$N$236:$N$247</c:f>
              <c:numCache>
                <c:formatCode>0.000</c:formatCode>
                <c:ptCount val="12"/>
                <c:pt idx="0">
                  <c:v>11.618</c:v>
                </c:pt>
                <c:pt idx="1">
                  <c:v>11.58</c:v>
                </c:pt>
                <c:pt idx="2">
                  <c:v>11.51</c:v>
                </c:pt>
                <c:pt idx="3">
                  <c:v>11.420999999999999</c:v>
                </c:pt>
                <c:pt idx="4">
                  <c:v>11.343999999999999</c:v>
                </c:pt>
                <c:pt idx="5">
                  <c:v>11.25</c:v>
                </c:pt>
                <c:pt idx="6">
                  <c:v>11.166</c:v>
                </c:pt>
                <c:pt idx="7">
                  <c:v>11.082000000000001</c:v>
                </c:pt>
                <c:pt idx="8">
                  <c:v>10.997</c:v>
                </c:pt>
                <c:pt idx="9">
                  <c:v>10.91</c:v>
                </c:pt>
                <c:pt idx="10">
                  <c:v>10.819000000000001</c:v>
                </c:pt>
                <c:pt idx="11">
                  <c:v>10.771000000000001</c:v>
                </c:pt>
              </c:numCache>
            </c:numRef>
          </c:xVal>
          <c:yVal>
            <c:numRef>
              <c:f>'ds Manual Calculations'!$F$236:$F$247</c:f>
              <c:numCache>
                <c:formatCode>General</c:formatCode>
                <c:ptCount val="12"/>
                <c:pt idx="0">
                  <c:v>1460.37266</c:v>
                </c:pt>
                <c:pt idx="1">
                  <c:v>1437.19649</c:v>
                </c:pt>
                <c:pt idx="2">
                  <c:v>1405.5826599999998</c:v>
                </c:pt>
                <c:pt idx="3">
                  <c:v>1382.46128</c:v>
                </c:pt>
                <c:pt idx="4">
                  <c:v>1371.5580699999998</c:v>
                </c:pt>
                <c:pt idx="5">
                  <c:v>1367.0652899999998</c:v>
                </c:pt>
                <c:pt idx="6">
                  <c:v>1366.6817599999999</c:v>
                </c:pt>
                <c:pt idx="7">
                  <c:v>1371.99639</c:v>
                </c:pt>
                <c:pt idx="8">
                  <c:v>1382.3516999999999</c:v>
                </c:pt>
                <c:pt idx="9">
                  <c:v>1403.6650099999999</c:v>
                </c:pt>
                <c:pt idx="10">
                  <c:v>1438.9497699999999</c:v>
                </c:pt>
                <c:pt idx="11">
                  <c:v>1464.04359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B89-45F5-96EC-69691F021B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167983"/>
        <c:axId val="1661160911"/>
      </c:scatterChart>
      <c:valAx>
        <c:axId val="1661167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60911"/>
        <c:crosses val="autoZero"/>
        <c:crossBetween val="midCat"/>
      </c:valAx>
      <c:valAx>
        <c:axId val="166116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679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Exit Total Temperature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OTAC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'ds Manual Calculations'!$AV$249:$AV$260</c:f>
              <c:numCache>
                <c:formatCode>General</c:formatCode>
                <c:ptCount val="12"/>
                <c:pt idx="0">
                  <c:v>10.826000000000001</c:v>
                </c:pt>
                <c:pt idx="1">
                  <c:v>10.9</c:v>
                </c:pt>
                <c:pt idx="2">
                  <c:v>10.967000000000001</c:v>
                </c:pt>
                <c:pt idx="3">
                  <c:v>11.029</c:v>
                </c:pt>
                <c:pt idx="4">
                  <c:v>11.089</c:v>
                </c:pt>
                <c:pt idx="5">
                  <c:v>11.148</c:v>
                </c:pt>
                <c:pt idx="6">
                  <c:v>11.207000000000001</c:v>
                </c:pt>
                <c:pt idx="7">
                  <c:v>11.266</c:v>
                </c:pt>
                <c:pt idx="8">
                  <c:v>11.326000000000001</c:v>
                </c:pt>
                <c:pt idx="9">
                  <c:v>11.388999999999999</c:v>
                </c:pt>
                <c:pt idx="10">
                  <c:v>11.457000000000001</c:v>
                </c:pt>
                <c:pt idx="11">
                  <c:v>11.539</c:v>
                </c:pt>
              </c:numCache>
            </c:numRef>
          </c:xVal>
          <c:yVal>
            <c:numRef>
              <c:f>'ds Manual Calculations'!$AC$249:$AC$260</c:f>
              <c:numCache>
                <c:formatCode>General</c:formatCode>
                <c:ptCount val="12"/>
                <c:pt idx="0">
                  <c:v>1529.67</c:v>
                </c:pt>
                <c:pt idx="1">
                  <c:v>1500.11</c:v>
                </c:pt>
                <c:pt idx="2">
                  <c:v>1477.93</c:v>
                </c:pt>
                <c:pt idx="3">
                  <c:v>1468.5</c:v>
                </c:pt>
                <c:pt idx="4">
                  <c:v>1462.94</c:v>
                </c:pt>
                <c:pt idx="5">
                  <c:v>1461.26</c:v>
                </c:pt>
                <c:pt idx="6">
                  <c:v>1462.97</c:v>
                </c:pt>
                <c:pt idx="7">
                  <c:v>1468.43</c:v>
                </c:pt>
                <c:pt idx="8">
                  <c:v>1477.38</c:v>
                </c:pt>
                <c:pt idx="9">
                  <c:v>1492.03</c:v>
                </c:pt>
                <c:pt idx="10">
                  <c:v>1516.43</c:v>
                </c:pt>
                <c:pt idx="11">
                  <c:v>1558.2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781-4F91-A829-737DEDA42FCB}"/>
            </c:ext>
          </c:extLst>
        </c:ser>
        <c:ser>
          <c:idx val="1"/>
          <c:order val="1"/>
          <c:tx>
            <c:v>E3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'ds Manual Calculations'!$N$249:$N$260</c:f>
              <c:numCache>
                <c:formatCode>General</c:formatCode>
                <c:ptCount val="12"/>
                <c:pt idx="0">
                  <c:v>11.577</c:v>
                </c:pt>
                <c:pt idx="1">
                  <c:v>11.534000000000001</c:v>
                </c:pt>
                <c:pt idx="2">
                  <c:v>11.462</c:v>
                </c:pt>
                <c:pt idx="3">
                  <c:v>11.378</c:v>
                </c:pt>
                <c:pt idx="4">
                  <c:v>11.298999999999999</c:v>
                </c:pt>
                <c:pt idx="5">
                  <c:v>11.224</c:v>
                </c:pt>
                <c:pt idx="6">
                  <c:v>11.148999999999999</c:v>
                </c:pt>
                <c:pt idx="7">
                  <c:v>11.074</c:v>
                </c:pt>
                <c:pt idx="8">
                  <c:v>10.997</c:v>
                </c:pt>
                <c:pt idx="9">
                  <c:v>10.916</c:v>
                </c:pt>
                <c:pt idx="10">
                  <c:v>10.827</c:v>
                </c:pt>
                <c:pt idx="11">
                  <c:v>10.778</c:v>
                </c:pt>
              </c:numCache>
            </c:numRef>
          </c:xVal>
          <c:yVal>
            <c:numRef>
              <c:f>'ds Manual Calculations'!$F$249:$F$260</c:f>
              <c:numCache>
                <c:formatCode>General</c:formatCode>
                <c:ptCount val="12"/>
                <c:pt idx="0">
                  <c:v>1559.9808799999998</c:v>
                </c:pt>
                <c:pt idx="1">
                  <c:v>1534.77748</c:v>
                </c:pt>
                <c:pt idx="2">
                  <c:v>1500.0954099999999</c:v>
                </c:pt>
                <c:pt idx="3">
                  <c:v>1474.1797399999998</c:v>
                </c:pt>
                <c:pt idx="4">
                  <c:v>1461.4684600000001</c:v>
                </c:pt>
                <c:pt idx="5">
                  <c:v>1455.87988</c:v>
                </c:pt>
                <c:pt idx="6">
                  <c:v>1455.1128200000001</c:v>
                </c:pt>
                <c:pt idx="7">
                  <c:v>1460.8657700000001</c:v>
                </c:pt>
                <c:pt idx="8">
                  <c:v>1472.4264599999999</c:v>
                </c:pt>
                <c:pt idx="9">
                  <c:v>1495.82179</c:v>
                </c:pt>
                <c:pt idx="10">
                  <c:v>1534.61311</c:v>
                </c:pt>
                <c:pt idx="11">
                  <c:v>1561.29584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781-4F91-A829-737DEDA42F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167983"/>
        <c:axId val="1661160911"/>
      </c:scatterChart>
      <c:valAx>
        <c:axId val="1661167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60911"/>
        <c:crosses val="autoZero"/>
        <c:crossBetween val="midCat"/>
      </c:valAx>
      <c:valAx>
        <c:axId val="166116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679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Exit Total Temperature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OTAC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'ds Manual Calculations'!$AV$262:$AV$273</c:f>
              <c:numCache>
                <c:formatCode>General</c:formatCode>
                <c:ptCount val="12"/>
                <c:pt idx="0">
                  <c:v>10.81</c:v>
                </c:pt>
                <c:pt idx="1">
                  <c:v>10.875999999999999</c:v>
                </c:pt>
                <c:pt idx="2">
                  <c:v>10.941000000000001</c:v>
                </c:pt>
                <c:pt idx="3">
                  <c:v>11.005000000000001</c:v>
                </c:pt>
                <c:pt idx="4">
                  <c:v>11.069000000000001</c:v>
                </c:pt>
                <c:pt idx="5">
                  <c:v>11.132999999999999</c:v>
                </c:pt>
                <c:pt idx="6">
                  <c:v>11.196999999999999</c:v>
                </c:pt>
                <c:pt idx="7">
                  <c:v>11.260999999999999</c:v>
                </c:pt>
                <c:pt idx="8">
                  <c:v>11.324999999999999</c:v>
                </c:pt>
                <c:pt idx="9">
                  <c:v>11.388999999999999</c:v>
                </c:pt>
                <c:pt idx="10">
                  <c:v>11.455</c:v>
                </c:pt>
                <c:pt idx="11">
                  <c:v>11.523</c:v>
                </c:pt>
              </c:numCache>
            </c:numRef>
          </c:xVal>
          <c:yVal>
            <c:numRef>
              <c:f>'ds Manual Calculations'!$AC$262:$AC$273</c:f>
              <c:numCache>
                <c:formatCode>General</c:formatCode>
                <c:ptCount val="12"/>
                <c:pt idx="0">
                  <c:v>1529.67</c:v>
                </c:pt>
                <c:pt idx="1">
                  <c:v>1500.11</c:v>
                </c:pt>
                <c:pt idx="2">
                  <c:v>1477.93</c:v>
                </c:pt>
                <c:pt idx="3">
                  <c:v>1468.5</c:v>
                </c:pt>
                <c:pt idx="4">
                  <c:v>1462.94</c:v>
                </c:pt>
                <c:pt idx="5">
                  <c:v>1461.26</c:v>
                </c:pt>
                <c:pt idx="6">
                  <c:v>1462.97</c:v>
                </c:pt>
                <c:pt idx="7">
                  <c:v>1468.43</c:v>
                </c:pt>
                <c:pt idx="8">
                  <c:v>1477.38</c:v>
                </c:pt>
                <c:pt idx="9">
                  <c:v>1492.03</c:v>
                </c:pt>
                <c:pt idx="10">
                  <c:v>1516.43</c:v>
                </c:pt>
                <c:pt idx="11">
                  <c:v>1558.2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125-4BAB-929F-4DD6AE016C1A}"/>
            </c:ext>
          </c:extLst>
        </c:ser>
        <c:ser>
          <c:idx val="1"/>
          <c:order val="1"/>
          <c:tx>
            <c:v>E3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'ds Manual Calculations'!$N$262:$N$273</c:f>
              <c:numCache>
                <c:formatCode>0.000</c:formatCode>
                <c:ptCount val="12"/>
                <c:pt idx="0">
                  <c:v>11.552</c:v>
                </c:pt>
                <c:pt idx="1">
                  <c:v>11.519</c:v>
                </c:pt>
                <c:pt idx="2">
                  <c:v>11.457000000000001</c:v>
                </c:pt>
                <c:pt idx="3">
                  <c:v>11.375999999999999</c:v>
                </c:pt>
                <c:pt idx="4">
                  <c:v>11.295999999999999</c:v>
                </c:pt>
                <c:pt idx="5">
                  <c:v>11.217000000000001</c:v>
                </c:pt>
                <c:pt idx="6">
                  <c:v>11.138</c:v>
                </c:pt>
                <c:pt idx="7">
                  <c:v>11.058999999999999</c:v>
                </c:pt>
                <c:pt idx="8">
                  <c:v>10.978999999999999</c:v>
                </c:pt>
                <c:pt idx="9">
                  <c:v>10.897</c:v>
                </c:pt>
                <c:pt idx="10">
                  <c:v>10.813000000000001</c:v>
                </c:pt>
                <c:pt idx="11">
                  <c:v>10.77</c:v>
                </c:pt>
              </c:numCache>
            </c:numRef>
          </c:xVal>
          <c:yVal>
            <c:numRef>
              <c:f>'ds Manual Calculations'!$F$262:$F$273</c:f>
              <c:numCache>
                <c:formatCode>General</c:formatCode>
                <c:ptCount val="12"/>
                <c:pt idx="0">
                  <c:v>1559.9808799999998</c:v>
                </c:pt>
                <c:pt idx="1">
                  <c:v>1534.77748</c:v>
                </c:pt>
                <c:pt idx="2">
                  <c:v>1500.0954099999999</c:v>
                </c:pt>
                <c:pt idx="3">
                  <c:v>1474.1797399999998</c:v>
                </c:pt>
                <c:pt idx="4">
                  <c:v>1461.4684600000001</c:v>
                </c:pt>
                <c:pt idx="5">
                  <c:v>1455.87988</c:v>
                </c:pt>
                <c:pt idx="6">
                  <c:v>1455.1128200000001</c:v>
                </c:pt>
                <c:pt idx="7">
                  <c:v>1460.8657700000001</c:v>
                </c:pt>
                <c:pt idx="8">
                  <c:v>1472.4264599999999</c:v>
                </c:pt>
                <c:pt idx="9">
                  <c:v>1495.82179</c:v>
                </c:pt>
                <c:pt idx="10">
                  <c:v>1534.61311</c:v>
                </c:pt>
                <c:pt idx="11">
                  <c:v>1561.29584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125-4BAB-929F-4DD6AE016C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167983"/>
        <c:axId val="1661160911"/>
      </c:scatterChart>
      <c:valAx>
        <c:axId val="1661167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60911"/>
        <c:crosses val="autoZero"/>
        <c:crossBetween val="midCat"/>
      </c:valAx>
      <c:valAx>
        <c:axId val="166116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679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Pressure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OTAC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'ds Manual Calculations'!$AV$197:$AV$208</c:f>
              <c:numCache>
                <c:formatCode>General</c:formatCode>
                <c:ptCount val="12"/>
                <c:pt idx="0">
                  <c:v>10.823</c:v>
                </c:pt>
                <c:pt idx="1">
                  <c:v>10.906000000000001</c:v>
                </c:pt>
                <c:pt idx="2">
                  <c:v>10.987</c:v>
                </c:pt>
                <c:pt idx="3">
                  <c:v>11.067</c:v>
                </c:pt>
                <c:pt idx="4">
                  <c:v>11.147</c:v>
                </c:pt>
                <c:pt idx="5">
                  <c:v>11.226000000000001</c:v>
                </c:pt>
                <c:pt idx="6">
                  <c:v>11.305</c:v>
                </c:pt>
                <c:pt idx="7">
                  <c:v>11.385999999999999</c:v>
                </c:pt>
                <c:pt idx="8">
                  <c:v>11.468</c:v>
                </c:pt>
                <c:pt idx="9">
                  <c:v>11.552</c:v>
                </c:pt>
                <c:pt idx="10">
                  <c:v>11.637</c:v>
                </c:pt>
                <c:pt idx="11">
                  <c:v>11.725</c:v>
                </c:pt>
              </c:numCache>
            </c:numRef>
          </c:xVal>
          <c:yVal>
            <c:numRef>
              <c:f>'ds Manual Calculations'!$AA$197:$AA$208</c:f>
              <c:numCache>
                <c:formatCode>General</c:formatCode>
                <c:ptCount val="12"/>
                <c:pt idx="0">
                  <c:v>141.315</c:v>
                </c:pt>
                <c:pt idx="1">
                  <c:v>141.10599999999999</c:v>
                </c:pt>
                <c:pt idx="2">
                  <c:v>140.86500000000001</c:v>
                </c:pt>
                <c:pt idx="3">
                  <c:v>140.60499999999999</c:v>
                </c:pt>
                <c:pt idx="4">
                  <c:v>140.34</c:v>
                </c:pt>
                <c:pt idx="5">
                  <c:v>140.178</c:v>
                </c:pt>
                <c:pt idx="6">
                  <c:v>139.82</c:v>
                </c:pt>
                <c:pt idx="7">
                  <c:v>139.55600000000001</c:v>
                </c:pt>
                <c:pt idx="8">
                  <c:v>139.36799999999999</c:v>
                </c:pt>
                <c:pt idx="9">
                  <c:v>139.333</c:v>
                </c:pt>
                <c:pt idx="10">
                  <c:v>139.30199999999999</c:v>
                </c:pt>
                <c:pt idx="11">
                  <c:v>138.83799999999999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3DC-4C82-BB1B-FC6F78E99AB8}"/>
            </c:ext>
          </c:extLst>
        </c:ser>
        <c:ser>
          <c:idx val="1"/>
          <c:order val="1"/>
          <c:tx>
            <c:v>E3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'ds Manual Calculations'!$N$197:$N$208</c:f>
              <c:numCache>
                <c:formatCode>General</c:formatCode>
                <c:ptCount val="12"/>
                <c:pt idx="0">
                  <c:v>11.766</c:v>
                </c:pt>
                <c:pt idx="1">
                  <c:v>11.715</c:v>
                </c:pt>
                <c:pt idx="2">
                  <c:v>11.625999999999999</c:v>
                </c:pt>
                <c:pt idx="3">
                  <c:v>11.521000000000001</c:v>
                </c:pt>
                <c:pt idx="4">
                  <c:v>11.422000000000001</c:v>
                </c:pt>
                <c:pt idx="5">
                  <c:v>11.327</c:v>
                </c:pt>
                <c:pt idx="6">
                  <c:v>11.233000000000001</c:v>
                </c:pt>
                <c:pt idx="7">
                  <c:v>11.138</c:v>
                </c:pt>
                <c:pt idx="8">
                  <c:v>11.042</c:v>
                </c:pt>
                <c:pt idx="9">
                  <c:v>10.943</c:v>
                </c:pt>
                <c:pt idx="10">
                  <c:v>10.835000000000001</c:v>
                </c:pt>
                <c:pt idx="11">
                  <c:v>10.775</c:v>
                </c:pt>
              </c:numCache>
            </c:numRef>
          </c:xVal>
          <c:yVal>
            <c:numRef>
              <c:f>'ds Manual Calculations'!$D$197:$D$208</c:f>
              <c:numCache>
                <c:formatCode>General</c:formatCode>
                <c:ptCount val="12"/>
                <c:pt idx="0">
                  <c:v>138.51418000000001</c:v>
                </c:pt>
                <c:pt idx="1">
                  <c:v>138.71313000000001</c:v>
                </c:pt>
                <c:pt idx="2">
                  <c:v>138.91294500000001</c:v>
                </c:pt>
                <c:pt idx="3">
                  <c:v>139.17850000000001</c:v>
                </c:pt>
                <c:pt idx="4">
                  <c:v>139.44492</c:v>
                </c:pt>
                <c:pt idx="5">
                  <c:v>139.71133999999998</c:v>
                </c:pt>
                <c:pt idx="6">
                  <c:v>139.97689500000001</c:v>
                </c:pt>
                <c:pt idx="7">
                  <c:v>140.24331500000002</c:v>
                </c:pt>
                <c:pt idx="8">
                  <c:v>140.50887</c:v>
                </c:pt>
                <c:pt idx="9">
                  <c:v>140.77529000000001</c:v>
                </c:pt>
                <c:pt idx="10">
                  <c:v>141.04170999999999</c:v>
                </c:pt>
                <c:pt idx="11">
                  <c:v>141.17405499999998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3DC-4C82-BB1B-FC6F78E99A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153839"/>
        <c:axId val="1661155087"/>
      </c:scatterChart>
      <c:valAx>
        <c:axId val="166115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5087"/>
        <c:crosses val="autoZero"/>
        <c:crossBetween val="midCat"/>
      </c:valAx>
      <c:valAx>
        <c:axId val="166115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Pressure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OTAC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'ds Manual Calculations'!$AW$210:$AW$221</c:f>
              <c:numCache>
                <c:formatCode>General</c:formatCode>
                <c:ptCount val="12"/>
                <c:pt idx="0">
                  <c:v>10.891</c:v>
                </c:pt>
                <c:pt idx="1">
                  <c:v>10.97</c:v>
                </c:pt>
                <c:pt idx="2">
                  <c:v>11.045999999999999</c:v>
                </c:pt>
                <c:pt idx="3">
                  <c:v>11.122</c:v>
                </c:pt>
                <c:pt idx="4">
                  <c:v>11.196999999999999</c:v>
                </c:pt>
                <c:pt idx="5">
                  <c:v>11.271000000000001</c:v>
                </c:pt>
                <c:pt idx="6">
                  <c:v>11.347</c:v>
                </c:pt>
                <c:pt idx="7">
                  <c:v>11.423</c:v>
                </c:pt>
                <c:pt idx="8">
                  <c:v>11.500999999999999</c:v>
                </c:pt>
                <c:pt idx="9">
                  <c:v>11.58</c:v>
                </c:pt>
                <c:pt idx="10">
                  <c:v>11.661</c:v>
                </c:pt>
                <c:pt idx="11">
                  <c:v>11.747999999999999</c:v>
                </c:pt>
              </c:numCache>
            </c:numRef>
          </c:xVal>
          <c:yVal>
            <c:numRef>
              <c:f>'ds Manual Calculations'!$AA$210:$AA$221</c:f>
              <c:numCache>
                <c:formatCode>General</c:formatCode>
                <c:ptCount val="12"/>
                <c:pt idx="0">
                  <c:v>139.11199999999999</c:v>
                </c:pt>
                <c:pt idx="1">
                  <c:v>139.214</c:v>
                </c:pt>
                <c:pt idx="2">
                  <c:v>139.22800000000001</c:v>
                </c:pt>
                <c:pt idx="3">
                  <c:v>139.172</c:v>
                </c:pt>
                <c:pt idx="4">
                  <c:v>139.071</c:v>
                </c:pt>
                <c:pt idx="5">
                  <c:v>139.006</c:v>
                </c:pt>
                <c:pt idx="6">
                  <c:v>138.66999999999999</c:v>
                </c:pt>
                <c:pt idx="7">
                  <c:v>138.374</c:v>
                </c:pt>
                <c:pt idx="8">
                  <c:v>138.11099999999999</c:v>
                </c:pt>
                <c:pt idx="9">
                  <c:v>137.96</c:v>
                </c:pt>
                <c:pt idx="10">
                  <c:v>137.76400000000001</c:v>
                </c:pt>
                <c:pt idx="11">
                  <c:v>137.126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895-4454-BE82-EB4EFFEBD8F5}"/>
            </c:ext>
          </c:extLst>
        </c:ser>
        <c:ser>
          <c:idx val="1"/>
          <c:order val="1"/>
          <c:tx>
            <c:v>E3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'ds Manual Calculations'!$N$210:$N$221</c:f>
              <c:numCache>
                <c:formatCode>General</c:formatCode>
                <c:ptCount val="12"/>
                <c:pt idx="0">
                  <c:v>11.711</c:v>
                </c:pt>
                <c:pt idx="1">
                  <c:v>11.669</c:v>
                </c:pt>
                <c:pt idx="2">
                  <c:v>11.590999999999999</c:v>
                </c:pt>
                <c:pt idx="3">
                  <c:v>11.492000000000001</c:v>
                </c:pt>
                <c:pt idx="4">
                  <c:v>11.396000000000001</c:v>
                </c:pt>
                <c:pt idx="5">
                  <c:v>11.302</c:v>
                </c:pt>
                <c:pt idx="6">
                  <c:v>11.208</c:v>
                </c:pt>
                <c:pt idx="7">
                  <c:v>11.115</c:v>
                </c:pt>
                <c:pt idx="8">
                  <c:v>11.02</c:v>
                </c:pt>
                <c:pt idx="9">
                  <c:v>10.923</c:v>
                </c:pt>
                <c:pt idx="10">
                  <c:v>10.821999999999999</c:v>
                </c:pt>
                <c:pt idx="11">
                  <c:v>10.769</c:v>
                </c:pt>
              </c:numCache>
            </c:numRef>
          </c:xVal>
          <c:yVal>
            <c:numRef>
              <c:f>'ds Manual Calculations'!$D$210:$D$221</c:f>
              <c:numCache>
                <c:formatCode>General</c:formatCode>
                <c:ptCount val="12"/>
                <c:pt idx="0">
                  <c:v>136.721035</c:v>
                </c:pt>
                <c:pt idx="1">
                  <c:v>137.001295</c:v>
                </c:pt>
                <c:pt idx="2">
                  <c:v>137.36546000000001</c:v>
                </c:pt>
                <c:pt idx="3">
                  <c:v>137.82477500000002</c:v>
                </c:pt>
                <c:pt idx="4">
                  <c:v>138.227</c:v>
                </c:pt>
                <c:pt idx="5">
                  <c:v>138.56175500000001</c:v>
                </c:pt>
                <c:pt idx="6">
                  <c:v>138.82125500000001</c:v>
                </c:pt>
                <c:pt idx="7">
                  <c:v>138.97262999999998</c:v>
                </c:pt>
                <c:pt idx="8">
                  <c:v>139.02972000000003</c:v>
                </c:pt>
                <c:pt idx="9">
                  <c:v>139.020205</c:v>
                </c:pt>
                <c:pt idx="10">
                  <c:v>138.89651000000001</c:v>
                </c:pt>
                <c:pt idx="11">
                  <c:v>138.81001000000001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895-4454-BE82-EB4EFFEBD8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153839"/>
        <c:axId val="1661155087"/>
      </c:scatterChart>
      <c:valAx>
        <c:axId val="166115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5087"/>
        <c:crosses val="autoZero"/>
        <c:crossBetween val="midCat"/>
      </c:valAx>
      <c:valAx>
        <c:axId val="166115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Pressure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OTAC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'ds Manual Calculations'!$AW$223:$AW$234</c:f>
              <c:numCache>
                <c:formatCode>General</c:formatCode>
                <c:ptCount val="12"/>
                <c:pt idx="0">
                  <c:v>10.874000000000001</c:v>
                </c:pt>
                <c:pt idx="1">
                  <c:v>10.95</c:v>
                </c:pt>
                <c:pt idx="2">
                  <c:v>11.021000000000001</c:v>
                </c:pt>
                <c:pt idx="3">
                  <c:v>11.087999999999999</c:v>
                </c:pt>
                <c:pt idx="4">
                  <c:v>11.153</c:v>
                </c:pt>
                <c:pt idx="5">
                  <c:v>11.218</c:v>
                </c:pt>
                <c:pt idx="6">
                  <c:v>11.282999999999999</c:v>
                </c:pt>
                <c:pt idx="7">
                  <c:v>11.35</c:v>
                </c:pt>
                <c:pt idx="8">
                  <c:v>11.419</c:v>
                </c:pt>
                <c:pt idx="9">
                  <c:v>11.493</c:v>
                </c:pt>
                <c:pt idx="10">
                  <c:v>11.574</c:v>
                </c:pt>
                <c:pt idx="11">
                  <c:v>11.678000000000001</c:v>
                </c:pt>
              </c:numCache>
            </c:numRef>
          </c:xVal>
          <c:yVal>
            <c:numRef>
              <c:f>'ds Manual Calculations'!$AA$223:$AA$234</c:f>
              <c:numCache>
                <c:formatCode>General</c:formatCode>
                <c:ptCount val="12"/>
                <c:pt idx="0">
                  <c:v>177.678</c:v>
                </c:pt>
                <c:pt idx="1">
                  <c:v>177.46799999999999</c:v>
                </c:pt>
                <c:pt idx="2">
                  <c:v>177.203</c:v>
                </c:pt>
                <c:pt idx="3">
                  <c:v>176.911</c:v>
                </c:pt>
                <c:pt idx="4">
                  <c:v>176.61500000000001</c:v>
                </c:pt>
                <c:pt idx="5">
                  <c:v>176.46299999999999</c:v>
                </c:pt>
                <c:pt idx="6">
                  <c:v>176.07</c:v>
                </c:pt>
                <c:pt idx="7">
                  <c:v>175.798</c:v>
                </c:pt>
                <c:pt idx="8">
                  <c:v>175.62700000000001</c:v>
                </c:pt>
                <c:pt idx="9">
                  <c:v>175.642</c:v>
                </c:pt>
                <c:pt idx="10">
                  <c:v>175.64400000000001</c:v>
                </c:pt>
                <c:pt idx="11">
                  <c:v>175.07599999999999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DD4-4FAE-8D6D-51E5394D35E0}"/>
            </c:ext>
          </c:extLst>
        </c:ser>
        <c:ser>
          <c:idx val="1"/>
          <c:order val="1"/>
          <c:tx>
            <c:v>E3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'ds Manual Calculations'!$N$223:$N$234</c:f>
              <c:numCache>
                <c:formatCode>General</c:formatCode>
                <c:ptCount val="12"/>
                <c:pt idx="0">
                  <c:v>11.669</c:v>
                </c:pt>
                <c:pt idx="1">
                  <c:v>11.621</c:v>
                </c:pt>
                <c:pt idx="2">
                  <c:v>11.54</c:v>
                </c:pt>
                <c:pt idx="3">
                  <c:v>11.445</c:v>
                </c:pt>
                <c:pt idx="4">
                  <c:v>11.351000000000001</c:v>
                </c:pt>
                <c:pt idx="5">
                  <c:v>11.272</c:v>
                </c:pt>
                <c:pt idx="6">
                  <c:v>11.189</c:v>
                </c:pt>
                <c:pt idx="7">
                  <c:v>11.105</c:v>
                </c:pt>
                <c:pt idx="8">
                  <c:v>11.02</c:v>
                </c:pt>
                <c:pt idx="9">
                  <c:v>10.93</c:v>
                </c:pt>
                <c:pt idx="10">
                  <c:v>10.833</c:v>
                </c:pt>
                <c:pt idx="11">
                  <c:v>10.778</c:v>
                </c:pt>
              </c:numCache>
            </c:numRef>
          </c:xVal>
          <c:yVal>
            <c:numRef>
              <c:f>'ds Manual Calculations'!$D$223:$D$234</c:f>
              <c:numCache>
                <c:formatCode>General</c:formatCode>
                <c:ptCount val="12"/>
                <c:pt idx="0">
                  <c:v>174.69367</c:v>
                </c:pt>
                <c:pt idx="1">
                  <c:v>174.90213499999999</c:v>
                </c:pt>
                <c:pt idx="2">
                  <c:v>175.109735</c:v>
                </c:pt>
                <c:pt idx="3">
                  <c:v>175.38740000000001</c:v>
                </c:pt>
                <c:pt idx="4">
                  <c:v>175.665065</c:v>
                </c:pt>
                <c:pt idx="5">
                  <c:v>175.94273000000001</c:v>
                </c:pt>
                <c:pt idx="6">
                  <c:v>176.220395</c:v>
                </c:pt>
                <c:pt idx="7">
                  <c:v>176.497195</c:v>
                </c:pt>
                <c:pt idx="8">
                  <c:v>176.77485999999999</c:v>
                </c:pt>
                <c:pt idx="9">
                  <c:v>177.052525</c:v>
                </c:pt>
                <c:pt idx="10">
                  <c:v>177.33018999999999</c:v>
                </c:pt>
                <c:pt idx="11">
                  <c:v>177.46859000000001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DD4-4FAE-8D6D-51E5394D35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153839"/>
        <c:axId val="1661155087"/>
      </c:scatterChart>
      <c:valAx>
        <c:axId val="166115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5087"/>
        <c:crosses val="autoZero"/>
        <c:crossBetween val="midCat"/>
      </c:valAx>
      <c:valAx>
        <c:axId val="166115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Pressure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OTAC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'ds Manual Calculations'!$AW$236:$AW$247</c:f>
              <c:numCache>
                <c:formatCode>General</c:formatCode>
                <c:ptCount val="12"/>
                <c:pt idx="0">
                  <c:v>10.865</c:v>
                </c:pt>
                <c:pt idx="1">
                  <c:v>10.935</c:v>
                </c:pt>
                <c:pt idx="2">
                  <c:v>11.004</c:v>
                </c:pt>
                <c:pt idx="3">
                  <c:v>11.071999999999999</c:v>
                </c:pt>
                <c:pt idx="4">
                  <c:v>11.14</c:v>
                </c:pt>
                <c:pt idx="5">
                  <c:v>11.208</c:v>
                </c:pt>
                <c:pt idx="6">
                  <c:v>11.276</c:v>
                </c:pt>
                <c:pt idx="7">
                  <c:v>11.345000000000001</c:v>
                </c:pt>
                <c:pt idx="8">
                  <c:v>11.414</c:v>
                </c:pt>
                <c:pt idx="9">
                  <c:v>11.484</c:v>
                </c:pt>
                <c:pt idx="10">
                  <c:v>11.557</c:v>
                </c:pt>
                <c:pt idx="11">
                  <c:v>11.637</c:v>
                </c:pt>
              </c:numCache>
            </c:numRef>
          </c:xVal>
          <c:yVal>
            <c:numRef>
              <c:f>'ds Manual Calculations'!$AA$236:$AA$247</c:f>
              <c:numCache>
                <c:formatCode>General</c:formatCode>
                <c:ptCount val="12"/>
                <c:pt idx="0">
                  <c:v>175.28800000000001</c:v>
                </c:pt>
                <c:pt idx="1">
                  <c:v>175.35900000000001</c:v>
                </c:pt>
                <c:pt idx="2">
                  <c:v>175.33099999999999</c:v>
                </c:pt>
                <c:pt idx="3">
                  <c:v>175.24700000000001</c:v>
                </c:pt>
                <c:pt idx="4">
                  <c:v>175.11799999999999</c:v>
                </c:pt>
                <c:pt idx="5">
                  <c:v>175.054</c:v>
                </c:pt>
                <c:pt idx="6">
                  <c:v>174.69</c:v>
                </c:pt>
                <c:pt idx="7">
                  <c:v>174.51400000000001</c:v>
                </c:pt>
                <c:pt idx="8">
                  <c:v>174.58099999999999</c:v>
                </c:pt>
                <c:pt idx="9">
                  <c:v>174.136</c:v>
                </c:pt>
                <c:pt idx="10">
                  <c:v>173.88</c:v>
                </c:pt>
                <c:pt idx="11">
                  <c:v>173.08099999999999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6F1-4CAE-B110-AFFB38ED800A}"/>
            </c:ext>
          </c:extLst>
        </c:ser>
        <c:ser>
          <c:idx val="1"/>
          <c:order val="1"/>
          <c:tx>
            <c:v>E3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'ds Manual Calculations'!$N$236:$N$247</c:f>
              <c:numCache>
                <c:formatCode>0.000</c:formatCode>
                <c:ptCount val="12"/>
                <c:pt idx="0">
                  <c:v>11.618</c:v>
                </c:pt>
                <c:pt idx="1">
                  <c:v>11.58</c:v>
                </c:pt>
                <c:pt idx="2">
                  <c:v>11.51</c:v>
                </c:pt>
                <c:pt idx="3">
                  <c:v>11.420999999999999</c:v>
                </c:pt>
                <c:pt idx="4">
                  <c:v>11.343999999999999</c:v>
                </c:pt>
                <c:pt idx="5">
                  <c:v>11.25</c:v>
                </c:pt>
                <c:pt idx="6">
                  <c:v>11.166</c:v>
                </c:pt>
                <c:pt idx="7">
                  <c:v>11.082000000000001</c:v>
                </c:pt>
                <c:pt idx="8">
                  <c:v>10.997</c:v>
                </c:pt>
                <c:pt idx="9">
                  <c:v>10.91</c:v>
                </c:pt>
                <c:pt idx="10">
                  <c:v>10.819000000000001</c:v>
                </c:pt>
                <c:pt idx="11">
                  <c:v>10.771000000000001</c:v>
                </c:pt>
              </c:numCache>
            </c:numRef>
          </c:xVal>
          <c:yVal>
            <c:numRef>
              <c:f>'ds Manual Calculations'!$D$236:$D$246</c:f>
              <c:numCache>
                <c:formatCode>General</c:formatCode>
                <c:ptCount val="11"/>
                <c:pt idx="0">
                  <c:v>172.578745</c:v>
                </c:pt>
                <c:pt idx="1">
                  <c:v>172.88063</c:v>
                </c:pt>
                <c:pt idx="2">
                  <c:v>173.27680000000001</c:v>
                </c:pt>
                <c:pt idx="3">
                  <c:v>173.77417500000001</c:v>
                </c:pt>
                <c:pt idx="4">
                  <c:v>174.640905</c:v>
                </c:pt>
                <c:pt idx="5">
                  <c:v>174.56478500000003</c:v>
                </c:pt>
                <c:pt idx="6">
                  <c:v>174.83812499999999</c:v>
                </c:pt>
                <c:pt idx="7">
                  <c:v>174.98950000000002</c:v>
                </c:pt>
                <c:pt idx="8">
                  <c:v>175.03534500000001</c:v>
                </c:pt>
                <c:pt idx="9">
                  <c:v>175.00593499999999</c:v>
                </c:pt>
                <c:pt idx="10">
                  <c:v>174.84764000000001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6F1-4CAE-B110-AFFB38ED80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153839"/>
        <c:axId val="1661155087"/>
      </c:scatterChart>
      <c:valAx>
        <c:axId val="166115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5087"/>
        <c:crosses val="autoZero"/>
        <c:crossBetween val="midCat"/>
      </c:valAx>
      <c:valAx>
        <c:axId val="166115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Pressure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OTAC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'ds Manual Calculations'!$AW$249:$AW$260</c:f>
              <c:numCache>
                <c:formatCode>General</c:formatCode>
                <c:ptCount val="12"/>
                <c:pt idx="0">
                  <c:v>10.866</c:v>
                </c:pt>
                <c:pt idx="1">
                  <c:v>10.935</c:v>
                </c:pt>
                <c:pt idx="2">
                  <c:v>10.999000000000001</c:v>
                </c:pt>
                <c:pt idx="3">
                  <c:v>11.06</c:v>
                </c:pt>
                <c:pt idx="4">
                  <c:v>11.119</c:v>
                </c:pt>
                <c:pt idx="5">
                  <c:v>11.178000000000001</c:v>
                </c:pt>
                <c:pt idx="6">
                  <c:v>11.236000000000001</c:v>
                </c:pt>
                <c:pt idx="7">
                  <c:v>11.295999999999999</c:v>
                </c:pt>
                <c:pt idx="8">
                  <c:v>11.356</c:v>
                </c:pt>
                <c:pt idx="9">
                  <c:v>11.420999999999999</c:v>
                </c:pt>
                <c:pt idx="10">
                  <c:v>11.493</c:v>
                </c:pt>
                <c:pt idx="11">
                  <c:v>11.585000000000001</c:v>
                </c:pt>
              </c:numCache>
            </c:numRef>
          </c:xVal>
          <c:yVal>
            <c:numRef>
              <c:f>'ds Manual Calculations'!$AA$249:$AA$260</c:f>
              <c:numCache>
                <c:formatCode>General</c:formatCode>
                <c:ptCount val="12"/>
                <c:pt idx="0">
                  <c:v>219.63800000000001</c:v>
                </c:pt>
                <c:pt idx="1">
                  <c:v>219.41200000000001</c:v>
                </c:pt>
                <c:pt idx="2">
                  <c:v>219.12299999999999</c:v>
                </c:pt>
                <c:pt idx="3">
                  <c:v>218.84</c:v>
                </c:pt>
                <c:pt idx="4">
                  <c:v>218.56399999999999</c:v>
                </c:pt>
                <c:pt idx="5">
                  <c:v>218.47</c:v>
                </c:pt>
                <c:pt idx="6">
                  <c:v>218.11600000000001</c:v>
                </c:pt>
                <c:pt idx="7">
                  <c:v>218.07900000000001</c:v>
                </c:pt>
                <c:pt idx="8">
                  <c:v>218.40700000000001</c:v>
                </c:pt>
                <c:pt idx="9">
                  <c:v>218.143</c:v>
                </c:pt>
                <c:pt idx="10">
                  <c:v>218.15899999999999</c:v>
                </c:pt>
                <c:pt idx="11">
                  <c:v>217.505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6B-4F84-8708-511717DA615B}"/>
            </c:ext>
          </c:extLst>
        </c:ser>
        <c:ser>
          <c:idx val="1"/>
          <c:order val="1"/>
          <c:tx>
            <c:v>E3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'ds Manual Calculations'!$N$249:$N$260</c:f>
              <c:numCache>
                <c:formatCode>General</c:formatCode>
                <c:ptCount val="12"/>
                <c:pt idx="0">
                  <c:v>11.577</c:v>
                </c:pt>
                <c:pt idx="1">
                  <c:v>11.534000000000001</c:v>
                </c:pt>
                <c:pt idx="2">
                  <c:v>11.462</c:v>
                </c:pt>
                <c:pt idx="3">
                  <c:v>11.378</c:v>
                </c:pt>
                <c:pt idx="4">
                  <c:v>11.298999999999999</c:v>
                </c:pt>
                <c:pt idx="5">
                  <c:v>11.224</c:v>
                </c:pt>
                <c:pt idx="6">
                  <c:v>11.148999999999999</c:v>
                </c:pt>
                <c:pt idx="7">
                  <c:v>11.074</c:v>
                </c:pt>
                <c:pt idx="8">
                  <c:v>10.997</c:v>
                </c:pt>
                <c:pt idx="9">
                  <c:v>10.916</c:v>
                </c:pt>
                <c:pt idx="10">
                  <c:v>10.827</c:v>
                </c:pt>
                <c:pt idx="11">
                  <c:v>10.778</c:v>
                </c:pt>
              </c:numCache>
            </c:numRef>
          </c:xVal>
          <c:yVal>
            <c:numRef>
              <c:f>'ds Manual Calculations'!$D$249:$D$260</c:f>
              <c:numCache>
                <c:formatCode>General</c:formatCode>
                <c:ptCount val="12"/>
                <c:pt idx="0">
                  <c:v>217.07347999999999</c:v>
                </c:pt>
                <c:pt idx="1">
                  <c:v>217.226585</c:v>
                </c:pt>
                <c:pt idx="2">
                  <c:v>217.37969000000001</c:v>
                </c:pt>
                <c:pt idx="3">
                  <c:v>217.582965</c:v>
                </c:pt>
                <c:pt idx="4">
                  <c:v>217.78710500000003</c:v>
                </c:pt>
                <c:pt idx="5">
                  <c:v>217.99124500000002</c:v>
                </c:pt>
                <c:pt idx="6">
                  <c:v>218.19451999999998</c:v>
                </c:pt>
                <c:pt idx="7">
                  <c:v>218.39866000000001</c:v>
                </c:pt>
                <c:pt idx="8">
                  <c:v>218.601935</c:v>
                </c:pt>
                <c:pt idx="9">
                  <c:v>218.80607500000002</c:v>
                </c:pt>
                <c:pt idx="10">
                  <c:v>219.00935000000001</c:v>
                </c:pt>
                <c:pt idx="11">
                  <c:v>219.11142000000001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A6B-4F84-8708-511717DA61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153839"/>
        <c:axId val="1661155087"/>
      </c:scatterChart>
      <c:valAx>
        <c:axId val="166115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5087"/>
        <c:crosses val="autoZero"/>
        <c:crossBetween val="midCat"/>
      </c:valAx>
      <c:valAx>
        <c:axId val="166115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Pressure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OTAC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'ds Manual Calculations'!$AW$262:$AW$273</c:f>
              <c:numCache>
                <c:formatCode>General</c:formatCode>
                <c:ptCount val="12"/>
                <c:pt idx="0">
                  <c:v>10.843</c:v>
                </c:pt>
                <c:pt idx="1">
                  <c:v>10.909000000000001</c:v>
                </c:pt>
                <c:pt idx="2">
                  <c:v>10.973000000000001</c:v>
                </c:pt>
                <c:pt idx="3">
                  <c:v>11.037000000000001</c:v>
                </c:pt>
                <c:pt idx="4">
                  <c:v>11.101000000000001</c:v>
                </c:pt>
                <c:pt idx="5">
                  <c:v>11.164999999999999</c:v>
                </c:pt>
                <c:pt idx="6">
                  <c:v>11.228999999999999</c:v>
                </c:pt>
                <c:pt idx="7">
                  <c:v>11.294</c:v>
                </c:pt>
                <c:pt idx="8">
                  <c:v>11.356999999999999</c:v>
                </c:pt>
                <c:pt idx="9">
                  <c:v>11.422000000000001</c:v>
                </c:pt>
                <c:pt idx="10">
                  <c:v>11.487</c:v>
                </c:pt>
                <c:pt idx="11">
                  <c:v>11.558</c:v>
                </c:pt>
              </c:numCache>
            </c:numRef>
          </c:xVal>
          <c:yVal>
            <c:numRef>
              <c:f>'ds Manual Calculations'!$AA$262:$AA$273</c:f>
              <c:numCache>
                <c:formatCode>General</c:formatCode>
                <c:ptCount val="12"/>
                <c:pt idx="0">
                  <c:v>216.178</c:v>
                </c:pt>
                <c:pt idx="1">
                  <c:v>216.35900000000001</c:v>
                </c:pt>
                <c:pt idx="2">
                  <c:v>216.37299999999999</c:v>
                </c:pt>
                <c:pt idx="3">
                  <c:v>216.32499999999999</c:v>
                </c:pt>
                <c:pt idx="4">
                  <c:v>216.23099999999999</c:v>
                </c:pt>
                <c:pt idx="5">
                  <c:v>216.23699999999999</c:v>
                </c:pt>
                <c:pt idx="6">
                  <c:v>215.91</c:v>
                </c:pt>
                <c:pt idx="7">
                  <c:v>215.84200000000001</c:v>
                </c:pt>
                <c:pt idx="8">
                  <c:v>216.08500000000001</c:v>
                </c:pt>
                <c:pt idx="9">
                  <c:v>215.68299999999999</c:v>
                </c:pt>
                <c:pt idx="10">
                  <c:v>215.49700000000001</c:v>
                </c:pt>
                <c:pt idx="11">
                  <c:v>214.577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13A-4377-A755-263497C1876B}"/>
            </c:ext>
          </c:extLst>
        </c:ser>
        <c:ser>
          <c:idx val="1"/>
          <c:order val="1"/>
          <c:tx>
            <c:v>E3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'ds Manual Calculations'!$N$262:$N$273</c:f>
              <c:numCache>
                <c:formatCode>0.000</c:formatCode>
                <c:ptCount val="12"/>
                <c:pt idx="0">
                  <c:v>11.552</c:v>
                </c:pt>
                <c:pt idx="1">
                  <c:v>11.519</c:v>
                </c:pt>
                <c:pt idx="2">
                  <c:v>11.457000000000001</c:v>
                </c:pt>
                <c:pt idx="3">
                  <c:v>11.375999999999999</c:v>
                </c:pt>
                <c:pt idx="4">
                  <c:v>11.295999999999999</c:v>
                </c:pt>
                <c:pt idx="5">
                  <c:v>11.217000000000001</c:v>
                </c:pt>
                <c:pt idx="6">
                  <c:v>11.138</c:v>
                </c:pt>
                <c:pt idx="7">
                  <c:v>11.058999999999999</c:v>
                </c:pt>
                <c:pt idx="8">
                  <c:v>10.978999999999999</c:v>
                </c:pt>
                <c:pt idx="9">
                  <c:v>10.897</c:v>
                </c:pt>
                <c:pt idx="10">
                  <c:v>10.813000000000001</c:v>
                </c:pt>
                <c:pt idx="11">
                  <c:v>10.77</c:v>
                </c:pt>
              </c:numCache>
            </c:numRef>
          </c:xVal>
          <c:yVal>
            <c:numRef>
              <c:f>'ds Manual Calculations'!$D$262:$D$273</c:f>
              <c:numCache>
                <c:formatCode>General</c:formatCode>
                <c:ptCount val="12"/>
                <c:pt idx="0">
                  <c:v>214.00186500000004</c:v>
                </c:pt>
                <c:pt idx="1">
                  <c:v>214.26396</c:v>
                </c:pt>
                <c:pt idx="2">
                  <c:v>214.63072</c:v>
                </c:pt>
                <c:pt idx="3">
                  <c:v>215.08657500000001</c:v>
                </c:pt>
                <c:pt idx="4">
                  <c:v>215.47928500000003</c:v>
                </c:pt>
                <c:pt idx="5">
                  <c:v>215.78376500000002</c:v>
                </c:pt>
                <c:pt idx="6">
                  <c:v>215.9905</c:v>
                </c:pt>
                <c:pt idx="7">
                  <c:v>216.05450999999999</c:v>
                </c:pt>
                <c:pt idx="8">
                  <c:v>215.99569000000002</c:v>
                </c:pt>
                <c:pt idx="9">
                  <c:v>215.85469500000002</c:v>
                </c:pt>
                <c:pt idx="10">
                  <c:v>215.58568000000002</c:v>
                </c:pt>
                <c:pt idx="11">
                  <c:v>215.42565500000001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13A-4377-A755-263497C187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153839"/>
        <c:axId val="1661155087"/>
      </c:scatterChart>
      <c:valAx>
        <c:axId val="166115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5087"/>
        <c:crosses val="autoZero"/>
        <c:crossBetween val="midCat"/>
      </c:valAx>
      <c:valAx>
        <c:axId val="166115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Mach Number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OTAC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'ds Manual Calculations'!$AV$2:$AV$13</c:f>
              <c:numCache>
                <c:formatCode>General</c:formatCode>
                <c:ptCount val="12"/>
                <c:pt idx="0">
                  <c:v>7.2249999999999996</c:v>
                </c:pt>
                <c:pt idx="1">
                  <c:v>8.02</c:v>
                </c:pt>
                <c:pt idx="2">
                  <c:v>8.7460000000000004</c:v>
                </c:pt>
                <c:pt idx="3">
                  <c:v>9.4190000000000005</c:v>
                </c:pt>
                <c:pt idx="4">
                  <c:v>10.050000000000001</c:v>
                </c:pt>
                <c:pt idx="5">
                  <c:v>10.647</c:v>
                </c:pt>
                <c:pt idx="6">
                  <c:v>11.215</c:v>
                </c:pt>
                <c:pt idx="7">
                  <c:v>11.757999999999999</c:v>
                </c:pt>
                <c:pt idx="8">
                  <c:v>12.282</c:v>
                </c:pt>
                <c:pt idx="9">
                  <c:v>12.787000000000001</c:v>
                </c:pt>
                <c:pt idx="10">
                  <c:v>13.278</c:v>
                </c:pt>
                <c:pt idx="11">
                  <c:v>13.756</c:v>
                </c:pt>
              </c:numCache>
            </c:numRef>
          </c:xVal>
          <c:yVal>
            <c:numRef>
              <c:f>'ds Manual Calculations'!$AK$2:$AK$13</c:f>
              <c:numCache>
                <c:formatCode>General</c:formatCode>
                <c:ptCount val="12"/>
                <c:pt idx="0">
                  <c:v>0.48949999999999999</c:v>
                </c:pt>
                <c:pt idx="1">
                  <c:v>0.4889</c:v>
                </c:pt>
                <c:pt idx="2">
                  <c:v>0.48799999999999999</c:v>
                </c:pt>
                <c:pt idx="3">
                  <c:v>0.4869</c:v>
                </c:pt>
                <c:pt idx="4">
                  <c:v>0.48549999999999999</c:v>
                </c:pt>
                <c:pt idx="5">
                  <c:v>0.48399999999999999</c:v>
                </c:pt>
                <c:pt idx="6">
                  <c:v>0.48220000000000002</c:v>
                </c:pt>
                <c:pt idx="7">
                  <c:v>0.47989999999999999</c:v>
                </c:pt>
                <c:pt idx="8">
                  <c:v>0.47739999999999999</c:v>
                </c:pt>
                <c:pt idx="9">
                  <c:v>0.47449999999999998</c:v>
                </c:pt>
                <c:pt idx="10">
                  <c:v>0.4708</c:v>
                </c:pt>
                <c:pt idx="11">
                  <c:v>0.46610000000000001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311-4E26-BB2E-7E611BE0E5D4}"/>
            </c:ext>
          </c:extLst>
        </c:ser>
        <c:ser>
          <c:idx val="1"/>
          <c:order val="1"/>
          <c:tx>
            <c:v>E3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'ds Manual Calculations'!$N$2:$N$13</c:f>
              <c:numCache>
                <c:formatCode>General</c:formatCode>
                <c:ptCount val="12"/>
                <c:pt idx="0">
                  <c:v>13.992000000000001</c:v>
                </c:pt>
                <c:pt idx="1">
                  <c:v>13.576000000000001</c:v>
                </c:pt>
                <c:pt idx="2">
                  <c:v>13.162000000000001</c:v>
                </c:pt>
                <c:pt idx="3">
                  <c:v>12.601000000000001</c:v>
                </c:pt>
                <c:pt idx="4">
                  <c:v>12.021000000000001</c:v>
                </c:pt>
                <c:pt idx="5">
                  <c:v>11.414</c:v>
                </c:pt>
                <c:pt idx="6">
                  <c:v>10.771000000000001</c:v>
                </c:pt>
                <c:pt idx="7">
                  <c:v>10.083</c:v>
                </c:pt>
                <c:pt idx="8">
                  <c:v>9.3320000000000007</c:v>
                </c:pt>
                <c:pt idx="9">
                  <c:v>8.4849999999999994</c:v>
                </c:pt>
                <c:pt idx="10">
                  <c:v>7.4560000000000004</c:v>
                </c:pt>
                <c:pt idx="11">
                  <c:v>6.806</c:v>
                </c:pt>
              </c:numCache>
            </c:numRef>
          </c:xVal>
          <c:yVal>
            <c:numRef>
              <c:f>'ds Manual Calculations'!$H$2:$H$13</c:f>
              <c:numCache>
                <c:formatCode>General</c:formatCode>
                <c:ptCount val="12"/>
                <c:pt idx="0">
                  <c:v>0.53600000000000003</c:v>
                </c:pt>
                <c:pt idx="1">
                  <c:v>0.55900000000000005</c:v>
                </c:pt>
                <c:pt idx="2">
                  <c:v>0.57399999999999995</c:v>
                </c:pt>
                <c:pt idx="3">
                  <c:v>0.58199999999999996</c:v>
                </c:pt>
                <c:pt idx="4">
                  <c:v>0.58299999999999996</c:v>
                </c:pt>
                <c:pt idx="5">
                  <c:v>0.57899999999999996</c:v>
                </c:pt>
                <c:pt idx="6">
                  <c:v>0.57199999999999995</c:v>
                </c:pt>
                <c:pt idx="7">
                  <c:v>0.56000000000000005</c:v>
                </c:pt>
                <c:pt idx="8">
                  <c:v>0.54200000000000004</c:v>
                </c:pt>
                <c:pt idx="9">
                  <c:v>0.50900000000000001</c:v>
                </c:pt>
                <c:pt idx="10">
                  <c:v>0.44400000000000001</c:v>
                </c:pt>
                <c:pt idx="11">
                  <c:v>0.38500000000000001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311-4E26-BB2E-7E611BE0E5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9953887"/>
        <c:axId val="1709960959"/>
      </c:scatterChart>
      <c:valAx>
        <c:axId val="1709953887"/>
        <c:scaling>
          <c:orientation val="minMax"/>
          <c:min val="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960959"/>
        <c:crosses val="autoZero"/>
        <c:crossBetween val="midCat"/>
      </c:valAx>
      <c:valAx>
        <c:axId val="170996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9538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Mach Number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OTAC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'ds Manual Calculations'!$AV$15:$AV$26</c:f>
              <c:numCache>
                <c:formatCode>General</c:formatCode>
                <c:ptCount val="12"/>
                <c:pt idx="0">
                  <c:v>8.2650000000000006</c:v>
                </c:pt>
                <c:pt idx="1">
                  <c:v>8.7639999999999993</c:v>
                </c:pt>
                <c:pt idx="2">
                  <c:v>9.2409999999999997</c:v>
                </c:pt>
                <c:pt idx="3">
                  <c:v>9.6999999999999993</c:v>
                </c:pt>
                <c:pt idx="4">
                  <c:v>10.145</c:v>
                </c:pt>
                <c:pt idx="5">
                  <c:v>10.581</c:v>
                </c:pt>
                <c:pt idx="6">
                  <c:v>11.009</c:v>
                </c:pt>
                <c:pt idx="7">
                  <c:v>11.433999999999999</c:v>
                </c:pt>
                <c:pt idx="8">
                  <c:v>11.856999999999999</c:v>
                </c:pt>
                <c:pt idx="9">
                  <c:v>12.286</c:v>
                </c:pt>
                <c:pt idx="10">
                  <c:v>12.731999999999999</c:v>
                </c:pt>
                <c:pt idx="11">
                  <c:v>13.249000000000001</c:v>
                </c:pt>
              </c:numCache>
            </c:numRef>
          </c:xVal>
          <c:yVal>
            <c:numRef>
              <c:f>'ds Manual Calculations'!$AK$15:$AK$26</c:f>
              <c:numCache>
                <c:formatCode>General</c:formatCode>
                <c:ptCount val="12"/>
                <c:pt idx="0">
                  <c:v>0.87409999999999999</c:v>
                </c:pt>
                <c:pt idx="1">
                  <c:v>0.83889999999999998</c:v>
                </c:pt>
                <c:pt idx="2">
                  <c:v>0.80810000000000004</c:v>
                </c:pt>
                <c:pt idx="3">
                  <c:v>0.78069999999999995</c:v>
                </c:pt>
                <c:pt idx="4">
                  <c:v>0.75570000000000004</c:v>
                </c:pt>
                <c:pt idx="5">
                  <c:v>0.73240000000000005</c:v>
                </c:pt>
                <c:pt idx="6">
                  <c:v>0.71050000000000002</c:v>
                </c:pt>
                <c:pt idx="7">
                  <c:v>0.68959999999999999</c:v>
                </c:pt>
                <c:pt idx="8">
                  <c:v>0.6694</c:v>
                </c:pt>
                <c:pt idx="9">
                  <c:v>0.64939999999999998</c:v>
                </c:pt>
                <c:pt idx="10">
                  <c:v>0.62870000000000004</c:v>
                </c:pt>
                <c:pt idx="11">
                  <c:v>0.60519999999999996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A27-4534-B16B-56CC45BA587D}"/>
            </c:ext>
          </c:extLst>
        </c:ser>
        <c:ser>
          <c:idx val="1"/>
          <c:order val="1"/>
          <c:tx>
            <c:v>E3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'ds Manual Calculations'!$N$15:$N$26</c:f>
              <c:numCache>
                <c:formatCode>General</c:formatCode>
                <c:ptCount val="12"/>
                <c:pt idx="0">
                  <c:v>13.535</c:v>
                </c:pt>
                <c:pt idx="1">
                  <c:v>13.122999999999999</c:v>
                </c:pt>
                <c:pt idx="2">
                  <c:v>12.743</c:v>
                </c:pt>
                <c:pt idx="3">
                  <c:v>12.246</c:v>
                </c:pt>
                <c:pt idx="4">
                  <c:v>11.746</c:v>
                </c:pt>
                <c:pt idx="5">
                  <c:v>11.234999999999999</c:v>
                </c:pt>
                <c:pt idx="6">
                  <c:v>10.711</c:v>
                </c:pt>
                <c:pt idx="7">
                  <c:v>10.167999999999999</c:v>
                </c:pt>
                <c:pt idx="8">
                  <c:v>9.6029999999999998</c:v>
                </c:pt>
                <c:pt idx="9">
                  <c:v>9.0060000000000002</c:v>
                </c:pt>
                <c:pt idx="10">
                  <c:v>8.359</c:v>
                </c:pt>
                <c:pt idx="11">
                  <c:v>8.0090000000000003</c:v>
                </c:pt>
              </c:numCache>
            </c:numRef>
          </c:xVal>
          <c:yVal>
            <c:numRef>
              <c:f>'ds Manual Calculations'!$H$15:$H$26</c:f>
              <c:numCache>
                <c:formatCode>General</c:formatCode>
                <c:ptCount val="12"/>
                <c:pt idx="0">
                  <c:v>0.66</c:v>
                </c:pt>
                <c:pt idx="1">
                  <c:v>0.67300000000000004</c:v>
                </c:pt>
                <c:pt idx="2">
                  <c:v>0.67700000000000005</c:v>
                </c:pt>
                <c:pt idx="3">
                  <c:v>0.68400000000000005</c:v>
                </c:pt>
                <c:pt idx="4">
                  <c:v>0.69399999999999995</c:v>
                </c:pt>
                <c:pt idx="5">
                  <c:v>0.70499999999999996</c:v>
                </c:pt>
                <c:pt idx="6">
                  <c:v>0.71799999999999997</c:v>
                </c:pt>
                <c:pt idx="7">
                  <c:v>0.73199999999999998</c:v>
                </c:pt>
                <c:pt idx="8">
                  <c:v>0.75</c:v>
                </c:pt>
                <c:pt idx="9">
                  <c:v>0.77400000000000002</c:v>
                </c:pt>
                <c:pt idx="10">
                  <c:v>0.80900000000000005</c:v>
                </c:pt>
                <c:pt idx="11">
                  <c:v>0.83499999999999996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A27-4534-B16B-56CC45BA58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9953887"/>
        <c:axId val="1709960959"/>
      </c:scatterChart>
      <c:valAx>
        <c:axId val="1709953887"/>
        <c:scaling>
          <c:orientation val="minMax"/>
          <c:min val="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960959"/>
        <c:crosses val="autoZero"/>
        <c:crossBetween val="midCat"/>
      </c:valAx>
      <c:valAx>
        <c:axId val="170996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9538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Mach Number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OTAC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'ds Manual Calculations'!$AV$28:$AV$39</c:f>
              <c:numCache>
                <c:formatCode>General</c:formatCode>
                <c:ptCount val="12"/>
                <c:pt idx="0">
                  <c:v>8.7799999999999994</c:v>
                </c:pt>
                <c:pt idx="1">
                  <c:v>9.2439999999999998</c:v>
                </c:pt>
                <c:pt idx="2">
                  <c:v>9.6780000000000008</c:v>
                </c:pt>
                <c:pt idx="3">
                  <c:v>10.093</c:v>
                </c:pt>
                <c:pt idx="4">
                  <c:v>10.494999999999999</c:v>
                </c:pt>
                <c:pt idx="5">
                  <c:v>10.885999999999999</c:v>
                </c:pt>
                <c:pt idx="6">
                  <c:v>11.268000000000001</c:v>
                </c:pt>
                <c:pt idx="7">
                  <c:v>11.644</c:v>
                </c:pt>
                <c:pt idx="8">
                  <c:v>12.013999999999999</c:v>
                </c:pt>
                <c:pt idx="9">
                  <c:v>12.38</c:v>
                </c:pt>
                <c:pt idx="10">
                  <c:v>12.744999999999999</c:v>
                </c:pt>
                <c:pt idx="11">
                  <c:v>13.118</c:v>
                </c:pt>
              </c:numCache>
            </c:numRef>
          </c:xVal>
          <c:yVal>
            <c:numRef>
              <c:f>'ds Manual Calculations'!$AK$28:$AK$39</c:f>
              <c:numCache>
                <c:formatCode>General</c:formatCode>
                <c:ptCount val="12"/>
                <c:pt idx="0">
                  <c:v>0.45490000000000003</c:v>
                </c:pt>
                <c:pt idx="1">
                  <c:v>0.4602</c:v>
                </c:pt>
                <c:pt idx="2">
                  <c:v>0.46200000000000002</c:v>
                </c:pt>
                <c:pt idx="3">
                  <c:v>0.46010000000000001</c:v>
                </c:pt>
                <c:pt idx="4">
                  <c:v>0.45550000000000002</c:v>
                </c:pt>
                <c:pt idx="5">
                  <c:v>0.4506</c:v>
                </c:pt>
                <c:pt idx="6">
                  <c:v>0.44500000000000001</c:v>
                </c:pt>
                <c:pt idx="7">
                  <c:v>0.43890000000000001</c:v>
                </c:pt>
                <c:pt idx="8">
                  <c:v>0.4325</c:v>
                </c:pt>
                <c:pt idx="9">
                  <c:v>0.42499999999999999</c:v>
                </c:pt>
                <c:pt idx="10">
                  <c:v>0.41499999999999998</c:v>
                </c:pt>
                <c:pt idx="11">
                  <c:v>0.40310000000000001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0E-4DFA-9A4B-A1D8EB2CAB38}"/>
            </c:ext>
          </c:extLst>
        </c:ser>
        <c:ser>
          <c:idx val="1"/>
          <c:order val="1"/>
          <c:tx>
            <c:v>E3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'ds Manual Calculations'!$N$28:$N$39</c:f>
              <c:numCache>
                <c:formatCode>0.000</c:formatCode>
                <c:ptCount val="12"/>
                <c:pt idx="0">
                  <c:v>13.3082867782893</c:v>
                </c:pt>
                <c:pt idx="1">
                  <c:v>12.95908401020438</c:v>
                </c:pt>
                <c:pt idx="2">
                  <c:v>12.626022520012901</c:v>
                </c:pt>
                <c:pt idx="3">
                  <c:v>12.190601706594727</c:v>
                </c:pt>
                <c:pt idx="4">
                  <c:v>11.754393513767116</c:v>
                </c:pt>
                <c:pt idx="5">
                  <c:v>11.312279975368735</c:v>
                </c:pt>
                <c:pt idx="6">
                  <c:v>10.86071788405712</c:v>
                </c:pt>
                <c:pt idx="7">
                  <c:v>10.395376653080374</c:v>
                </c:pt>
                <c:pt idx="8">
                  <c:v>9.910744626572443</c:v>
                </c:pt>
                <c:pt idx="9">
                  <c:v>9.3993417001436814</c:v>
                </c:pt>
                <c:pt idx="10">
                  <c:v>8.8438455267864988</c:v>
                </c:pt>
                <c:pt idx="11">
                  <c:v>8.5403107644488756</c:v>
                </c:pt>
              </c:numCache>
            </c:numRef>
          </c:xVal>
          <c:yVal>
            <c:numRef>
              <c:f>'ds Manual Calculations'!$H$28:$H$39</c:f>
              <c:numCache>
                <c:formatCode>General</c:formatCode>
                <c:ptCount val="12"/>
                <c:pt idx="0">
                  <c:v>0.45</c:v>
                </c:pt>
                <c:pt idx="1">
                  <c:v>0.46500000000000002</c:v>
                </c:pt>
                <c:pt idx="2">
                  <c:v>0.47899999999999998</c:v>
                </c:pt>
                <c:pt idx="3">
                  <c:v>0.495</c:v>
                </c:pt>
                <c:pt idx="4">
                  <c:v>0.50700000000000001</c:v>
                </c:pt>
                <c:pt idx="5">
                  <c:v>0.51800000000000002</c:v>
                </c:pt>
                <c:pt idx="6">
                  <c:v>0.52800000000000002</c:v>
                </c:pt>
                <c:pt idx="7">
                  <c:v>0.53500000000000003</c:v>
                </c:pt>
                <c:pt idx="8">
                  <c:v>0.54200000000000004</c:v>
                </c:pt>
                <c:pt idx="9">
                  <c:v>0.54500000000000004</c:v>
                </c:pt>
                <c:pt idx="10">
                  <c:v>0.54100000000000004</c:v>
                </c:pt>
                <c:pt idx="11">
                  <c:v>0.53200000000000003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B0E-4DFA-9A4B-A1D8EB2CA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9953887"/>
        <c:axId val="1709960959"/>
      </c:scatterChart>
      <c:valAx>
        <c:axId val="1709953887"/>
        <c:scaling>
          <c:orientation val="minMax"/>
          <c:min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960959"/>
        <c:crosses val="autoZero"/>
        <c:crossBetween val="midCat"/>
      </c:valAx>
      <c:valAx>
        <c:axId val="170996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9538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Mach Number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OTAC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'ds Manual Calculations'!$AV$41:$AV$52</c:f>
              <c:numCache>
                <c:formatCode>General</c:formatCode>
                <c:ptCount val="12"/>
                <c:pt idx="0">
                  <c:v>9.4779999999999998</c:v>
                </c:pt>
                <c:pt idx="1">
                  <c:v>9.8190000000000008</c:v>
                </c:pt>
                <c:pt idx="2">
                  <c:v>10.138</c:v>
                </c:pt>
                <c:pt idx="3">
                  <c:v>10.445</c:v>
                </c:pt>
                <c:pt idx="4">
                  <c:v>10.746</c:v>
                </c:pt>
                <c:pt idx="5">
                  <c:v>11.044</c:v>
                </c:pt>
                <c:pt idx="6">
                  <c:v>11.340999999999999</c:v>
                </c:pt>
                <c:pt idx="7">
                  <c:v>11.638</c:v>
                </c:pt>
                <c:pt idx="8">
                  <c:v>11.936999999999999</c:v>
                </c:pt>
                <c:pt idx="9">
                  <c:v>12.239000000000001</c:v>
                </c:pt>
                <c:pt idx="10">
                  <c:v>12.554</c:v>
                </c:pt>
                <c:pt idx="11">
                  <c:v>12.916</c:v>
                </c:pt>
              </c:numCache>
            </c:numRef>
          </c:xVal>
          <c:yVal>
            <c:numRef>
              <c:f>'ds Manual Calculations'!$AK$41:$AK$52</c:f>
              <c:numCache>
                <c:formatCode>General</c:formatCode>
                <c:ptCount val="12"/>
                <c:pt idx="0">
                  <c:v>0.76070000000000004</c:v>
                </c:pt>
                <c:pt idx="1">
                  <c:v>0.73850000000000005</c:v>
                </c:pt>
                <c:pt idx="2">
                  <c:v>0.72099999999999997</c:v>
                </c:pt>
                <c:pt idx="3">
                  <c:v>0.70509999999999995</c:v>
                </c:pt>
                <c:pt idx="4">
                  <c:v>0.68910000000000005</c:v>
                </c:pt>
                <c:pt idx="5">
                  <c:v>0.67390000000000005</c:v>
                </c:pt>
                <c:pt idx="6">
                  <c:v>0.65910000000000002</c:v>
                </c:pt>
                <c:pt idx="7">
                  <c:v>0.64429999999999998</c:v>
                </c:pt>
                <c:pt idx="8">
                  <c:v>0.63019999999999998</c:v>
                </c:pt>
                <c:pt idx="9">
                  <c:v>0.61660000000000004</c:v>
                </c:pt>
                <c:pt idx="10">
                  <c:v>0.60160000000000002</c:v>
                </c:pt>
                <c:pt idx="11">
                  <c:v>0.58340000000000003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856-4BFB-B92E-7413723EB60D}"/>
            </c:ext>
          </c:extLst>
        </c:ser>
        <c:ser>
          <c:idx val="1"/>
          <c:order val="1"/>
          <c:tx>
            <c:v>E3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'ds Manual Calculations'!$N$41:$N$52</c:f>
              <c:numCache>
                <c:formatCode>General</c:formatCode>
                <c:ptCount val="12"/>
                <c:pt idx="0">
                  <c:v>13.117000000000001</c:v>
                </c:pt>
                <c:pt idx="1">
                  <c:v>12.792999999999999</c:v>
                </c:pt>
                <c:pt idx="2">
                  <c:v>12.506</c:v>
                </c:pt>
                <c:pt idx="3">
                  <c:v>12.141</c:v>
                </c:pt>
                <c:pt idx="4">
                  <c:v>11.78</c:v>
                </c:pt>
                <c:pt idx="5">
                  <c:v>11.417999999999999</c:v>
                </c:pt>
                <c:pt idx="6">
                  <c:v>11.054</c:v>
                </c:pt>
                <c:pt idx="7">
                  <c:v>10.686</c:v>
                </c:pt>
                <c:pt idx="8">
                  <c:v>10.311</c:v>
                </c:pt>
                <c:pt idx="9">
                  <c:v>9.9269999999999996</c:v>
                </c:pt>
                <c:pt idx="10">
                  <c:v>9.5190000000000001</c:v>
                </c:pt>
                <c:pt idx="11">
                  <c:v>9.3010000000000002</c:v>
                </c:pt>
              </c:numCache>
            </c:numRef>
          </c:xVal>
          <c:yVal>
            <c:numRef>
              <c:f>'ds Manual Calculations'!$H$41:$H$52</c:f>
              <c:numCache>
                <c:formatCode>General</c:formatCode>
                <c:ptCount val="12"/>
                <c:pt idx="0">
                  <c:v>0.61399999999999999</c:v>
                </c:pt>
                <c:pt idx="1">
                  <c:v>0.623</c:v>
                </c:pt>
                <c:pt idx="2">
                  <c:v>0.63</c:v>
                </c:pt>
                <c:pt idx="3">
                  <c:v>0.63900000000000001</c:v>
                </c:pt>
                <c:pt idx="4">
                  <c:v>0.65</c:v>
                </c:pt>
                <c:pt idx="5">
                  <c:v>0.66300000000000003</c:v>
                </c:pt>
                <c:pt idx="6">
                  <c:v>0.67800000000000005</c:v>
                </c:pt>
                <c:pt idx="7">
                  <c:v>0.69499999999999995</c:v>
                </c:pt>
                <c:pt idx="8">
                  <c:v>0.71399999999999997</c:v>
                </c:pt>
                <c:pt idx="9">
                  <c:v>0.73799999999999999</c:v>
                </c:pt>
                <c:pt idx="10">
                  <c:v>0.76800000000000002</c:v>
                </c:pt>
                <c:pt idx="11">
                  <c:v>0.78500000000000003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856-4BFB-B92E-7413723EB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9953887"/>
        <c:axId val="1709960959"/>
      </c:scatterChart>
      <c:valAx>
        <c:axId val="1709953887"/>
        <c:scaling>
          <c:orientation val="minMax"/>
          <c:min val="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960959"/>
        <c:crosses val="autoZero"/>
        <c:crossBetween val="midCat"/>
      </c:valAx>
      <c:valAx>
        <c:axId val="170996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9538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Mach Number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OTAC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'ds Manual Calculations'!$AV$54:$AV$65</c:f>
              <c:numCache>
                <c:formatCode>General</c:formatCode>
                <c:ptCount val="12"/>
                <c:pt idx="0">
                  <c:v>9.8179999999999996</c:v>
                </c:pt>
                <c:pt idx="1">
                  <c:v>10.125999999999999</c:v>
                </c:pt>
                <c:pt idx="2">
                  <c:v>10.417</c:v>
                </c:pt>
                <c:pt idx="3">
                  <c:v>10.698</c:v>
                </c:pt>
                <c:pt idx="4">
                  <c:v>10.973000000000001</c:v>
                </c:pt>
                <c:pt idx="5">
                  <c:v>11.243</c:v>
                </c:pt>
                <c:pt idx="6">
                  <c:v>11.510999999999999</c:v>
                </c:pt>
                <c:pt idx="7">
                  <c:v>11.776</c:v>
                </c:pt>
                <c:pt idx="8">
                  <c:v>12.039</c:v>
                </c:pt>
                <c:pt idx="9">
                  <c:v>12.302</c:v>
                </c:pt>
                <c:pt idx="10">
                  <c:v>12.566000000000001</c:v>
                </c:pt>
                <c:pt idx="11">
                  <c:v>12.84</c:v>
                </c:pt>
              </c:numCache>
            </c:numRef>
          </c:xVal>
          <c:yVal>
            <c:numRef>
              <c:f>'ds Manual Calculations'!$AK$54:$AK$65</c:f>
              <c:numCache>
                <c:formatCode>General</c:formatCode>
                <c:ptCount val="12"/>
                <c:pt idx="0">
                  <c:v>0.43440000000000001</c:v>
                </c:pt>
                <c:pt idx="1">
                  <c:v>0.4365</c:v>
                </c:pt>
                <c:pt idx="2">
                  <c:v>0.43819999999999998</c:v>
                </c:pt>
                <c:pt idx="3">
                  <c:v>0.437</c:v>
                </c:pt>
                <c:pt idx="4">
                  <c:v>0.43240000000000001</c:v>
                </c:pt>
                <c:pt idx="5">
                  <c:v>0.42759999999999998</c:v>
                </c:pt>
                <c:pt idx="6">
                  <c:v>0.42209999999999998</c:v>
                </c:pt>
                <c:pt idx="7">
                  <c:v>0.41610000000000003</c:v>
                </c:pt>
                <c:pt idx="8">
                  <c:v>0.40970000000000001</c:v>
                </c:pt>
                <c:pt idx="9">
                  <c:v>0.40310000000000001</c:v>
                </c:pt>
                <c:pt idx="10">
                  <c:v>0.39529999999999998</c:v>
                </c:pt>
                <c:pt idx="11">
                  <c:v>0.3821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1CC-4078-8DF2-2E5584D44A74}"/>
            </c:ext>
          </c:extLst>
        </c:ser>
        <c:ser>
          <c:idx val="1"/>
          <c:order val="1"/>
          <c:tx>
            <c:v>E3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'ds Manual Calculations'!$N$54:$N$65</c:f>
              <c:numCache>
                <c:formatCode>0.000</c:formatCode>
                <c:ptCount val="12"/>
                <c:pt idx="0">
                  <c:v>12.981</c:v>
                </c:pt>
                <c:pt idx="1">
                  <c:v>12.721</c:v>
                </c:pt>
                <c:pt idx="2">
                  <c:v>12.477</c:v>
                </c:pt>
                <c:pt idx="3">
                  <c:v>12.16</c:v>
                </c:pt>
                <c:pt idx="4">
                  <c:v>11.846</c:v>
                </c:pt>
                <c:pt idx="5">
                  <c:v>11.53</c:v>
                </c:pt>
                <c:pt idx="6">
                  <c:v>11.21</c:v>
                </c:pt>
                <c:pt idx="7">
                  <c:v>10.887</c:v>
                </c:pt>
                <c:pt idx="8">
                  <c:v>10.557</c:v>
                </c:pt>
                <c:pt idx="9">
                  <c:v>10.217000000000001</c:v>
                </c:pt>
                <c:pt idx="10">
                  <c:v>9.8550000000000004</c:v>
                </c:pt>
                <c:pt idx="11">
                  <c:v>9.66</c:v>
                </c:pt>
              </c:numCache>
            </c:numRef>
          </c:xVal>
          <c:yVal>
            <c:numRef>
              <c:f>'ds Manual Calculations'!$H$54:$H$65</c:f>
              <c:numCache>
                <c:formatCode>General</c:formatCode>
                <c:ptCount val="12"/>
                <c:pt idx="0">
                  <c:v>0.42499999999999999</c:v>
                </c:pt>
                <c:pt idx="1">
                  <c:v>0.437</c:v>
                </c:pt>
                <c:pt idx="2">
                  <c:v>0.45</c:v>
                </c:pt>
                <c:pt idx="3">
                  <c:v>0.46400000000000002</c:v>
                </c:pt>
                <c:pt idx="4">
                  <c:v>0.47499999999999998</c:v>
                </c:pt>
                <c:pt idx="5">
                  <c:v>0.48499999999999999</c:v>
                </c:pt>
                <c:pt idx="6">
                  <c:v>0.495</c:v>
                </c:pt>
                <c:pt idx="7">
                  <c:v>0.504</c:v>
                </c:pt>
                <c:pt idx="8">
                  <c:v>0.51200000000000001</c:v>
                </c:pt>
                <c:pt idx="9">
                  <c:v>0.51800000000000002</c:v>
                </c:pt>
                <c:pt idx="10">
                  <c:v>0.51900000000000002</c:v>
                </c:pt>
                <c:pt idx="11">
                  <c:v>0.51400000000000001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1CC-4078-8DF2-2E5584D44A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9953887"/>
        <c:axId val="1709960959"/>
      </c:scatterChart>
      <c:valAx>
        <c:axId val="1709953887"/>
        <c:scaling>
          <c:orientation val="minMax"/>
          <c:min val="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960959"/>
        <c:crosses val="autoZero"/>
        <c:crossBetween val="midCat"/>
      </c:valAx>
      <c:valAx>
        <c:axId val="170996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9538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Mach Number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OTAC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'ds Manual Calculations'!$AV$67:$AV$78</c:f>
              <c:numCache>
                <c:formatCode>General</c:formatCode>
                <c:ptCount val="12"/>
                <c:pt idx="0">
                  <c:v>10.177</c:v>
                </c:pt>
                <c:pt idx="1">
                  <c:v>10.436</c:v>
                </c:pt>
                <c:pt idx="2">
                  <c:v>10.672000000000001</c:v>
                </c:pt>
                <c:pt idx="3">
                  <c:v>10.898</c:v>
                </c:pt>
                <c:pt idx="4">
                  <c:v>11.118</c:v>
                </c:pt>
                <c:pt idx="5">
                  <c:v>11.335000000000001</c:v>
                </c:pt>
                <c:pt idx="6">
                  <c:v>11.55</c:v>
                </c:pt>
                <c:pt idx="7">
                  <c:v>11.765000000000001</c:v>
                </c:pt>
                <c:pt idx="8">
                  <c:v>11.981</c:v>
                </c:pt>
                <c:pt idx="9">
                  <c:v>12.199</c:v>
                </c:pt>
                <c:pt idx="10">
                  <c:v>12.426</c:v>
                </c:pt>
                <c:pt idx="11">
                  <c:v>12.688000000000001</c:v>
                </c:pt>
              </c:numCache>
            </c:numRef>
          </c:xVal>
          <c:yVal>
            <c:numRef>
              <c:f>'ds Manual Calculations'!$AK$67:$AK$78</c:f>
              <c:numCache>
                <c:formatCode>General</c:formatCode>
                <c:ptCount val="12"/>
                <c:pt idx="0">
                  <c:v>0.69550000000000001</c:v>
                </c:pt>
                <c:pt idx="1">
                  <c:v>0.67869999999999997</c:v>
                </c:pt>
                <c:pt idx="2">
                  <c:v>0.66649999999999998</c:v>
                </c:pt>
                <c:pt idx="3">
                  <c:v>0.65559999999999996</c:v>
                </c:pt>
                <c:pt idx="4">
                  <c:v>0.64400000000000002</c:v>
                </c:pt>
                <c:pt idx="5">
                  <c:v>0.6331</c:v>
                </c:pt>
                <c:pt idx="6">
                  <c:v>0.62229999999999996</c:v>
                </c:pt>
                <c:pt idx="7">
                  <c:v>0.61150000000000004</c:v>
                </c:pt>
                <c:pt idx="8">
                  <c:v>0.60099999999999998</c:v>
                </c:pt>
                <c:pt idx="9">
                  <c:v>0.59140000000000004</c:v>
                </c:pt>
                <c:pt idx="10">
                  <c:v>0.58179999999999998</c:v>
                </c:pt>
                <c:pt idx="11">
                  <c:v>0.56850000000000001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1B1-436A-9EE2-F64B7FEFE410}"/>
            </c:ext>
          </c:extLst>
        </c:ser>
        <c:ser>
          <c:idx val="1"/>
          <c:order val="1"/>
          <c:tx>
            <c:v>E3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'ds Manual Calculations'!$N$67:$N$78</c:f>
              <c:numCache>
                <c:formatCode>0.000</c:formatCode>
                <c:ptCount val="12"/>
                <c:pt idx="0">
                  <c:v>12.835000000000001</c:v>
                </c:pt>
                <c:pt idx="1">
                  <c:v>12.590999999999999</c:v>
                </c:pt>
                <c:pt idx="2">
                  <c:v>12.377000000000001</c:v>
                </c:pt>
                <c:pt idx="3">
                  <c:v>12.11</c:v>
                </c:pt>
                <c:pt idx="4">
                  <c:v>11.848000000000001</c:v>
                </c:pt>
                <c:pt idx="5">
                  <c:v>11.586</c:v>
                </c:pt>
                <c:pt idx="6">
                  <c:v>11.321</c:v>
                </c:pt>
                <c:pt idx="7">
                  <c:v>11.054</c:v>
                </c:pt>
                <c:pt idx="8">
                  <c:v>10.785</c:v>
                </c:pt>
                <c:pt idx="9">
                  <c:v>10.507</c:v>
                </c:pt>
                <c:pt idx="10">
                  <c:v>10.208</c:v>
                </c:pt>
                <c:pt idx="11">
                  <c:v>10.041</c:v>
                </c:pt>
              </c:numCache>
            </c:numRef>
          </c:xVal>
          <c:yVal>
            <c:numRef>
              <c:f>'ds Manual Calculations'!$H$67:$H$78</c:f>
              <c:numCache>
                <c:formatCode>General</c:formatCode>
                <c:ptCount val="12"/>
                <c:pt idx="0">
                  <c:v>0.59799999999999998</c:v>
                </c:pt>
                <c:pt idx="1">
                  <c:v>0.60399999999999998</c:v>
                </c:pt>
                <c:pt idx="2">
                  <c:v>0.60599999999999998</c:v>
                </c:pt>
                <c:pt idx="3">
                  <c:v>0.61399999999999999</c:v>
                </c:pt>
                <c:pt idx="4">
                  <c:v>0.622</c:v>
                </c:pt>
                <c:pt idx="5">
                  <c:v>0.63300000000000001</c:v>
                </c:pt>
                <c:pt idx="6">
                  <c:v>0.64600000000000002</c:v>
                </c:pt>
                <c:pt idx="7">
                  <c:v>0.66</c:v>
                </c:pt>
                <c:pt idx="8">
                  <c:v>0.67700000000000005</c:v>
                </c:pt>
                <c:pt idx="9">
                  <c:v>0.69699999999999995</c:v>
                </c:pt>
                <c:pt idx="10">
                  <c:v>0.72199999999999998</c:v>
                </c:pt>
                <c:pt idx="11">
                  <c:v>0.73499999999999999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1B1-436A-9EE2-F64B7FEFE4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9953887"/>
        <c:axId val="1709960959"/>
      </c:scatterChart>
      <c:valAx>
        <c:axId val="1709953887"/>
        <c:scaling>
          <c:orientation val="minMax"/>
          <c:min val="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960959"/>
        <c:crosses val="autoZero"/>
        <c:crossBetween val="midCat"/>
      </c:valAx>
      <c:valAx>
        <c:axId val="170996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9538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Mach Number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OTAC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'ds Manual Calculations'!$AV$80:$AV$91</c:f>
              <c:numCache>
                <c:formatCode>General</c:formatCode>
                <c:ptCount val="12"/>
                <c:pt idx="0">
                  <c:v>10.362</c:v>
                </c:pt>
                <c:pt idx="1">
                  <c:v>10.583</c:v>
                </c:pt>
                <c:pt idx="2">
                  <c:v>10.792999999999999</c:v>
                </c:pt>
                <c:pt idx="3">
                  <c:v>10.997</c:v>
                </c:pt>
                <c:pt idx="4">
                  <c:v>11.198</c:v>
                </c:pt>
                <c:pt idx="5">
                  <c:v>11.397</c:v>
                </c:pt>
                <c:pt idx="6">
                  <c:v>11.595000000000001</c:v>
                </c:pt>
                <c:pt idx="7">
                  <c:v>11.792999999999999</c:v>
                </c:pt>
                <c:pt idx="8">
                  <c:v>11.99</c:v>
                </c:pt>
                <c:pt idx="9">
                  <c:v>12.188000000000001</c:v>
                </c:pt>
                <c:pt idx="10">
                  <c:v>12.387</c:v>
                </c:pt>
                <c:pt idx="11">
                  <c:v>12.595000000000001</c:v>
                </c:pt>
              </c:numCache>
            </c:numRef>
          </c:xVal>
          <c:yVal>
            <c:numRef>
              <c:f>'ds Manual Calculations'!$AK$80:$AK$91</c:f>
              <c:numCache>
                <c:formatCode>General</c:formatCode>
                <c:ptCount val="12"/>
                <c:pt idx="0">
                  <c:v>0.41839999999999999</c:v>
                </c:pt>
                <c:pt idx="1">
                  <c:v>0.4194</c:v>
                </c:pt>
                <c:pt idx="2">
                  <c:v>0.42109999999999997</c:v>
                </c:pt>
                <c:pt idx="3">
                  <c:v>0.42059999999999997</c:v>
                </c:pt>
                <c:pt idx="4">
                  <c:v>0.41649999999999998</c:v>
                </c:pt>
                <c:pt idx="5">
                  <c:v>0.41210000000000002</c:v>
                </c:pt>
                <c:pt idx="6">
                  <c:v>0.40710000000000002</c:v>
                </c:pt>
                <c:pt idx="7">
                  <c:v>0.40139999999999998</c:v>
                </c:pt>
                <c:pt idx="8">
                  <c:v>0.39529999999999998</c:v>
                </c:pt>
                <c:pt idx="9">
                  <c:v>0.38969999999999999</c:v>
                </c:pt>
                <c:pt idx="10">
                  <c:v>0.38329999999999997</c:v>
                </c:pt>
                <c:pt idx="11">
                  <c:v>0.37230000000000002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562-4717-B17F-E9862C79F646}"/>
            </c:ext>
          </c:extLst>
        </c:ser>
        <c:ser>
          <c:idx val="1"/>
          <c:order val="1"/>
          <c:tx>
            <c:v>E3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'ds Manual Calculations'!$N$80:$N$91</c:f>
              <c:numCache>
                <c:formatCode>General</c:formatCode>
                <c:ptCount val="12"/>
                <c:pt idx="0">
                  <c:v>12.702999999999999</c:v>
                </c:pt>
                <c:pt idx="1">
                  <c:v>12.500999999999999</c:v>
                </c:pt>
                <c:pt idx="2">
                  <c:v>12.317</c:v>
                </c:pt>
                <c:pt idx="3">
                  <c:v>12.08</c:v>
                </c:pt>
                <c:pt idx="4">
                  <c:v>11.846</c:v>
                </c:pt>
                <c:pt idx="5">
                  <c:v>11.611000000000001</c:v>
                </c:pt>
                <c:pt idx="6">
                  <c:v>11.375999999999999</c:v>
                </c:pt>
                <c:pt idx="7">
                  <c:v>11.138999999999999</c:v>
                </c:pt>
                <c:pt idx="8">
                  <c:v>10.898</c:v>
                </c:pt>
                <c:pt idx="9">
                  <c:v>10.651999999999999</c:v>
                </c:pt>
                <c:pt idx="10">
                  <c:v>10.39</c:v>
                </c:pt>
                <c:pt idx="11">
                  <c:v>10.247999999999999</c:v>
                </c:pt>
              </c:numCache>
            </c:numRef>
          </c:xVal>
          <c:yVal>
            <c:numRef>
              <c:f>'ds Manual Calculations'!$H$80:$H$91</c:f>
              <c:numCache>
                <c:formatCode>General</c:formatCode>
                <c:ptCount val="12"/>
                <c:pt idx="0">
                  <c:v>0.41699999999999998</c:v>
                </c:pt>
                <c:pt idx="1">
                  <c:v>0.43099999999999999</c:v>
                </c:pt>
                <c:pt idx="2">
                  <c:v>0.442</c:v>
                </c:pt>
                <c:pt idx="3">
                  <c:v>0.45400000000000001</c:v>
                </c:pt>
                <c:pt idx="4">
                  <c:v>0.46300000000000002</c:v>
                </c:pt>
                <c:pt idx="5">
                  <c:v>0.47099999999999997</c:v>
                </c:pt>
                <c:pt idx="6">
                  <c:v>0.47799999999999998</c:v>
                </c:pt>
                <c:pt idx="7">
                  <c:v>0.48499999999999999</c:v>
                </c:pt>
                <c:pt idx="8">
                  <c:v>0.49</c:v>
                </c:pt>
                <c:pt idx="9">
                  <c:v>0.49299999999999999</c:v>
                </c:pt>
                <c:pt idx="10">
                  <c:v>0.49299999999999999</c:v>
                </c:pt>
                <c:pt idx="11">
                  <c:v>0.48699999999999999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562-4717-B17F-E9862C79F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9953887"/>
        <c:axId val="1709960959"/>
      </c:scatterChart>
      <c:valAx>
        <c:axId val="1709953887"/>
        <c:scaling>
          <c:orientation val="minMax"/>
          <c:min val="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960959"/>
        <c:crosses val="autoZero"/>
        <c:crossBetween val="midCat"/>
      </c:valAx>
      <c:valAx>
        <c:axId val="170996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9538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Mach Number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OTAC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'ds Manual Calculations'!$AV$93:$AV$104</c:f>
              <c:numCache>
                <c:formatCode>General</c:formatCode>
                <c:ptCount val="12"/>
                <c:pt idx="0">
                  <c:v>10.528</c:v>
                </c:pt>
                <c:pt idx="1">
                  <c:v>10.725</c:v>
                </c:pt>
                <c:pt idx="2">
                  <c:v>10.901999999999999</c:v>
                </c:pt>
                <c:pt idx="3">
                  <c:v>11.071999999999999</c:v>
                </c:pt>
                <c:pt idx="4">
                  <c:v>11.239000000000001</c:v>
                </c:pt>
                <c:pt idx="5">
                  <c:v>11.404</c:v>
                </c:pt>
                <c:pt idx="6">
                  <c:v>11.57</c:v>
                </c:pt>
                <c:pt idx="7">
                  <c:v>11.734999999999999</c:v>
                </c:pt>
                <c:pt idx="8">
                  <c:v>11.901999999999999</c:v>
                </c:pt>
                <c:pt idx="9">
                  <c:v>12.071</c:v>
                </c:pt>
                <c:pt idx="10">
                  <c:v>12.247</c:v>
                </c:pt>
                <c:pt idx="11">
                  <c:v>12.455</c:v>
                </c:pt>
              </c:numCache>
            </c:numRef>
          </c:xVal>
          <c:yVal>
            <c:numRef>
              <c:f>'ds Manual Calculations'!$AK$93:$AK$104</c:f>
              <c:numCache>
                <c:formatCode>General</c:formatCode>
                <c:ptCount val="12"/>
                <c:pt idx="0">
                  <c:v>0.65790000000000004</c:v>
                </c:pt>
                <c:pt idx="1">
                  <c:v>0.64480000000000004</c:v>
                </c:pt>
                <c:pt idx="2">
                  <c:v>0.63560000000000005</c:v>
                </c:pt>
                <c:pt idx="3">
                  <c:v>0.62749999999999995</c:v>
                </c:pt>
                <c:pt idx="4">
                  <c:v>0.61850000000000005</c:v>
                </c:pt>
                <c:pt idx="5">
                  <c:v>0.60980000000000001</c:v>
                </c:pt>
                <c:pt idx="6">
                  <c:v>0.60119999999999996</c:v>
                </c:pt>
                <c:pt idx="7">
                  <c:v>0.59230000000000005</c:v>
                </c:pt>
                <c:pt idx="8">
                  <c:v>0.58389999999999997</c:v>
                </c:pt>
                <c:pt idx="9">
                  <c:v>0.57669999999999999</c:v>
                </c:pt>
                <c:pt idx="10">
                  <c:v>0.56930000000000003</c:v>
                </c:pt>
                <c:pt idx="11">
                  <c:v>0.55800000000000005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D44-4837-AB00-52B2CCA25598}"/>
            </c:ext>
          </c:extLst>
        </c:ser>
        <c:ser>
          <c:idx val="1"/>
          <c:order val="1"/>
          <c:tx>
            <c:v>E3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'ds Manual Calculations'!$N$93:$N$104</c:f>
              <c:numCache>
                <c:formatCode>General</c:formatCode>
                <c:ptCount val="12"/>
                <c:pt idx="0">
                  <c:v>12.571999999999999</c:v>
                </c:pt>
                <c:pt idx="1">
                  <c:v>12.377000000000001</c:v>
                </c:pt>
                <c:pt idx="2">
                  <c:v>12.21</c:v>
                </c:pt>
                <c:pt idx="3">
                  <c:v>12.002000000000001</c:v>
                </c:pt>
                <c:pt idx="4">
                  <c:v>11.798</c:v>
                </c:pt>
                <c:pt idx="5">
                  <c:v>11.595000000000001</c:v>
                </c:pt>
                <c:pt idx="6">
                  <c:v>11.391999999999999</c:v>
                </c:pt>
                <c:pt idx="7">
                  <c:v>11.189</c:v>
                </c:pt>
                <c:pt idx="8">
                  <c:v>10.984999999999999</c:v>
                </c:pt>
                <c:pt idx="9">
                  <c:v>10.776</c:v>
                </c:pt>
                <c:pt idx="10">
                  <c:v>10.551</c:v>
                </c:pt>
                <c:pt idx="11">
                  <c:v>10.422000000000001</c:v>
                </c:pt>
              </c:numCache>
            </c:numRef>
          </c:xVal>
          <c:yVal>
            <c:numRef>
              <c:f>'ds Manual Calculations'!$H$93:$H$104</c:f>
              <c:numCache>
                <c:formatCode>General</c:formatCode>
                <c:ptCount val="12"/>
                <c:pt idx="0">
                  <c:v>0.58399999999999996</c:v>
                </c:pt>
                <c:pt idx="1">
                  <c:v>0.58799999999999997</c:v>
                </c:pt>
                <c:pt idx="2">
                  <c:v>0.59099999999999997</c:v>
                </c:pt>
                <c:pt idx="3">
                  <c:v>0.59699999999999998</c:v>
                </c:pt>
                <c:pt idx="4">
                  <c:v>0.60599999999999998</c:v>
                </c:pt>
                <c:pt idx="5">
                  <c:v>0.61599999999999999</c:v>
                </c:pt>
                <c:pt idx="6">
                  <c:v>0.627</c:v>
                </c:pt>
                <c:pt idx="7">
                  <c:v>0.64</c:v>
                </c:pt>
                <c:pt idx="8">
                  <c:v>0.65400000000000003</c:v>
                </c:pt>
                <c:pt idx="9">
                  <c:v>0.67</c:v>
                </c:pt>
                <c:pt idx="10">
                  <c:v>0.68899999999999995</c:v>
                </c:pt>
                <c:pt idx="11">
                  <c:v>0.69899999999999995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D44-4837-AB00-52B2CCA25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153839"/>
        <c:axId val="1661155087"/>
      </c:scatterChart>
      <c:valAx>
        <c:axId val="1661153839"/>
        <c:scaling>
          <c:orientation val="minMax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5087"/>
        <c:crosses val="autoZero"/>
        <c:crossBetween val="midCat"/>
      </c:valAx>
      <c:valAx>
        <c:axId val="166115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Mach Number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OTAC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'ds Manual Calculations'!$AV$119:$AV$130</c:f>
              <c:numCache>
                <c:formatCode>General</c:formatCode>
                <c:ptCount val="12"/>
                <c:pt idx="0">
                  <c:v>10.696999999999999</c:v>
                </c:pt>
                <c:pt idx="1">
                  <c:v>10.856</c:v>
                </c:pt>
                <c:pt idx="2">
                  <c:v>11.007</c:v>
                </c:pt>
                <c:pt idx="3">
                  <c:v>11.154</c:v>
                </c:pt>
                <c:pt idx="4">
                  <c:v>11.297000000000001</c:v>
                </c:pt>
                <c:pt idx="5">
                  <c:v>11.438000000000001</c:v>
                </c:pt>
                <c:pt idx="6">
                  <c:v>11.579000000000001</c:v>
                </c:pt>
                <c:pt idx="7">
                  <c:v>11.718999999999999</c:v>
                </c:pt>
                <c:pt idx="8">
                  <c:v>11.859</c:v>
                </c:pt>
                <c:pt idx="9">
                  <c:v>11.999000000000001</c:v>
                </c:pt>
                <c:pt idx="10">
                  <c:v>12.14</c:v>
                </c:pt>
                <c:pt idx="11">
                  <c:v>12.284000000000001</c:v>
                </c:pt>
              </c:numCache>
            </c:numRef>
          </c:xVal>
          <c:yVal>
            <c:numRef>
              <c:f>'ds Manual Calculations'!$AK$106:$AK$117</c:f>
              <c:numCache>
                <c:formatCode>General</c:formatCode>
                <c:ptCount val="12"/>
                <c:pt idx="0">
                  <c:v>0.36509999999999998</c:v>
                </c:pt>
                <c:pt idx="1">
                  <c:v>0.3664</c:v>
                </c:pt>
                <c:pt idx="2">
                  <c:v>0.36849999999999999</c:v>
                </c:pt>
                <c:pt idx="3">
                  <c:v>0.36899999999999999</c:v>
                </c:pt>
                <c:pt idx="4">
                  <c:v>0.36580000000000001</c:v>
                </c:pt>
                <c:pt idx="5">
                  <c:v>0.36199999999999999</c:v>
                </c:pt>
                <c:pt idx="6">
                  <c:v>0.35749999999999998</c:v>
                </c:pt>
                <c:pt idx="7">
                  <c:v>0.35210000000000002</c:v>
                </c:pt>
                <c:pt idx="8">
                  <c:v>0.34670000000000001</c:v>
                </c:pt>
                <c:pt idx="9">
                  <c:v>0.34239999999999998</c:v>
                </c:pt>
                <c:pt idx="10">
                  <c:v>0.33710000000000001</c:v>
                </c:pt>
                <c:pt idx="11">
                  <c:v>0.32550000000000001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8EC-45D7-9508-2B39A0067871}"/>
            </c:ext>
          </c:extLst>
        </c:ser>
        <c:ser>
          <c:idx val="1"/>
          <c:order val="1"/>
          <c:tx>
            <c:v>E3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'ds Manual Calculations'!$N$119:$N$130</c:f>
              <c:numCache>
                <c:formatCode>General</c:formatCode>
                <c:ptCount val="12"/>
                <c:pt idx="0">
                  <c:v>12.343</c:v>
                </c:pt>
                <c:pt idx="1">
                  <c:v>12.179</c:v>
                </c:pt>
                <c:pt idx="2">
                  <c:v>12.042999999999999</c:v>
                </c:pt>
                <c:pt idx="3">
                  <c:v>11.875999999999999</c:v>
                </c:pt>
                <c:pt idx="4">
                  <c:v>11.712999999999999</c:v>
                </c:pt>
                <c:pt idx="5">
                  <c:v>11.55</c:v>
                </c:pt>
                <c:pt idx="6">
                  <c:v>11.388</c:v>
                </c:pt>
                <c:pt idx="7">
                  <c:v>11.224</c:v>
                </c:pt>
                <c:pt idx="8">
                  <c:v>11.06</c:v>
                </c:pt>
                <c:pt idx="9">
                  <c:v>10.891</c:v>
                </c:pt>
                <c:pt idx="10">
                  <c:v>10.706</c:v>
                </c:pt>
                <c:pt idx="11">
                  <c:v>10.598000000000001</c:v>
                </c:pt>
              </c:numCache>
            </c:numRef>
          </c:xVal>
          <c:yVal>
            <c:numRef>
              <c:f>'ds Manual Calculations'!$H$106:$H$117</c:f>
              <c:numCache>
                <c:formatCode>General</c:formatCode>
                <c:ptCount val="12"/>
                <c:pt idx="0">
                  <c:v>0.39800000000000002</c:v>
                </c:pt>
                <c:pt idx="1">
                  <c:v>0.41099999999999998</c:v>
                </c:pt>
                <c:pt idx="2">
                  <c:v>0.42099999999999999</c:v>
                </c:pt>
                <c:pt idx="3">
                  <c:v>0.432</c:v>
                </c:pt>
                <c:pt idx="4">
                  <c:v>0.441</c:v>
                </c:pt>
                <c:pt idx="5">
                  <c:v>0.44800000000000001</c:v>
                </c:pt>
                <c:pt idx="6">
                  <c:v>0.45500000000000002</c:v>
                </c:pt>
                <c:pt idx="7">
                  <c:v>0.46200000000000002</c:v>
                </c:pt>
                <c:pt idx="8">
                  <c:v>0.46600000000000003</c:v>
                </c:pt>
                <c:pt idx="9">
                  <c:v>0.46899999999999997</c:v>
                </c:pt>
                <c:pt idx="10">
                  <c:v>0.47</c:v>
                </c:pt>
                <c:pt idx="11">
                  <c:v>0.46400000000000002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8EC-45D7-9508-2B39A0067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153839"/>
        <c:axId val="1661155087"/>
      </c:scatterChart>
      <c:valAx>
        <c:axId val="166115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5087"/>
        <c:crosses val="autoZero"/>
        <c:crossBetween val="midCat"/>
      </c:valAx>
      <c:valAx>
        <c:axId val="166115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Mach Number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OTAC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'ds Manual Calculations'!$AV$119:$AV$130</c:f>
              <c:numCache>
                <c:formatCode>General</c:formatCode>
                <c:ptCount val="12"/>
                <c:pt idx="0">
                  <c:v>10.696999999999999</c:v>
                </c:pt>
                <c:pt idx="1">
                  <c:v>10.856</c:v>
                </c:pt>
                <c:pt idx="2">
                  <c:v>11.007</c:v>
                </c:pt>
                <c:pt idx="3">
                  <c:v>11.154</c:v>
                </c:pt>
                <c:pt idx="4">
                  <c:v>11.297000000000001</c:v>
                </c:pt>
                <c:pt idx="5">
                  <c:v>11.438000000000001</c:v>
                </c:pt>
                <c:pt idx="6">
                  <c:v>11.579000000000001</c:v>
                </c:pt>
                <c:pt idx="7">
                  <c:v>11.718999999999999</c:v>
                </c:pt>
                <c:pt idx="8">
                  <c:v>11.859</c:v>
                </c:pt>
                <c:pt idx="9">
                  <c:v>11.999000000000001</c:v>
                </c:pt>
                <c:pt idx="10">
                  <c:v>12.14</c:v>
                </c:pt>
                <c:pt idx="11">
                  <c:v>12.284000000000001</c:v>
                </c:pt>
              </c:numCache>
            </c:numRef>
          </c:xVal>
          <c:yVal>
            <c:numRef>
              <c:f>'ds Manual Calculations'!$AK$119:$AK$130</c:f>
              <c:numCache>
                <c:formatCode>General</c:formatCode>
                <c:ptCount val="12"/>
                <c:pt idx="0">
                  <c:v>0.48899999999999999</c:v>
                </c:pt>
                <c:pt idx="1">
                  <c:v>0.47970000000000002</c:v>
                </c:pt>
                <c:pt idx="2">
                  <c:v>0.4728</c:v>
                </c:pt>
                <c:pt idx="3">
                  <c:v>0.4667</c:v>
                </c:pt>
                <c:pt idx="4">
                  <c:v>0.45939999999999998</c:v>
                </c:pt>
                <c:pt idx="5">
                  <c:v>0.45269999999999999</c:v>
                </c:pt>
                <c:pt idx="6">
                  <c:v>0.44590000000000002</c:v>
                </c:pt>
                <c:pt idx="7">
                  <c:v>0.43890000000000001</c:v>
                </c:pt>
                <c:pt idx="8">
                  <c:v>0.43259999999999998</c:v>
                </c:pt>
                <c:pt idx="9">
                  <c:v>0.42820000000000003</c:v>
                </c:pt>
                <c:pt idx="10">
                  <c:v>0.42409999999999998</c:v>
                </c:pt>
                <c:pt idx="11">
                  <c:v>0.41599999999999998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D95-40CC-8B98-DAD83E8A364A}"/>
            </c:ext>
          </c:extLst>
        </c:ser>
        <c:ser>
          <c:idx val="1"/>
          <c:order val="1"/>
          <c:tx>
            <c:v>E3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'ds Manual Calculations'!$N$119:$N$130</c:f>
              <c:numCache>
                <c:formatCode>General</c:formatCode>
                <c:ptCount val="12"/>
                <c:pt idx="0">
                  <c:v>12.343</c:v>
                </c:pt>
                <c:pt idx="1">
                  <c:v>12.179</c:v>
                </c:pt>
                <c:pt idx="2">
                  <c:v>12.042999999999999</c:v>
                </c:pt>
                <c:pt idx="3">
                  <c:v>11.875999999999999</c:v>
                </c:pt>
                <c:pt idx="4">
                  <c:v>11.712999999999999</c:v>
                </c:pt>
                <c:pt idx="5">
                  <c:v>11.55</c:v>
                </c:pt>
                <c:pt idx="6">
                  <c:v>11.388</c:v>
                </c:pt>
                <c:pt idx="7">
                  <c:v>11.224</c:v>
                </c:pt>
                <c:pt idx="8">
                  <c:v>11.06</c:v>
                </c:pt>
                <c:pt idx="9">
                  <c:v>10.891</c:v>
                </c:pt>
                <c:pt idx="10">
                  <c:v>10.706</c:v>
                </c:pt>
                <c:pt idx="11">
                  <c:v>10.598000000000001</c:v>
                </c:pt>
              </c:numCache>
            </c:numRef>
          </c:xVal>
          <c:yVal>
            <c:numRef>
              <c:f>'ds Manual Calculations'!$H$119:$H$130</c:f>
              <c:numCache>
                <c:formatCode>General</c:formatCode>
                <c:ptCount val="12"/>
                <c:pt idx="0">
                  <c:v>0.56100000000000005</c:v>
                </c:pt>
                <c:pt idx="1">
                  <c:v>0.56799999999999995</c:v>
                </c:pt>
                <c:pt idx="2">
                  <c:v>0.57299999999999995</c:v>
                </c:pt>
                <c:pt idx="3">
                  <c:v>0.57899999999999996</c:v>
                </c:pt>
                <c:pt idx="4">
                  <c:v>0.58499999999999996</c:v>
                </c:pt>
                <c:pt idx="5">
                  <c:v>0.59299999999999997</c:v>
                </c:pt>
                <c:pt idx="6">
                  <c:v>0.60099999999999998</c:v>
                </c:pt>
                <c:pt idx="7">
                  <c:v>0.61099999999999999</c:v>
                </c:pt>
                <c:pt idx="8">
                  <c:v>0.62</c:v>
                </c:pt>
                <c:pt idx="9">
                  <c:v>0.63100000000000001</c:v>
                </c:pt>
                <c:pt idx="10">
                  <c:v>0.64400000000000002</c:v>
                </c:pt>
                <c:pt idx="11">
                  <c:v>0.65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D95-40CC-8B98-DAD83E8A36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153839"/>
        <c:axId val="1661155087"/>
      </c:scatterChart>
      <c:valAx>
        <c:axId val="166115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5087"/>
        <c:crosses val="autoZero"/>
        <c:crossBetween val="midCat"/>
      </c:valAx>
      <c:valAx>
        <c:axId val="166115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Mach Number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OTAC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'ds Manual Calculations'!$AV$132:$AV$143</c:f>
              <c:numCache>
                <c:formatCode>General</c:formatCode>
                <c:ptCount val="12"/>
                <c:pt idx="0">
                  <c:v>10.728999999999999</c:v>
                </c:pt>
                <c:pt idx="1">
                  <c:v>10.867000000000001</c:v>
                </c:pt>
                <c:pt idx="2">
                  <c:v>11</c:v>
                </c:pt>
                <c:pt idx="3">
                  <c:v>11.129</c:v>
                </c:pt>
                <c:pt idx="4">
                  <c:v>11.257</c:v>
                </c:pt>
                <c:pt idx="5">
                  <c:v>11.385</c:v>
                </c:pt>
                <c:pt idx="6">
                  <c:v>11.513999999999999</c:v>
                </c:pt>
                <c:pt idx="7">
                  <c:v>11.641999999999999</c:v>
                </c:pt>
                <c:pt idx="8">
                  <c:v>11.772</c:v>
                </c:pt>
                <c:pt idx="9">
                  <c:v>11.904</c:v>
                </c:pt>
                <c:pt idx="10">
                  <c:v>12.038</c:v>
                </c:pt>
                <c:pt idx="11">
                  <c:v>12.18</c:v>
                </c:pt>
              </c:numCache>
            </c:numRef>
          </c:xVal>
          <c:yVal>
            <c:numRef>
              <c:f>'ds Manual Calculations'!$AK$132:$AK$143</c:f>
              <c:numCache>
                <c:formatCode>General</c:formatCode>
                <c:ptCount val="12"/>
                <c:pt idx="0">
                  <c:v>0.36759999999999998</c:v>
                </c:pt>
                <c:pt idx="1">
                  <c:v>0.36780000000000002</c:v>
                </c:pt>
                <c:pt idx="2">
                  <c:v>0.36870000000000003</c:v>
                </c:pt>
                <c:pt idx="3">
                  <c:v>0.3679</c:v>
                </c:pt>
                <c:pt idx="4">
                  <c:v>0.36399999999999999</c:v>
                </c:pt>
                <c:pt idx="5">
                  <c:v>0.35970000000000002</c:v>
                </c:pt>
                <c:pt idx="6">
                  <c:v>0.35470000000000002</c:v>
                </c:pt>
                <c:pt idx="7">
                  <c:v>0.34899999999999998</c:v>
                </c:pt>
                <c:pt idx="8">
                  <c:v>0.34339999999999998</c:v>
                </c:pt>
                <c:pt idx="9">
                  <c:v>0.33900000000000002</c:v>
                </c:pt>
                <c:pt idx="10">
                  <c:v>0.3337</c:v>
                </c:pt>
                <c:pt idx="11">
                  <c:v>0.3216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80-4295-9373-2375951395CA}"/>
            </c:ext>
          </c:extLst>
        </c:ser>
        <c:ser>
          <c:idx val="1"/>
          <c:order val="1"/>
          <c:tx>
            <c:v>E3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'ds Manual Calculations'!$N$132:$N$143</c:f>
              <c:numCache>
                <c:formatCode>General</c:formatCode>
                <c:ptCount val="12"/>
                <c:pt idx="0">
                  <c:v>12.24</c:v>
                </c:pt>
                <c:pt idx="1">
                  <c:v>12.103999999999999</c:v>
                </c:pt>
                <c:pt idx="2">
                  <c:v>11.98</c:v>
                </c:pt>
                <c:pt idx="3">
                  <c:v>11.823</c:v>
                </c:pt>
                <c:pt idx="4">
                  <c:v>11.669</c:v>
                </c:pt>
                <c:pt idx="5">
                  <c:v>11.516</c:v>
                </c:pt>
                <c:pt idx="6">
                  <c:v>11.363</c:v>
                </c:pt>
                <c:pt idx="7">
                  <c:v>11.21</c:v>
                </c:pt>
                <c:pt idx="8">
                  <c:v>11.055</c:v>
                </c:pt>
                <c:pt idx="9">
                  <c:v>10.898999999999999</c:v>
                </c:pt>
                <c:pt idx="10">
                  <c:v>10.731</c:v>
                </c:pt>
                <c:pt idx="11">
                  <c:v>10.641999999999999</c:v>
                </c:pt>
              </c:numCache>
            </c:numRef>
          </c:xVal>
          <c:yVal>
            <c:numRef>
              <c:f>'ds Manual Calculations'!$H$132:$H$143</c:f>
              <c:numCache>
                <c:formatCode>General</c:formatCode>
                <c:ptCount val="12"/>
                <c:pt idx="0">
                  <c:v>0.36499999999999999</c:v>
                </c:pt>
                <c:pt idx="1">
                  <c:v>0.378</c:v>
                </c:pt>
                <c:pt idx="2">
                  <c:v>0.38700000000000001</c:v>
                </c:pt>
                <c:pt idx="3">
                  <c:v>0.39700000000000002</c:v>
                </c:pt>
                <c:pt idx="4">
                  <c:v>0.40500000000000003</c:v>
                </c:pt>
                <c:pt idx="5">
                  <c:v>0.41099999999999998</c:v>
                </c:pt>
                <c:pt idx="6">
                  <c:v>0.41599999999999998</c:v>
                </c:pt>
                <c:pt idx="7">
                  <c:v>0.42099999999999999</c:v>
                </c:pt>
                <c:pt idx="8">
                  <c:v>0.42299999999999999</c:v>
                </c:pt>
                <c:pt idx="9">
                  <c:v>0.42299999999999999</c:v>
                </c:pt>
                <c:pt idx="10">
                  <c:v>0.42</c:v>
                </c:pt>
                <c:pt idx="11">
                  <c:v>0.41599999999999998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780-4295-9373-2375951395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153839"/>
        <c:axId val="1661155087"/>
      </c:scatterChart>
      <c:valAx>
        <c:axId val="166115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5087"/>
        <c:crosses val="autoZero"/>
        <c:crossBetween val="midCat"/>
      </c:valAx>
      <c:valAx>
        <c:axId val="166115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Mach Number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OTAC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'ds Manual Calculations'!$AV$145:$AV$156</c:f>
              <c:numCache>
                <c:formatCode>General</c:formatCode>
                <c:ptCount val="12"/>
                <c:pt idx="0">
                  <c:v>10.785</c:v>
                </c:pt>
                <c:pt idx="1">
                  <c:v>10.929</c:v>
                </c:pt>
                <c:pt idx="2">
                  <c:v>11.045</c:v>
                </c:pt>
                <c:pt idx="3">
                  <c:v>11.151</c:v>
                </c:pt>
                <c:pt idx="4">
                  <c:v>11.257</c:v>
                </c:pt>
                <c:pt idx="5">
                  <c:v>11.361000000000001</c:v>
                </c:pt>
                <c:pt idx="6">
                  <c:v>11.465999999999999</c:v>
                </c:pt>
                <c:pt idx="7">
                  <c:v>11.571999999999999</c:v>
                </c:pt>
                <c:pt idx="8">
                  <c:v>11.679</c:v>
                </c:pt>
                <c:pt idx="9">
                  <c:v>11.789</c:v>
                </c:pt>
                <c:pt idx="10">
                  <c:v>11.904999999999999</c:v>
                </c:pt>
                <c:pt idx="11">
                  <c:v>12.038</c:v>
                </c:pt>
              </c:numCache>
            </c:numRef>
          </c:xVal>
          <c:yVal>
            <c:numRef>
              <c:f>'ds Manual Calculations'!$AK$145:$AK$156</c:f>
              <c:numCache>
                <c:formatCode>General</c:formatCode>
                <c:ptCount val="12"/>
                <c:pt idx="0">
                  <c:v>0.57330000000000003</c:v>
                </c:pt>
                <c:pt idx="1">
                  <c:v>0.56379999999999997</c:v>
                </c:pt>
                <c:pt idx="2">
                  <c:v>0.55759999999999998</c:v>
                </c:pt>
                <c:pt idx="3">
                  <c:v>0.55220000000000002</c:v>
                </c:pt>
                <c:pt idx="4">
                  <c:v>0.54590000000000005</c:v>
                </c:pt>
                <c:pt idx="5">
                  <c:v>0.54020000000000001</c:v>
                </c:pt>
                <c:pt idx="6">
                  <c:v>0.5343</c:v>
                </c:pt>
                <c:pt idx="7">
                  <c:v>0.52829999999999999</c:v>
                </c:pt>
                <c:pt idx="8">
                  <c:v>0.52259999999999995</c:v>
                </c:pt>
                <c:pt idx="9">
                  <c:v>0.51839999999999997</c:v>
                </c:pt>
                <c:pt idx="10">
                  <c:v>0.51419999999999999</c:v>
                </c:pt>
                <c:pt idx="11">
                  <c:v>0.50549999999999995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16D-4F8E-9B7B-4A2D6E1DAA61}"/>
            </c:ext>
          </c:extLst>
        </c:ser>
        <c:ser>
          <c:idx val="1"/>
          <c:order val="1"/>
          <c:tx>
            <c:v>E3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'ds Manual Calculations'!$N$145:$N$156</c:f>
              <c:numCache>
                <c:formatCode>General</c:formatCode>
                <c:ptCount val="12"/>
                <c:pt idx="0">
                  <c:v>12.099</c:v>
                </c:pt>
                <c:pt idx="1">
                  <c:v>11.992000000000001</c:v>
                </c:pt>
                <c:pt idx="2">
                  <c:v>11.878</c:v>
                </c:pt>
                <c:pt idx="3">
                  <c:v>11.737</c:v>
                </c:pt>
                <c:pt idx="4">
                  <c:v>11.602</c:v>
                </c:pt>
                <c:pt idx="5">
                  <c:v>11.467000000000001</c:v>
                </c:pt>
                <c:pt idx="6">
                  <c:v>11.333</c:v>
                </c:pt>
                <c:pt idx="7">
                  <c:v>11.198</c:v>
                </c:pt>
                <c:pt idx="8">
                  <c:v>11.063000000000001</c:v>
                </c:pt>
                <c:pt idx="9">
                  <c:v>10.923999999999999</c:v>
                </c:pt>
                <c:pt idx="10">
                  <c:v>10.773</c:v>
                </c:pt>
                <c:pt idx="11">
                  <c:v>10.686999999999999</c:v>
                </c:pt>
              </c:numCache>
            </c:numRef>
          </c:xVal>
          <c:yVal>
            <c:numRef>
              <c:f>'ds Manual Calculations'!$H$145:$H$156</c:f>
              <c:numCache>
                <c:formatCode>General</c:formatCode>
                <c:ptCount val="12"/>
                <c:pt idx="0">
                  <c:v>0.51800000000000002</c:v>
                </c:pt>
                <c:pt idx="1">
                  <c:v>0.52400000000000002</c:v>
                </c:pt>
                <c:pt idx="2">
                  <c:v>0.52800000000000002</c:v>
                </c:pt>
                <c:pt idx="3">
                  <c:v>0.53300000000000003</c:v>
                </c:pt>
                <c:pt idx="4">
                  <c:v>0.53800000000000003</c:v>
                </c:pt>
                <c:pt idx="5">
                  <c:v>0.54400000000000004</c:v>
                </c:pt>
                <c:pt idx="6">
                  <c:v>0.55000000000000004</c:v>
                </c:pt>
                <c:pt idx="7">
                  <c:v>0.55700000000000005</c:v>
                </c:pt>
                <c:pt idx="8">
                  <c:v>0.56499999999999995</c:v>
                </c:pt>
                <c:pt idx="9">
                  <c:v>0.57299999999999995</c:v>
                </c:pt>
                <c:pt idx="10">
                  <c:v>0.58199999999999996</c:v>
                </c:pt>
                <c:pt idx="11">
                  <c:v>0.58699999999999997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16D-4F8E-9B7B-4A2D6E1DA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153839"/>
        <c:axId val="1661155087"/>
      </c:scatterChart>
      <c:valAx>
        <c:axId val="166115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5087"/>
        <c:crosses val="autoZero"/>
        <c:crossBetween val="midCat"/>
      </c:valAx>
      <c:valAx>
        <c:axId val="166115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Mach Number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OTAC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'ds Manual Calculations'!$AV$158:$AV$169</c:f>
              <c:numCache>
                <c:formatCode>General</c:formatCode>
                <c:ptCount val="12"/>
                <c:pt idx="0">
                  <c:v>10.797000000000001</c:v>
                </c:pt>
                <c:pt idx="1">
                  <c:v>10.907</c:v>
                </c:pt>
                <c:pt idx="2">
                  <c:v>11.013</c:v>
                </c:pt>
                <c:pt idx="3">
                  <c:v>11.117000000000001</c:v>
                </c:pt>
                <c:pt idx="4">
                  <c:v>11.221</c:v>
                </c:pt>
                <c:pt idx="5">
                  <c:v>11.324</c:v>
                </c:pt>
                <c:pt idx="6">
                  <c:v>11.427</c:v>
                </c:pt>
                <c:pt idx="7">
                  <c:v>11.532</c:v>
                </c:pt>
                <c:pt idx="8">
                  <c:v>11.637</c:v>
                </c:pt>
                <c:pt idx="9">
                  <c:v>11.744</c:v>
                </c:pt>
                <c:pt idx="10">
                  <c:v>11.853</c:v>
                </c:pt>
                <c:pt idx="11">
                  <c:v>11.967000000000001</c:v>
                </c:pt>
              </c:numCache>
            </c:numRef>
          </c:xVal>
          <c:yVal>
            <c:numRef>
              <c:f>'ds Manual Calculations'!$AK$158:$AK$169</c:f>
              <c:numCache>
                <c:formatCode>General</c:formatCode>
                <c:ptCount val="12"/>
                <c:pt idx="0">
                  <c:v>0.36259999999999998</c:v>
                </c:pt>
                <c:pt idx="1">
                  <c:v>0.3634</c:v>
                </c:pt>
                <c:pt idx="2">
                  <c:v>0.36330000000000001</c:v>
                </c:pt>
                <c:pt idx="3">
                  <c:v>0.36170000000000002</c:v>
                </c:pt>
                <c:pt idx="4">
                  <c:v>0.3584</c:v>
                </c:pt>
                <c:pt idx="5">
                  <c:v>0.35570000000000002</c:v>
                </c:pt>
                <c:pt idx="6">
                  <c:v>0.34939999999999999</c:v>
                </c:pt>
                <c:pt idx="7">
                  <c:v>0.34410000000000002</c:v>
                </c:pt>
                <c:pt idx="8">
                  <c:v>0.3392</c:v>
                </c:pt>
                <c:pt idx="9">
                  <c:v>0.33579999999999999</c:v>
                </c:pt>
                <c:pt idx="10">
                  <c:v>0.33169999999999999</c:v>
                </c:pt>
                <c:pt idx="11">
                  <c:v>0.3201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D7-40E9-8201-5AC6D38E2C30}"/>
            </c:ext>
          </c:extLst>
        </c:ser>
        <c:ser>
          <c:idx val="1"/>
          <c:order val="1"/>
          <c:tx>
            <c:v>E3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'ds Manual Calculations'!$N$158:$N$169</c:f>
              <c:numCache>
                <c:formatCode>0.000</c:formatCode>
                <c:ptCount val="12"/>
                <c:pt idx="0">
                  <c:v>12.016</c:v>
                </c:pt>
                <c:pt idx="1">
                  <c:v>11.926</c:v>
                </c:pt>
                <c:pt idx="2">
                  <c:v>11.823</c:v>
                </c:pt>
                <c:pt idx="3">
                  <c:v>11.693</c:v>
                </c:pt>
                <c:pt idx="4">
                  <c:v>11.566000000000001</c:v>
                </c:pt>
                <c:pt idx="5">
                  <c:v>11.44</c:v>
                </c:pt>
                <c:pt idx="6">
                  <c:v>11.315</c:v>
                </c:pt>
                <c:pt idx="7">
                  <c:v>11.19</c:v>
                </c:pt>
                <c:pt idx="8">
                  <c:v>11.063000000000001</c:v>
                </c:pt>
                <c:pt idx="9">
                  <c:v>10.935</c:v>
                </c:pt>
                <c:pt idx="10">
                  <c:v>10.8</c:v>
                </c:pt>
                <c:pt idx="11">
                  <c:v>10.728999999999999</c:v>
                </c:pt>
              </c:numCache>
            </c:numRef>
          </c:xVal>
          <c:yVal>
            <c:numRef>
              <c:f>'ds Manual Calculations'!$H$158:$H$169</c:f>
              <c:numCache>
                <c:formatCode>General</c:formatCode>
                <c:ptCount val="12"/>
                <c:pt idx="0">
                  <c:v>0.36099999999999999</c:v>
                </c:pt>
                <c:pt idx="1">
                  <c:v>0.37</c:v>
                </c:pt>
                <c:pt idx="2">
                  <c:v>0.378</c:v>
                </c:pt>
                <c:pt idx="3">
                  <c:v>0.38700000000000001</c:v>
                </c:pt>
                <c:pt idx="4">
                  <c:v>0.39400000000000002</c:v>
                </c:pt>
                <c:pt idx="5">
                  <c:v>0.4</c:v>
                </c:pt>
                <c:pt idx="6">
                  <c:v>0.40500000000000003</c:v>
                </c:pt>
                <c:pt idx="7">
                  <c:v>0.40899999999999997</c:v>
                </c:pt>
                <c:pt idx="8">
                  <c:v>0.41199999999999998</c:v>
                </c:pt>
                <c:pt idx="9">
                  <c:v>0.41299999999999998</c:v>
                </c:pt>
                <c:pt idx="10">
                  <c:v>0.41099999999999998</c:v>
                </c:pt>
                <c:pt idx="11">
                  <c:v>0.40799999999999997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3D7-40E9-8201-5AC6D38E2C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153839"/>
        <c:axId val="1661155087"/>
      </c:scatterChart>
      <c:valAx>
        <c:axId val="166115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5087"/>
        <c:crosses val="autoZero"/>
        <c:crossBetween val="midCat"/>
      </c:valAx>
      <c:valAx>
        <c:axId val="166115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Mach Number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OTAC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'ds Manual Calculations'!$AV$171:$AV$182</c:f>
              <c:numCache>
                <c:formatCode>General</c:formatCode>
                <c:ptCount val="12"/>
                <c:pt idx="0">
                  <c:v>10.831</c:v>
                </c:pt>
                <c:pt idx="1">
                  <c:v>10.933999999999999</c:v>
                </c:pt>
                <c:pt idx="2">
                  <c:v>11.029</c:v>
                </c:pt>
                <c:pt idx="3">
                  <c:v>11.119</c:v>
                </c:pt>
                <c:pt idx="4">
                  <c:v>11.209</c:v>
                </c:pt>
                <c:pt idx="5">
                  <c:v>11.297000000000001</c:v>
                </c:pt>
                <c:pt idx="6">
                  <c:v>11.385999999999999</c:v>
                </c:pt>
                <c:pt idx="7">
                  <c:v>11.476000000000001</c:v>
                </c:pt>
                <c:pt idx="8">
                  <c:v>11.568</c:v>
                </c:pt>
                <c:pt idx="9">
                  <c:v>11.662000000000001</c:v>
                </c:pt>
                <c:pt idx="10">
                  <c:v>11.763</c:v>
                </c:pt>
                <c:pt idx="11">
                  <c:v>11.881</c:v>
                </c:pt>
              </c:numCache>
            </c:numRef>
          </c:xVal>
          <c:yVal>
            <c:numRef>
              <c:f>'ds Manual Calculations'!$AK$171:$AK$182</c:f>
              <c:numCache>
                <c:formatCode>General</c:formatCode>
                <c:ptCount val="12"/>
                <c:pt idx="0">
                  <c:v>0.54820000000000002</c:v>
                </c:pt>
                <c:pt idx="1">
                  <c:v>0.54159999999999997</c:v>
                </c:pt>
                <c:pt idx="2">
                  <c:v>0.53580000000000005</c:v>
                </c:pt>
                <c:pt idx="3">
                  <c:v>0.53010000000000002</c:v>
                </c:pt>
                <c:pt idx="4">
                  <c:v>0.52459999999999996</c:v>
                </c:pt>
                <c:pt idx="5">
                  <c:v>0.52010000000000001</c:v>
                </c:pt>
                <c:pt idx="6">
                  <c:v>0.51359999999999995</c:v>
                </c:pt>
                <c:pt idx="7">
                  <c:v>0.50780000000000003</c:v>
                </c:pt>
                <c:pt idx="8">
                  <c:v>0.50270000000000004</c:v>
                </c:pt>
                <c:pt idx="9">
                  <c:v>0.49930000000000002</c:v>
                </c:pt>
                <c:pt idx="10">
                  <c:v>0.49590000000000001</c:v>
                </c:pt>
                <c:pt idx="11">
                  <c:v>0.48749999999999999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4B2-45D9-A4CD-73F2A7EE282B}"/>
            </c:ext>
          </c:extLst>
        </c:ser>
        <c:ser>
          <c:idx val="1"/>
          <c:order val="1"/>
          <c:tx>
            <c:v>E3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'ds Manual Calculations'!$N$171:$N$182</c:f>
              <c:numCache>
                <c:formatCode>General</c:formatCode>
                <c:ptCount val="12"/>
                <c:pt idx="0">
                  <c:v>11.930999999999999</c:v>
                </c:pt>
                <c:pt idx="1">
                  <c:v>11.836</c:v>
                </c:pt>
                <c:pt idx="2">
                  <c:v>11.741</c:v>
                </c:pt>
                <c:pt idx="3">
                  <c:v>11.622</c:v>
                </c:pt>
                <c:pt idx="4">
                  <c:v>11.509</c:v>
                </c:pt>
                <c:pt idx="5">
                  <c:v>11.398</c:v>
                </c:pt>
                <c:pt idx="6">
                  <c:v>11.288</c:v>
                </c:pt>
                <c:pt idx="7">
                  <c:v>11.178000000000001</c:v>
                </c:pt>
                <c:pt idx="8">
                  <c:v>11.066000000000001</c:v>
                </c:pt>
                <c:pt idx="9">
                  <c:v>10.952</c:v>
                </c:pt>
                <c:pt idx="10">
                  <c:v>10.827999999999999</c:v>
                </c:pt>
                <c:pt idx="11">
                  <c:v>10.759</c:v>
                </c:pt>
              </c:numCache>
            </c:numRef>
          </c:xVal>
          <c:yVal>
            <c:numRef>
              <c:f>'ds Manual Calculations'!$H$171:$H$182</c:f>
              <c:numCache>
                <c:formatCode>General</c:formatCode>
                <c:ptCount val="12"/>
                <c:pt idx="0">
                  <c:v>0.50700000000000001</c:v>
                </c:pt>
                <c:pt idx="1">
                  <c:v>0.51200000000000001</c:v>
                </c:pt>
                <c:pt idx="2">
                  <c:v>0.51600000000000001</c:v>
                </c:pt>
                <c:pt idx="3">
                  <c:v>0.52</c:v>
                </c:pt>
                <c:pt idx="4">
                  <c:v>0.52500000000000002</c:v>
                </c:pt>
                <c:pt idx="5">
                  <c:v>0.53100000000000003</c:v>
                </c:pt>
                <c:pt idx="6">
                  <c:v>0.53700000000000003</c:v>
                </c:pt>
                <c:pt idx="7">
                  <c:v>0.54400000000000004</c:v>
                </c:pt>
                <c:pt idx="8">
                  <c:v>0.55100000000000005</c:v>
                </c:pt>
                <c:pt idx="9">
                  <c:v>0.55900000000000005</c:v>
                </c:pt>
                <c:pt idx="10">
                  <c:v>0.56899999999999995</c:v>
                </c:pt>
                <c:pt idx="11">
                  <c:v>0.57399999999999995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4B2-45D9-A4CD-73F2A7EE28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153839"/>
        <c:axId val="1661155087"/>
      </c:scatterChart>
      <c:valAx>
        <c:axId val="166115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5087"/>
        <c:crosses val="autoZero"/>
        <c:crossBetween val="midCat"/>
      </c:valAx>
      <c:valAx>
        <c:axId val="166115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Mach Number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OTAC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'ds Manual Calculations'!$AV$184:$AV$195</c:f>
              <c:numCache>
                <c:formatCode>General</c:formatCode>
                <c:ptCount val="12"/>
                <c:pt idx="0">
                  <c:v>10.83</c:v>
                </c:pt>
                <c:pt idx="1">
                  <c:v>10.920999999999999</c:v>
                </c:pt>
                <c:pt idx="2">
                  <c:v>11.010999999999999</c:v>
                </c:pt>
                <c:pt idx="3">
                  <c:v>11.099</c:v>
                </c:pt>
                <c:pt idx="4">
                  <c:v>11.186999999999999</c:v>
                </c:pt>
                <c:pt idx="5">
                  <c:v>11.275</c:v>
                </c:pt>
                <c:pt idx="6">
                  <c:v>11.363</c:v>
                </c:pt>
                <c:pt idx="7">
                  <c:v>11.452</c:v>
                </c:pt>
                <c:pt idx="8">
                  <c:v>11.542999999999999</c:v>
                </c:pt>
                <c:pt idx="9">
                  <c:v>11.634</c:v>
                </c:pt>
                <c:pt idx="10">
                  <c:v>11.727</c:v>
                </c:pt>
                <c:pt idx="11">
                  <c:v>11.821999999999999</c:v>
                </c:pt>
              </c:numCache>
            </c:numRef>
          </c:xVal>
          <c:yVal>
            <c:numRef>
              <c:f>'ds Manual Calculations'!$AK$184:$AK$195</c:f>
              <c:numCache>
                <c:formatCode>General</c:formatCode>
                <c:ptCount val="12"/>
                <c:pt idx="0">
                  <c:v>0.32750000000000001</c:v>
                </c:pt>
                <c:pt idx="1">
                  <c:v>0.3286</c:v>
                </c:pt>
                <c:pt idx="2">
                  <c:v>0.32850000000000001</c:v>
                </c:pt>
                <c:pt idx="3">
                  <c:v>0.32719999999999999</c:v>
                </c:pt>
                <c:pt idx="4">
                  <c:v>0.32500000000000001</c:v>
                </c:pt>
                <c:pt idx="5">
                  <c:v>0.32340000000000002</c:v>
                </c:pt>
                <c:pt idx="6">
                  <c:v>0.31709999999999999</c:v>
                </c:pt>
                <c:pt idx="7">
                  <c:v>0.31119999999999998</c:v>
                </c:pt>
                <c:pt idx="8">
                  <c:v>0.30580000000000002</c:v>
                </c:pt>
                <c:pt idx="9">
                  <c:v>0.30220000000000002</c:v>
                </c:pt>
                <c:pt idx="10">
                  <c:v>0.29820000000000002</c:v>
                </c:pt>
                <c:pt idx="11">
                  <c:v>0.2863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565-45CD-8F94-5FADEE305254}"/>
            </c:ext>
          </c:extLst>
        </c:ser>
        <c:ser>
          <c:idx val="1"/>
          <c:order val="1"/>
          <c:tx>
            <c:v>E3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'ds Manual Calculations'!$N$184:$N$195</c:f>
              <c:numCache>
                <c:formatCode>0.0000_);[Red]\(0.0000\)</c:formatCode>
                <c:ptCount val="12"/>
                <c:pt idx="0">
                  <c:v>11.843999999999999</c:v>
                </c:pt>
                <c:pt idx="1">
                  <c:v>11.768000000000001</c:v>
                </c:pt>
                <c:pt idx="2">
                  <c:v>11.682</c:v>
                </c:pt>
                <c:pt idx="3">
                  <c:v>11.571999999999999</c:v>
                </c:pt>
                <c:pt idx="4">
                  <c:v>11.464</c:v>
                </c:pt>
                <c:pt idx="5">
                  <c:v>11.358000000000001</c:v>
                </c:pt>
                <c:pt idx="6">
                  <c:v>11.252000000000001</c:v>
                </c:pt>
                <c:pt idx="7">
                  <c:v>11.146000000000001</c:v>
                </c:pt>
                <c:pt idx="8">
                  <c:v>11.039</c:v>
                </c:pt>
                <c:pt idx="9">
                  <c:v>10.929</c:v>
                </c:pt>
                <c:pt idx="10">
                  <c:v>10.815</c:v>
                </c:pt>
                <c:pt idx="11">
                  <c:v>10.755000000000001</c:v>
                </c:pt>
              </c:numCache>
            </c:numRef>
          </c:xVal>
          <c:yVal>
            <c:numRef>
              <c:f>'ds Manual Calculations'!$H$184:$H$195</c:f>
              <c:numCache>
                <c:formatCode>General</c:formatCode>
                <c:ptCount val="12"/>
                <c:pt idx="0">
                  <c:v>0.35499999999999998</c:v>
                </c:pt>
                <c:pt idx="1">
                  <c:v>0.36399999999999999</c:v>
                </c:pt>
                <c:pt idx="2">
                  <c:v>0.36899999999999999</c:v>
                </c:pt>
                <c:pt idx="3">
                  <c:v>0.376</c:v>
                </c:pt>
                <c:pt idx="4">
                  <c:v>0.38100000000000001</c:v>
                </c:pt>
                <c:pt idx="5">
                  <c:v>0.38600000000000001</c:v>
                </c:pt>
                <c:pt idx="6">
                  <c:v>0.39</c:v>
                </c:pt>
                <c:pt idx="7">
                  <c:v>0.39200000000000002</c:v>
                </c:pt>
                <c:pt idx="8">
                  <c:v>0.39200000000000002</c:v>
                </c:pt>
                <c:pt idx="9">
                  <c:v>0.39200000000000002</c:v>
                </c:pt>
                <c:pt idx="10">
                  <c:v>0.39</c:v>
                </c:pt>
                <c:pt idx="11">
                  <c:v>0.38800000000000001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565-45CD-8F94-5FADEE305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153839"/>
        <c:axId val="1661155087"/>
      </c:scatterChart>
      <c:valAx>
        <c:axId val="166115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5087"/>
        <c:crosses val="autoZero"/>
        <c:crossBetween val="midCat"/>
      </c:valAx>
      <c:valAx>
        <c:axId val="166115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Mach Number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OTAC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'ds Manual Calculations'!$AV$197:$AV$208</c:f>
              <c:numCache>
                <c:formatCode>General</c:formatCode>
                <c:ptCount val="12"/>
                <c:pt idx="0">
                  <c:v>10.823</c:v>
                </c:pt>
                <c:pt idx="1">
                  <c:v>10.906000000000001</c:v>
                </c:pt>
                <c:pt idx="2">
                  <c:v>10.987</c:v>
                </c:pt>
                <c:pt idx="3">
                  <c:v>11.067</c:v>
                </c:pt>
                <c:pt idx="4">
                  <c:v>11.147</c:v>
                </c:pt>
                <c:pt idx="5">
                  <c:v>11.226000000000001</c:v>
                </c:pt>
                <c:pt idx="6">
                  <c:v>11.305</c:v>
                </c:pt>
                <c:pt idx="7">
                  <c:v>11.385999999999999</c:v>
                </c:pt>
                <c:pt idx="8">
                  <c:v>11.468</c:v>
                </c:pt>
                <c:pt idx="9">
                  <c:v>11.552</c:v>
                </c:pt>
                <c:pt idx="10">
                  <c:v>11.637</c:v>
                </c:pt>
                <c:pt idx="11">
                  <c:v>11.725</c:v>
                </c:pt>
              </c:numCache>
            </c:numRef>
          </c:xVal>
          <c:yVal>
            <c:numRef>
              <c:f>'ds Manual Calculations'!$AK$197:$AK$208</c:f>
              <c:numCache>
                <c:formatCode>General</c:formatCode>
                <c:ptCount val="12"/>
                <c:pt idx="0">
                  <c:v>0.43869999999999998</c:v>
                </c:pt>
                <c:pt idx="1">
                  <c:v>0.43409999999999999</c:v>
                </c:pt>
                <c:pt idx="2">
                  <c:v>0.42930000000000001</c:v>
                </c:pt>
                <c:pt idx="3">
                  <c:v>0.4244</c:v>
                </c:pt>
                <c:pt idx="4">
                  <c:v>0.41959999999999997</c:v>
                </c:pt>
                <c:pt idx="5">
                  <c:v>0.41599999999999998</c:v>
                </c:pt>
                <c:pt idx="6">
                  <c:v>0.41</c:v>
                </c:pt>
                <c:pt idx="7">
                  <c:v>0.40510000000000002</c:v>
                </c:pt>
                <c:pt idx="8">
                  <c:v>0.40110000000000001</c:v>
                </c:pt>
                <c:pt idx="9">
                  <c:v>0.39929999999999999</c:v>
                </c:pt>
                <c:pt idx="10">
                  <c:v>0.39750000000000002</c:v>
                </c:pt>
                <c:pt idx="11">
                  <c:v>0.38969999999999999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50D-467F-A8D6-C37DF81E3400}"/>
            </c:ext>
          </c:extLst>
        </c:ser>
        <c:ser>
          <c:idx val="1"/>
          <c:order val="1"/>
          <c:tx>
            <c:v>E3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'ds Manual Calculations'!$N$197:$N$208</c:f>
              <c:numCache>
                <c:formatCode>General</c:formatCode>
                <c:ptCount val="12"/>
                <c:pt idx="0">
                  <c:v>11.766</c:v>
                </c:pt>
                <c:pt idx="1">
                  <c:v>11.715</c:v>
                </c:pt>
                <c:pt idx="2">
                  <c:v>11.625999999999999</c:v>
                </c:pt>
                <c:pt idx="3">
                  <c:v>11.521000000000001</c:v>
                </c:pt>
                <c:pt idx="4">
                  <c:v>11.422000000000001</c:v>
                </c:pt>
                <c:pt idx="5">
                  <c:v>11.327</c:v>
                </c:pt>
                <c:pt idx="6">
                  <c:v>11.233000000000001</c:v>
                </c:pt>
                <c:pt idx="7">
                  <c:v>11.138</c:v>
                </c:pt>
                <c:pt idx="8">
                  <c:v>11.042</c:v>
                </c:pt>
                <c:pt idx="9">
                  <c:v>10.943</c:v>
                </c:pt>
                <c:pt idx="10">
                  <c:v>10.835000000000001</c:v>
                </c:pt>
                <c:pt idx="11">
                  <c:v>10.775</c:v>
                </c:pt>
              </c:numCache>
            </c:numRef>
          </c:xVal>
          <c:yVal>
            <c:numRef>
              <c:f>'ds Manual Calculations'!$H$197:$H$208</c:f>
              <c:numCache>
                <c:formatCode>General</c:formatCode>
                <c:ptCount val="12"/>
                <c:pt idx="0">
                  <c:v>0.49299999999999999</c:v>
                </c:pt>
                <c:pt idx="1">
                  <c:v>0.496</c:v>
                </c:pt>
                <c:pt idx="2">
                  <c:v>0.5</c:v>
                </c:pt>
                <c:pt idx="3">
                  <c:v>0.504</c:v>
                </c:pt>
                <c:pt idx="4">
                  <c:v>0.50800000000000001</c:v>
                </c:pt>
                <c:pt idx="5">
                  <c:v>0.51300000000000001</c:v>
                </c:pt>
                <c:pt idx="6">
                  <c:v>0.51800000000000002</c:v>
                </c:pt>
                <c:pt idx="7">
                  <c:v>0.52400000000000002</c:v>
                </c:pt>
                <c:pt idx="8">
                  <c:v>0.53100000000000003</c:v>
                </c:pt>
                <c:pt idx="9">
                  <c:v>0.53800000000000003</c:v>
                </c:pt>
                <c:pt idx="10">
                  <c:v>0.54700000000000004</c:v>
                </c:pt>
                <c:pt idx="11">
                  <c:v>0.55100000000000005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50D-467F-A8D6-C37DF81E34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153839"/>
        <c:axId val="1661155087"/>
      </c:scatterChart>
      <c:valAx>
        <c:axId val="166115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5087"/>
        <c:crosses val="autoZero"/>
        <c:crossBetween val="midCat"/>
      </c:valAx>
      <c:valAx>
        <c:axId val="166115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Mach Number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OTAC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'ds Manual Calculations'!$AW$210:$AW$221</c:f>
              <c:numCache>
                <c:formatCode>General</c:formatCode>
                <c:ptCount val="12"/>
                <c:pt idx="0">
                  <c:v>10.891</c:v>
                </c:pt>
                <c:pt idx="1">
                  <c:v>10.97</c:v>
                </c:pt>
                <c:pt idx="2">
                  <c:v>11.045999999999999</c:v>
                </c:pt>
                <c:pt idx="3">
                  <c:v>11.122</c:v>
                </c:pt>
                <c:pt idx="4">
                  <c:v>11.196999999999999</c:v>
                </c:pt>
                <c:pt idx="5">
                  <c:v>11.271000000000001</c:v>
                </c:pt>
                <c:pt idx="6">
                  <c:v>11.347</c:v>
                </c:pt>
                <c:pt idx="7">
                  <c:v>11.423</c:v>
                </c:pt>
                <c:pt idx="8">
                  <c:v>11.500999999999999</c:v>
                </c:pt>
                <c:pt idx="9">
                  <c:v>11.58</c:v>
                </c:pt>
                <c:pt idx="10">
                  <c:v>11.661</c:v>
                </c:pt>
                <c:pt idx="11">
                  <c:v>11.747999999999999</c:v>
                </c:pt>
              </c:numCache>
            </c:numRef>
          </c:xVal>
          <c:yVal>
            <c:numRef>
              <c:f>'ds Manual Calculations'!$AK$210:$AK$221</c:f>
              <c:numCache>
                <c:formatCode>General</c:formatCode>
                <c:ptCount val="12"/>
                <c:pt idx="0">
                  <c:v>0.32369999999999999</c:v>
                </c:pt>
                <c:pt idx="1">
                  <c:v>0.32490000000000002</c:v>
                </c:pt>
                <c:pt idx="2">
                  <c:v>0.32479999999999998</c:v>
                </c:pt>
                <c:pt idx="3">
                  <c:v>0.3236</c:v>
                </c:pt>
                <c:pt idx="4">
                  <c:v>0.32179999999999997</c:v>
                </c:pt>
                <c:pt idx="5">
                  <c:v>0.3206</c:v>
                </c:pt>
                <c:pt idx="6">
                  <c:v>0.31480000000000002</c:v>
                </c:pt>
                <c:pt idx="7">
                  <c:v>0.30959999999999999</c:v>
                </c:pt>
                <c:pt idx="8">
                  <c:v>0.3049</c:v>
                </c:pt>
                <c:pt idx="9">
                  <c:v>0.30209999999999998</c:v>
                </c:pt>
                <c:pt idx="10">
                  <c:v>0.29849999999999999</c:v>
                </c:pt>
                <c:pt idx="11">
                  <c:v>0.28660000000000002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BD-4CFB-864C-C7DB598E0214}"/>
            </c:ext>
          </c:extLst>
        </c:ser>
        <c:ser>
          <c:idx val="1"/>
          <c:order val="1"/>
          <c:tx>
            <c:v>E3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'ds Manual Calculations'!$N$210:$N$221</c:f>
              <c:numCache>
                <c:formatCode>General</c:formatCode>
                <c:ptCount val="12"/>
                <c:pt idx="0">
                  <c:v>11.711</c:v>
                </c:pt>
                <c:pt idx="1">
                  <c:v>11.669</c:v>
                </c:pt>
                <c:pt idx="2">
                  <c:v>11.590999999999999</c:v>
                </c:pt>
                <c:pt idx="3">
                  <c:v>11.492000000000001</c:v>
                </c:pt>
                <c:pt idx="4">
                  <c:v>11.396000000000001</c:v>
                </c:pt>
                <c:pt idx="5">
                  <c:v>11.302</c:v>
                </c:pt>
                <c:pt idx="6">
                  <c:v>11.208</c:v>
                </c:pt>
                <c:pt idx="7">
                  <c:v>11.115</c:v>
                </c:pt>
                <c:pt idx="8">
                  <c:v>11.02</c:v>
                </c:pt>
                <c:pt idx="9">
                  <c:v>10.923</c:v>
                </c:pt>
                <c:pt idx="10">
                  <c:v>10.821999999999999</c:v>
                </c:pt>
                <c:pt idx="11">
                  <c:v>10.769</c:v>
                </c:pt>
              </c:numCache>
            </c:numRef>
          </c:xVal>
          <c:yVal>
            <c:numRef>
              <c:f>'ds Manual Calculations'!$H$210:$H$221</c:f>
              <c:numCache>
                <c:formatCode>General</c:formatCode>
                <c:ptCount val="12"/>
                <c:pt idx="0">
                  <c:v>0.32100000000000001</c:v>
                </c:pt>
                <c:pt idx="1">
                  <c:v>0.32600000000000001</c:v>
                </c:pt>
                <c:pt idx="2">
                  <c:v>0.33200000000000002</c:v>
                </c:pt>
                <c:pt idx="3">
                  <c:v>0.34100000000000003</c:v>
                </c:pt>
                <c:pt idx="4">
                  <c:v>0.34799999999999998</c:v>
                </c:pt>
                <c:pt idx="5">
                  <c:v>0.35299999999999998</c:v>
                </c:pt>
                <c:pt idx="6">
                  <c:v>0.35699999999999998</c:v>
                </c:pt>
                <c:pt idx="7">
                  <c:v>0.35899999999999999</c:v>
                </c:pt>
                <c:pt idx="8">
                  <c:v>0.36</c:v>
                </c:pt>
                <c:pt idx="9">
                  <c:v>0.35899999999999999</c:v>
                </c:pt>
                <c:pt idx="10">
                  <c:v>0.35699999999999998</c:v>
                </c:pt>
                <c:pt idx="11">
                  <c:v>0.35499999999999998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CBD-4CFB-864C-C7DB598E0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153839"/>
        <c:axId val="1661155087"/>
      </c:scatterChart>
      <c:valAx>
        <c:axId val="166115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5087"/>
        <c:crosses val="autoZero"/>
        <c:crossBetween val="midCat"/>
      </c:valAx>
      <c:valAx>
        <c:axId val="166115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Mach Number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OTAC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'ds Manual Calculations'!$AW$223:$AW$234</c:f>
              <c:numCache>
                <c:formatCode>General</c:formatCode>
                <c:ptCount val="12"/>
                <c:pt idx="0">
                  <c:v>10.874000000000001</c:v>
                </c:pt>
                <c:pt idx="1">
                  <c:v>10.95</c:v>
                </c:pt>
                <c:pt idx="2">
                  <c:v>11.021000000000001</c:v>
                </c:pt>
                <c:pt idx="3">
                  <c:v>11.087999999999999</c:v>
                </c:pt>
                <c:pt idx="4">
                  <c:v>11.153</c:v>
                </c:pt>
                <c:pt idx="5">
                  <c:v>11.218</c:v>
                </c:pt>
                <c:pt idx="6">
                  <c:v>11.282999999999999</c:v>
                </c:pt>
                <c:pt idx="7">
                  <c:v>11.35</c:v>
                </c:pt>
                <c:pt idx="8">
                  <c:v>11.419</c:v>
                </c:pt>
                <c:pt idx="9">
                  <c:v>11.493</c:v>
                </c:pt>
                <c:pt idx="10">
                  <c:v>11.574</c:v>
                </c:pt>
                <c:pt idx="11">
                  <c:v>11.678000000000001</c:v>
                </c:pt>
              </c:numCache>
            </c:numRef>
          </c:xVal>
          <c:yVal>
            <c:numRef>
              <c:f>'ds Manual Calculations'!$AK$223:$AK$234</c:f>
              <c:numCache>
                <c:formatCode>General</c:formatCode>
                <c:ptCount val="12"/>
                <c:pt idx="0">
                  <c:v>0.50870000000000004</c:v>
                </c:pt>
                <c:pt idx="1">
                  <c:v>0.50380000000000003</c:v>
                </c:pt>
                <c:pt idx="2">
                  <c:v>0.49890000000000001</c:v>
                </c:pt>
                <c:pt idx="3">
                  <c:v>0.49430000000000002</c:v>
                </c:pt>
                <c:pt idx="4">
                  <c:v>0.48980000000000001</c:v>
                </c:pt>
                <c:pt idx="5">
                  <c:v>0.48670000000000002</c:v>
                </c:pt>
                <c:pt idx="6">
                  <c:v>0.48159999999999997</c:v>
                </c:pt>
                <c:pt idx="7">
                  <c:v>0.47739999999999999</c:v>
                </c:pt>
                <c:pt idx="8">
                  <c:v>0.47420000000000001</c:v>
                </c:pt>
                <c:pt idx="9">
                  <c:v>0.47249999999999998</c:v>
                </c:pt>
                <c:pt idx="10">
                  <c:v>0.47039999999999998</c:v>
                </c:pt>
                <c:pt idx="11">
                  <c:v>0.46250000000000002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DB0-43CB-84D6-AB1765446E20}"/>
            </c:ext>
          </c:extLst>
        </c:ser>
        <c:ser>
          <c:idx val="1"/>
          <c:order val="1"/>
          <c:tx>
            <c:v>E3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'ds Manual Calculations'!$N$223:$N$234</c:f>
              <c:numCache>
                <c:formatCode>General</c:formatCode>
                <c:ptCount val="12"/>
                <c:pt idx="0">
                  <c:v>11.669</c:v>
                </c:pt>
                <c:pt idx="1">
                  <c:v>11.621</c:v>
                </c:pt>
                <c:pt idx="2">
                  <c:v>11.54</c:v>
                </c:pt>
                <c:pt idx="3">
                  <c:v>11.445</c:v>
                </c:pt>
                <c:pt idx="4">
                  <c:v>11.351000000000001</c:v>
                </c:pt>
                <c:pt idx="5">
                  <c:v>11.272</c:v>
                </c:pt>
                <c:pt idx="6">
                  <c:v>11.189</c:v>
                </c:pt>
                <c:pt idx="7">
                  <c:v>11.105</c:v>
                </c:pt>
                <c:pt idx="8">
                  <c:v>11.02</c:v>
                </c:pt>
                <c:pt idx="9">
                  <c:v>10.93</c:v>
                </c:pt>
                <c:pt idx="10">
                  <c:v>10.833</c:v>
                </c:pt>
                <c:pt idx="11">
                  <c:v>10.778</c:v>
                </c:pt>
              </c:numCache>
            </c:numRef>
          </c:xVal>
          <c:yVal>
            <c:numRef>
              <c:f>'ds Manual Calculations'!$H$223:$H$234</c:f>
              <c:numCache>
                <c:formatCode>General</c:formatCode>
                <c:ptCount val="12"/>
                <c:pt idx="0">
                  <c:v>0.46700000000000003</c:v>
                </c:pt>
                <c:pt idx="1">
                  <c:v>0.47</c:v>
                </c:pt>
                <c:pt idx="2">
                  <c:v>0.47299999999999998</c:v>
                </c:pt>
                <c:pt idx="3">
                  <c:v>0.47699999999999998</c:v>
                </c:pt>
                <c:pt idx="4">
                  <c:v>0.48</c:v>
                </c:pt>
                <c:pt idx="5">
                  <c:v>0.48399999999999999</c:v>
                </c:pt>
                <c:pt idx="6">
                  <c:v>0.48799999999999999</c:v>
                </c:pt>
                <c:pt idx="7">
                  <c:v>0.49299999999999999</c:v>
                </c:pt>
                <c:pt idx="8">
                  <c:v>0.499</c:v>
                </c:pt>
                <c:pt idx="9">
                  <c:v>0.505</c:v>
                </c:pt>
                <c:pt idx="10">
                  <c:v>0.51200000000000001</c:v>
                </c:pt>
                <c:pt idx="11">
                  <c:v>0.51600000000000001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DB0-43CB-84D6-AB1765446E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153839"/>
        <c:axId val="1661155087"/>
      </c:scatterChart>
      <c:valAx>
        <c:axId val="166115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5087"/>
        <c:crosses val="autoZero"/>
        <c:crossBetween val="midCat"/>
      </c:valAx>
      <c:valAx>
        <c:axId val="166115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Mach Number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OTAC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'ds Manual Calculations'!$AW$236:$AW$247</c:f>
              <c:numCache>
                <c:formatCode>General</c:formatCode>
                <c:ptCount val="12"/>
                <c:pt idx="0">
                  <c:v>10.865</c:v>
                </c:pt>
                <c:pt idx="1">
                  <c:v>10.935</c:v>
                </c:pt>
                <c:pt idx="2">
                  <c:v>11.004</c:v>
                </c:pt>
                <c:pt idx="3">
                  <c:v>11.071999999999999</c:v>
                </c:pt>
                <c:pt idx="4">
                  <c:v>11.14</c:v>
                </c:pt>
                <c:pt idx="5">
                  <c:v>11.208</c:v>
                </c:pt>
                <c:pt idx="6">
                  <c:v>11.276</c:v>
                </c:pt>
                <c:pt idx="7">
                  <c:v>11.345000000000001</c:v>
                </c:pt>
                <c:pt idx="8">
                  <c:v>11.414</c:v>
                </c:pt>
                <c:pt idx="9">
                  <c:v>11.484</c:v>
                </c:pt>
                <c:pt idx="10">
                  <c:v>11.557</c:v>
                </c:pt>
                <c:pt idx="11">
                  <c:v>11.637</c:v>
                </c:pt>
              </c:numCache>
            </c:numRef>
          </c:xVal>
          <c:yVal>
            <c:numRef>
              <c:f>'ds Manual Calculations'!$AK$236:$AK$247</c:f>
              <c:numCache>
                <c:formatCode>General</c:formatCode>
                <c:ptCount val="12"/>
                <c:pt idx="0">
                  <c:v>0.29409999999999997</c:v>
                </c:pt>
                <c:pt idx="1">
                  <c:v>0.29470000000000002</c:v>
                </c:pt>
                <c:pt idx="2">
                  <c:v>0.29399999999999998</c:v>
                </c:pt>
                <c:pt idx="3">
                  <c:v>0.29260000000000003</c:v>
                </c:pt>
                <c:pt idx="4">
                  <c:v>0.29060000000000002</c:v>
                </c:pt>
                <c:pt idx="5">
                  <c:v>0.28949999999999998</c:v>
                </c:pt>
                <c:pt idx="6">
                  <c:v>0.28399999999999997</c:v>
                </c:pt>
                <c:pt idx="7">
                  <c:v>0.28129999999999999</c:v>
                </c:pt>
                <c:pt idx="8">
                  <c:v>0.28220000000000001</c:v>
                </c:pt>
                <c:pt idx="9">
                  <c:v>0.27529999999999999</c:v>
                </c:pt>
                <c:pt idx="10">
                  <c:v>0.27129999999999999</c:v>
                </c:pt>
                <c:pt idx="11">
                  <c:v>0.25829999999999997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92B-4359-85DF-C7B4C75E0EE0}"/>
            </c:ext>
          </c:extLst>
        </c:ser>
        <c:ser>
          <c:idx val="1"/>
          <c:order val="1"/>
          <c:tx>
            <c:v>E3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'ds Manual Calculations'!$N$236:$N$247</c:f>
              <c:numCache>
                <c:formatCode>0.000</c:formatCode>
                <c:ptCount val="12"/>
                <c:pt idx="0">
                  <c:v>11.618</c:v>
                </c:pt>
                <c:pt idx="1">
                  <c:v>11.58</c:v>
                </c:pt>
                <c:pt idx="2">
                  <c:v>11.51</c:v>
                </c:pt>
                <c:pt idx="3">
                  <c:v>11.420999999999999</c:v>
                </c:pt>
                <c:pt idx="4">
                  <c:v>11.343999999999999</c:v>
                </c:pt>
                <c:pt idx="5">
                  <c:v>11.25</c:v>
                </c:pt>
                <c:pt idx="6">
                  <c:v>11.166</c:v>
                </c:pt>
                <c:pt idx="7">
                  <c:v>11.082000000000001</c:v>
                </c:pt>
                <c:pt idx="8">
                  <c:v>10.997</c:v>
                </c:pt>
                <c:pt idx="9">
                  <c:v>10.91</c:v>
                </c:pt>
                <c:pt idx="10">
                  <c:v>10.819000000000001</c:v>
                </c:pt>
                <c:pt idx="11">
                  <c:v>10.771000000000001</c:v>
                </c:pt>
              </c:numCache>
            </c:numRef>
          </c:xVal>
          <c:yVal>
            <c:numRef>
              <c:f>'ds Manual Calculations'!$H$236:$H$247</c:f>
              <c:numCache>
                <c:formatCode>General</c:formatCode>
                <c:ptCount val="12"/>
                <c:pt idx="0">
                  <c:v>0.29399999999999998</c:v>
                </c:pt>
                <c:pt idx="1">
                  <c:v>0.29899999999999999</c:v>
                </c:pt>
                <c:pt idx="2">
                  <c:v>0.30499999999999999</c:v>
                </c:pt>
                <c:pt idx="3">
                  <c:v>0.313</c:v>
                </c:pt>
                <c:pt idx="4">
                  <c:v>0.32</c:v>
                </c:pt>
                <c:pt idx="5">
                  <c:v>0.32500000000000001</c:v>
                </c:pt>
                <c:pt idx="6">
                  <c:v>0.32900000000000001</c:v>
                </c:pt>
                <c:pt idx="7">
                  <c:v>0.33</c:v>
                </c:pt>
                <c:pt idx="8">
                  <c:v>0.33100000000000002</c:v>
                </c:pt>
                <c:pt idx="9">
                  <c:v>0.33</c:v>
                </c:pt>
                <c:pt idx="10">
                  <c:v>0.32700000000000001</c:v>
                </c:pt>
                <c:pt idx="11">
                  <c:v>0.32600000000000001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92B-4359-85DF-C7B4C75E0E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153839"/>
        <c:axId val="1661155087"/>
      </c:scatterChart>
      <c:valAx>
        <c:axId val="166115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5087"/>
        <c:crosses val="autoZero"/>
        <c:crossBetween val="midCat"/>
      </c:valAx>
      <c:valAx>
        <c:axId val="166115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kern="1200" spc="0" baseline="0">
                <a:solidFill>
                  <a:srgbClr val="595959"/>
                </a:solidFill>
                <a:effectLst/>
              </a:rPr>
              <a:t>Mach Number 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OTAC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'ds Manual Calculations'!$AW$249:$AW$260</c:f>
              <c:numCache>
                <c:formatCode>General</c:formatCode>
                <c:ptCount val="12"/>
                <c:pt idx="0">
                  <c:v>10.866</c:v>
                </c:pt>
                <c:pt idx="1">
                  <c:v>10.935</c:v>
                </c:pt>
                <c:pt idx="2">
                  <c:v>10.999000000000001</c:v>
                </c:pt>
                <c:pt idx="3">
                  <c:v>11.06</c:v>
                </c:pt>
                <c:pt idx="4">
                  <c:v>11.119</c:v>
                </c:pt>
                <c:pt idx="5">
                  <c:v>11.178000000000001</c:v>
                </c:pt>
                <c:pt idx="6">
                  <c:v>11.236000000000001</c:v>
                </c:pt>
                <c:pt idx="7">
                  <c:v>11.295999999999999</c:v>
                </c:pt>
                <c:pt idx="8">
                  <c:v>11.356</c:v>
                </c:pt>
                <c:pt idx="9">
                  <c:v>11.420999999999999</c:v>
                </c:pt>
                <c:pt idx="10">
                  <c:v>11.493</c:v>
                </c:pt>
                <c:pt idx="11">
                  <c:v>11.585000000000001</c:v>
                </c:pt>
              </c:numCache>
            </c:numRef>
          </c:xVal>
          <c:yVal>
            <c:numRef>
              <c:f>'ds Manual Calculations'!$AK$249:$AK$260</c:f>
              <c:numCache>
                <c:formatCode>General</c:formatCode>
                <c:ptCount val="12"/>
                <c:pt idx="0">
                  <c:v>0.47389999999999999</c:v>
                </c:pt>
                <c:pt idx="1">
                  <c:v>0.46949999999999997</c:v>
                </c:pt>
                <c:pt idx="2">
                  <c:v>0.4652</c:v>
                </c:pt>
                <c:pt idx="3">
                  <c:v>0.4612</c:v>
                </c:pt>
                <c:pt idx="4">
                  <c:v>0.45750000000000002</c:v>
                </c:pt>
                <c:pt idx="5">
                  <c:v>0.45519999999999999</c:v>
                </c:pt>
                <c:pt idx="6">
                  <c:v>0.45100000000000001</c:v>
                </c:pt>
                <c:pt idx="7">
                  <c:v>0.44929999999999998</c:v>
                </c:pt>
                <c:pt idx="8">
                  <c:v>0.45040000000000002</c:v>
                </c:pt>
                <c:pt idx="9">
                  <c:v>0.44679999999999997</c:v>
                </c:pt>
                <c:pt idx="10">
                  <c:v>0.44519999999999998</c:v>
                </c:pt>
                <c:pt idx="11">
                  <c:v>0.43790000000000001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8D7-417A-95A5-1CB04EB342DF}"/>
            </c:ext>
          </c:extLst>
        </c:ser>
        <c:ser>
          <c:idx val="1"/>
          <c:order val="1"/>
          <c:tx>
            <c:v>E3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'ds Manual Calculations'!$N$249:$N$260</c:f>
              <c:numCache>
                <c:formatCode>General</c:formatCode>
                <c:ptCount val="12"/>
                <c:pt idx="0">
                  <c:v>11.577</c:v>
                </c:pt>
                <c:pt idx="1">
                  <c:v>11.534000000000001</c:v>
                </c:pt>
                <c:pt idx="2">
                  <c:v>11.462</c:v>
                </c:pt>
                <c:pt idx="3">
                  <c:v>11.378</c:v>
                </c:pt>
                <c:pt idx="4">
                  <c:v>11.298999999999999</c:v>
                </c:pt>
                <c:pt idx="5">
                  <c:v>11.224</c:v>
                </c:pt>
                <c:pt idx="6">
                  <c:v>11.148999999999999</c:v>
                </c:pt>
                <c:pt idx="7">
                  <c:v>11.074</c:v>
                </c:pt>
                <c:pt idx="8">
                  <c:v>10.997</c:v>
                </c:pt>
                <c:pt idx="9">
                  <c:v>10.916</c:v>
                </c:pt>
                <c:pt idx="10">
                  <c:v>10.827</c:v>
                </c:pt>
                <c:pt idx="11">
                  <c:v>10.778</c:v>
                </c:pt>
              </c:numCache>
            </c:numRef>
          </c:xVal>
          <c:yVal>
            <c:numRef>
              <c:f>'ds Manual Calculations'!$H$249:$H$260</c:f>
              <c:numCache>
                <c:formatCode>General</c:formatCode>
                <c:ptCount val="12"/>
                <c:pt idx="0">
                  <c:v>0.44600000000000001</c:v>
                </c:pt>
                <c:pt idx="1">
                  <c:v>0.44800000000000001</c:v>
                </c:pt>
                <c:pt idx="2">
                  <c:v>0.45</c:v>
                </c:pt>
                <c:pt idx="3">
                  <c:v>0.45300000000000001</c:v>
                </c:pt>
                <c:pt idx="4">
                  <c:v>0.45500000000000002</c:v>
                </c:pt>
                <c:pt idx="5">
                  <c:v>0.45700000000000002</c:v>
                </c:pt>
                <c:pt idx="6">
                  <c:v>0.46100000000000002</c:v>
                </c:pt>
                <c:pt idx="7">
                  <c:v>0.46400000000000002</c:v>
                </c:pt>
                <c:pt idx="8">
                  <c:v>0.46899999999999997</c:v>
                </c:pt>
                <c:pt idx="9">
                  <c:v>0.47299999999999998</c:v>
                </c:pt>
                <c:pt idx="10">
                  <c:v>0.47899999999999998</c:v>
                </c:pt>
                <c:pt idx="11">
                  <c:v>0.48199999999999998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8D7-417A-95A5-1CB04EB342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153839"/>
        <c:axId val="1661155087"/>
      </c:scatterChart>
      <c:valAx>
        <c:axId val="166115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5087"/>
        <c:crosses val="autoZero"/>
        <c:crossBetween val="midCat"/>
      </c:valAx>
      <c:valAx>
        <c:axId val="166115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Mach Number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OTAC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'ds Manual Calculations'!$AW$262:$AW$273</c:f>
              <c:numCache>
                <c:formatCode>General</c:formatCode>
                <c:ptCount val="12"/>
                <c:pt idx="0">
                  <c:v>10.843</c:v>
                </c:pt>
                <c:pt idx="1">
                  <c:v>10.909000000000001</c:v>
                </c:pt>
                <c:pt idx="2">
                  <c:v>10.973000000000001</c:v>
                </c:pt>
                <c:pt idx="3">
                  <c:v>11.037000000000001</c:v>
                </c:pt>
                <c:pt idx="4">
                  <c:v>11.101000000000001</c:v>
                </c:pt>
                <c:pt idx="5">
                  <c:v>11.164999999999999</c:v>
                </c:pt>
                <c:pt idx="6">
                  <c:v>11.228999999999999</c:v>
                </c:pt>
                <c:pt idx="7">
                  <c:v>11.294</c:v>
                </c:pt>
                <c:pt idx="8">
                  <c:v>11.356999999999999</c:v>
                </c:pt>
                <c:pt idx="9">
                  <c:v>11.422000000000001</c:v>
                </c:pt>
                <c:pt idx="10">
                  <c:v>11.487</c:v>
                </c:pt>
                <c:pt idx="11">
                  <c:v>11.558</c:v>
                </c:pt>
              </c:numCache>
            </c:numRef>
          </c:xVal>
          <c:yVal>
            <c:numRef>
              <c:f>'ds Manual Calculations'!$AK$262:$AK$273</c:f>
              <c:numCache>
                <c:formatCode>General</c:formatCode>
                <c:ptCount val="12"/>
                <c:pt idx="0">
                  <c:v>0.24759999999999999</c:v>
                </c:pt>
                <c:pt idx="1">
                  <c:v>0.24990000000000001</c:v>
                </c:pt>
                <c:pt idx="2">
                  <c:v>0.25</c:v>
                </c:pt>
                <c:pt idx="3">
                  <c:v>0.24929999999999999</c:v>
                </c:pt>
                <c:pt idx="4">
                  <c:v>0.248</c:v>
                </c:pt>
                <c:pt idx="5">
                  <c:v>0.24809999999999999</c:v>
                </c:pt>
                <c:pt idx="6">
                  <c:v>0.24349999999999999</c:v>
                </c:pt>
                <c:pt idx="7">
                  <c:v>0.24249999999999999</c:v>
                </c:pt>
                <c:pt idx="8">
                  <c:v>0.246</c:v>
                </c:pt>
                <c:pt idx="9">
                  <c:v>0.2404</c:v>
                </c:pt>
                <c:pt idx="10">
                  <c:v>0.23780000000000001</c:v>
                </c:pt>
                <c:pt idx="11">
                  <c:v>0.22409999999999999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4B-4759-B44A-EB85D6C7503D}"/>
            </c:ext>
          </c:extLst>
        </c:ser>
        <c:ser>
          <c:idx val="1"/>
          <c:order val="1"/>
          <c:tx>
            <c:v>E3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'ds Manual Calculations'!$N$262:$N$273</c:f>
              <c:numCache>
                <c:formatCode>0.000</c:formatCode>
                <c:ptCount val="12"/>
                <c:pt idx="0">
                  <c:v>11.552</c:v>
                </c:pt>
                <c:pt idx="1">
                  <c:v>11.519</c:v>
                </c:pt>
                <c:pt idx="2">
                  <c:v>11.457000000000001</c:v>
                </c:pt>
                <c:pt idx="3">
                  <c:v>11.375999999999999</c:v>
                </c:pt>
                <c:pt idx="4">
                  <c:v>11.295999999999999</c:v>
                </c:pt>
                <c:pt idx="5">
                  <c:v>11.217000000000001</c:v>
                </c:pt>
                <c:pt idx="6">
                  <c:v>11.138</c:v>
                </c:pt>
                <c:pt idx="7">
                  <c:v>11.058999999999999</c:v>
                </c:pt>
                <c:pt idx="8">
                  <c:v>10.978999999999999</c:v>
                </c:pt>
                <c:pt idx="9">
                  <c:v>10.897</c:v>
                </c:pt>
                <c:pt idx="10">
                  <c:v>10.813000000000001</c:v>
                </c:pt>
                <c:pt idx="11">
                  <c:v>10.77</c:v>
                </c:pt>
              </c:numCache>
            </c:numRef>
          </c:xVal>
          <c:yVal>
            <c:numRef>
              <c:f>'ds Manual Calculations'!$H$262:$H$273</c:f>
              <c:numCache>
                <c:formatCode>General</c:formatCode>
                <c:ptCount val="12"/>
                <c:pt idx="0">
                  <c:v>0.26300000000000001</c:v>
                </c:pt>
                <c:pt idx="1">
                  <c:v>0.26500000000000001</c:v>
                </c:pt>
                <c:pt idx="2">
                  <c:v>0.26900000000000002</c:v>
                </c:pt>
                <c:pt idx="3">
                  <c:v>0.27400000000000002</c:v>
                </c:pt>
                <c:pt idx="4">
                  <c:v>0.27800000000000002</c:v>
                </c:pt>
                <c:pt idx="5">
                  <c:v>0.28199999999999997</c:v>
                </c:pt>
                <c:pt idx="6">
                  <c:v>0.28299999999999997</c:v>
                </c:pt>
                <c:pt idx="7">
                  <c:v>0.28299999999999997</c:v>
                </c:pt>
                <c:pt idx="8">
                  <c:v>0.28199999999999997</c:v>
                </c:pt>
                <c:pt idx="9">
                  <c:v>0.28100000000000003</c:v>
                </c:pt>
                <c:pt idx="10">
                  <c:v>0.27800000000000002</c:v>
                </c:pt>
                <c:pt idx="11">
                  <c:v>0.27600000000000002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14B-4759-B44A-EB85D6C750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153839"/>
        <c:axId val="1661155087"/>
      </c:scatterChart>
      <c:valAx>
        <c:axId val="166115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5087"/>
        <c:crosses val="autoZero"/>
        <c:crossBetween val="midCat"/>
      </c:valAx>
      <c:valAx>
        <c:axId val="166115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Alpha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OTAC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'ds Manual Calculations'!$AV$2:$AV$13</c:f>
              <c:numCache>
                <c:formatCode>General</c:formatCode>
                <c:ptCount val="12"/>
                <c:pt idx="0">
                  <c:v>7.2249999999999996</c:v>
                </c:pt>
                <c:pt idx="1">
                  <c:v>8.02</c:v>
                </c:pt>
                <c:pt idx="2">
                  <c:v>8.7460000000000004</c:v>
                </c:pt>
                <c:pt idx="3">
                  <c:v>9.4190000000000005</c:v>
                </c:pt>
                <c:pt idx="4">
                  <c:v>10.050000000000001</c:v>
                </c:pt>
                <c:pt idx="5">
                  <c:v>10.647</c:v>
                </c:pt>
                <c:pt idx="6">
                  <c:v>11.215</c:v>
                </c:pt>
                <c:pt idx="7">
                  <c:v>11.757999999999999</c:v>
                </c:pt>
                <c:pt idx="8">
                  <c:v>12.282</c:v>
                </c:pt>
                <c:pt idx="9">
                  <c:v>12.787000000000001</c:v>
                </c:pt>
                <c:pt idx="10">
                  <c:v>13.278</c:v>
                </c:pt>
                <c:pt idx="11">
                  <c:v>13.756</c:v>
                </c:pt>
              </c:numCache>
            </c:numRef>
          </c:xVal>
          <c:yVal>
            <c:numRef>
              <c:f>'ds Manual Calculations'!$AN$2:$AN$13</c:f>
              <c:numCache>
                <c:formatCode>General</c:formatCode>
                <c:ptCount val="12"/>
                <c:pt idx="0">
                  <c:v>3.82</c:v>
                </c:pt>
                <c:pt idx="1">
                  <c:v>6.35</c:v>
                </c:pt>
                <c:pt idx="2">
                  <c:v>8.0299999999999994</c:v>
                </c:pt>
                <c:pt idx="3">
                  <c:v>9.24</c:v>
                </c:pt>
                <c:pt idx="4">
                  <c:v>10.23</c:v>
                </c:pt>
                <c:pt idx="5">
                  <c:v>11.06</c:v>
                </c:pt>
                <c:pt idx="6">
                  <c:v>11.77</c:v>
                </c:pt>
                <c:pt idx="7">
                  <c:v>12.42</c:v>
                </c:pt>
                <c:pt idx="8">
                  <c:v>13.04</c:v>
                </c:pt>
                <c:pt idx="9">
                  <c:v>13.64</c:v>
                </c:pt>
                <c:pt idx="10">
                  <c:v>14.22</c:v>
                </c:pt>
                <c:pt idx="11">
                  <c:v>14.75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34D-4FB2-B591-E6088957B293}"/>
            </c:ext>
          </c:extLst>
        </c:ser>
        <c:ser>
          <c:idx val="1"/>
          <c:order val="1"/>
          <c:tx>
            <c:v>E3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'ds Manual Calculations'!$N$2:$N$13</c:f>
              <c:numCache>
                <c:formatCode>General</c:formatCode>
                <c:ptCount val="12"/>
                <c:pt idx="0">
                  <c:v>13.992000000000001</c:v>
                </c:pt>
                <c:pt idx="1">
                  <c:v>13.576000000000001</c:v>
                </c:pt>
                <c:pt idx="2">
                  <c:v>13.162000000000001</c:v>
                </c:pt>
                <c:pt idx="3">
                  <c:v>12.601000000000001</c:v>
                </c:pt>
                <c:pt idx="4">
                  <c:v>12.021000000000001</c:v>
                </c:pt>
                <c:pt idx="5">
                  <c:v>11.414</c:v>
                </c:pt>
                <c:pt idx="6">
                  <c:v>10.771000000000001</c:v>
                </c:pt>
                <c:pt idx="7">
                  <c:v>10.083</c:v>
                </c:pt>
                <c:pt idx="8">
                  <c:v>9.3320000000000007</c:v>
                </c:pt>
                <c:pt idx="9">
                  <c:v>8.4849999999999994</c:v>
                </c:pt>
                <c:pt idx="10">
                  <c:v>7.4560000000000004</c:v>
                </c:pt>
                <c:pt idx="11">
                  <c:v>6.806</c:v>
                </c:pt>
              </c:numCache>
            </c:numRef>
          </c:xVal>
          <c:yVal>
            <c:numRef>
              <c:f>'ds Manual Calculations'!$O$2:$O$13</c:f>
              <c:numCache>
                <c:formatCode>0.00</c:formatCode>
                <c:ptCount val="12"/>
                <c:pt idx="0">
                  <c:v>15</c:v>
                </c:pt>
                <c:pt idx="1">
                  <c:v>14.55</c:v>
                </c:pt>
                <c:pt idx="2">
                  <c:v>14.06</c:v>
                </c:pt>
                <c:pt idx="3">
                  <c:v>13.36</c:v>
                </c:pt>
                <c:pt idx="4">
                  <c:v>12.63</c:v>
                </c:pt>
                <c:pt idx="5">
                  <c:v>11.88</c:v>
                </c:pt>
                <c:pt idx="6">
                  <c:v>11.03</c:v>
                </c:pt>
                <c:pt idx="7">
                  <c:v>10.029999999999999</c:v>
                </c:pt>
                <c:pt idx="8">
                  <c:v>8.7899999999999991</c:v>
                </c:pt>
                <c:pt idx="9">
                  <c:v>7.14</c:v>
                </c:pt>
                <c:pt idx="10">
                  <c:v>4.38</c:v>
                </c:pt>
                <c:pt idx="11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34D-4FB2-B591-E6088957B2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9953887"/>
        <c:axId val="1709960959"/>
      </c:scatterChart>
      <c:valAx>
        <c:axId val="1709953887"/>
        <c:scaling>
          <c:orientation val="minMax"/>
          <c:min val="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960959"/>
        <c:crosses val="autoZero"/>
        <c:crossBetween val="midCat"/>
      </c:valAx>
      <c:valAx>
        <c:axId val="170996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9538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OTAC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'ds Manual Calculations'!$AV$15:$AV$26</c:f>
              <c:numCache>
                <c:formatCode>General</c:formatCode>
                <c:ptCount val="12"/>
                <c:pt idx="0">
                  <c:v>8.2650000000000006</c:v>
                </c:pt>
                <c:pt idx="1">
                  <c:v>8.7639999999999993</c:v>
                </c:pt>
                <c:pt idx="2">
                  <c:v>9.2409999999999997</c:v>
                </c:pt>
                <c:pt idx="3">
                  <c:v>9.6999999999999993</c:v>
                </c:pt>
                <c:pt idx="4">
                  <c:v>10.145</c:v>
                </c:pt>
                <c:pt idx="5">
                  <c:v>10.581</c:v>
                </c:pt>
                <c:pt idx="6">
                  <c:v>11.009</c:v>
                </c:pt>
                <c:pt idx="7">
                  <c:v>11.433999999999999</c:v>
                </c:pt>
                <c:pt idx="8">
                  <c:v>11.856999999999999</c:v>
                </c:pt>
                <c:pt idx="9">
                  <c:v>12.286</c:v>
                </c:pt>
                <c:pt idx="10">
                  <c:v>12.731999999999999</c:v>
                </c:pt>
                <c:pt idx="11">
                  <c:v>13.249000000000001</c:v>
                </c:pt>
              </c:numCache>
            </c:numRef>
          </c:xVal>
          <c:yVal>
            <c:numRef>
              <c:f>'ds Manual Calculations'!$AN$15:$AN$26</c:f>
              <c:numCache>
                <c:formatCode>General</c:formatCode>
                <c:ptCount val="12"/>
                <c:pt idx="0">
                  <c:v>48.94</c:v>
                </c:pt>
                <c:pt idx="1">
                  <c:v>48.84</c:v>
                </c:pt>
                <c:pt idx="2">
                  <c:v>48.73</c:v>
                </c:pt>
                <c:pt idx="3">
                  <c:v>48.76</c:v>
                </c:pt>
                <c:pt idx="4">
                  <c:v>48.97</c:v>
                </c:pt>
                <c:pt idx="5">
                  <c:v>49.33</c:v>
                </c:pt>
                <c:pt idx="6">
                  <c:v>49.81</c:v>
                </c:pt>
                <c:pt idx="7">
                  <c:v>50.5</c:v>
                </c:pt>
                <c:pt idx="8">
                  <c:v>51.46</c:v>
                </c:pt>
                <c:pt idx="9">
                  <c:v>52.99</c:v>
                </c:pt>
                <c:pt idx="10">
                  <c:v>55.94</c:v>
                </c:pt>
                <c:pt idx="11">
                  <c:v>63.46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96D-49DE-BF25-92261C57A554}"/>
            </c:ext>
          </c:extLst>
        </c:ser>
        <c:ser>
          <c:idx val="1"/>
          <c:order val="1"/>
          <c:tx>
            <c:v>E3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'ds Manual Calculations'!$N$15:$N$26</c:f>
              <c:numCache>
                <c:formatCode>General</c:formatCode>
                <c:ptCount val="12"/>
                <c:pt idx="0">
                  <c:v>13.535</c:v>
                </c:pt>
                <c:pt idx="1">
                  <c:v>13.122999999999999</c:v>
                </c:pt>
                <c:pt idx="2">
                  <c:v>12.743</c:v>
                </c:pt>
                <c:pt idx="3">
                  <c:v>12.246</c:v>
                </c:pt>
                <c:pt idx="4">
                  <c:v>11.746</c:v>
                </c:pt>
                <c:pt idx="5">
                  <c:v>11.234999999999999</c:v>
                </c:pt>
                <c:pt idx="6">
                  <c:v>10.711</c:v>
                </c:pt>
                <c:pt idx="7">
                  <c:v>10.167999999999999</c:v>
                </c:pt>
                <c:pt idx="8">
                  <c:v>9.6029999999999998</c:v>
                </c:pt>
                <c:pt idx="9">
                  <c:v>9.0060000000000002</c:v>
                </c:pt>
                <c:pt idx="10">
                  <c:v>8.359</c:v>
                </c:pt>
                <c:pt idx="11">
                  <c:v>8.0090000000000003</c:v>
                </c:pt>
              </c:numCache>
            </c:numRef>
          </c:xVal>
          <c:yVal>
            <c:numRef>
              <c:f>'ds Manual Calculations'!$P$15:$P$26</c:f>
              <c:numCache>
                <c:formatCode>0.00</c:formatCode>
                <c:ptCount val="12"/>
                <c:pt idx="0">
                  <c:v>28.35</c:v>
                </c:pt>
                <c:pt idx="1">
                  <c:v>31.78</c:v>
                </c:pt>
                <c:pt idx="2">
                  <c:v>33.72</c:v>
                </c:pt>
                <c:pt idx="3">
                  <c:v>36.21</c:v>
                </c:pt>
                <c:pt idx="4">
                  <c:v>39.01</c:v>
                </c:pt>
                <c:pt idx="5">
                  <c:v>42.24</c:v>
                </c:pt>
                <c:pt idx="6">
                  <c:v>45.98</c:v>
                </c:pt>
                <c:pt idx="7">
                  <c:v>50.38</c:v>
                </c:pt>
                <c:pt idx="8">
                  <c:v>55.66</c:v>
                </c:pt>
                <c:pt idx="9">
                  <c:v>62.46</c:v>
                </c:pt>
                <c:pt idx="10">
                  <c:v>71.81</c:v>
                </c:pt>
                <c:pt idx="11">
                  <c:v>78.099999999999994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96D-49DE-BF25-92261C57A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9953887"/>
        <c:axId val="1709960959"/>
      </c:scatterChart>
      <c:valAx>
        <c:axId val="1709953887"/>
        <c:scaling>
          <c:orientation val="minMax"/>
          <c:min val="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960959"/>
        <c:crosses val="autoZero"/>
        <c:crossBetween val="midCat"/>
      </c:valAx>
      <c:valAx>
        <c:axId val="170996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9538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Alpha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OTAC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'ds Manual Calculations'!$AV$28:$AV$39</c:f>
              <c:numCache>
                <c:formatCode>General</c:formatCode>
                <c:ptCount val="12"/>
                <c:pt idx="0">
                  <c:v>8.7799999999999994</c:v>
                </c:pt>
                <c:pt idx="1">
                  <c:v>9.2439999999999998</c:v>
                </c:pt>
                <c:pt idx="2">
                  <c:v>9.6780000000000008</c:v>
                </c:pt>
                <c:pt idx="3">
                  <c:v>10.093</c:v>
                </c:pt>
                <c:pt idx="4">
                  <c:v>10.494999999999999</c:v>
                </c:pt>
                <c:pt idx="5">
                  <c:v>10.885999999999999</c:v>
                </c:pt>
                <c:pt idx="6">
                  <c:v>11.268000000000001</c:v>
                </c:pt>
                <c:pt idx="7">
                  <c:v>11.644</c:v>
                </c:pt>
                <c:pt idx="8">
                  <c:v>12.013999999999999</c:v>
                </c:pt>
                <c:pt idx="9">
                  <c:v>12.38</c:v>
                </c:pt>
                <c:pt idx="10">
                  <c:v>12.744999999999999</c:v>
                </c:pt>
                <c:pt idx="11">
                  <c:v>13.118</c:v>
                </c:pt>
              </c:numCache>
            </c:numRef>
          </c:xVal>
          <c:yVal>
            <c:numRef>
              <c:f>'ds Manual Calculations'!$AN$28:$AN$39</c:f>
              <c:numCache>
                <c:formatCode>General</c:formatCode>
                <c:ptCount val="12"/>
                <c:pt idx="0">
                  <c:v>14.77</c:v>
                </c:pt>
                <c:pt idx="1">
                  <c:v>13.31</c:v>
                </c:pt>
                <c:pt idx="2">
                  <c:v>12.61</c:v>
                </c:pt>
                <c:pt idx="3">
                  <c:v>12.55</c:v>
                </c:pt>
                <c:pt idx="4">
                  <c:v>12.91</c:v>
                </c:pt>
                <c:pt idx="5">
                  <c:v>13.38</c:v>
                </c:pt>
                <c:pt idx="6">
                  <c:v>13.9</c:v>
                </c:pt>
                <c:pt idx="7">
                  <c:v>14.42</c:v>
                </c:pt>
                <c:pt idx="8">
                  <c:v>14.96</c:v>
                </c:pt>
                <c:pt idx="9">
                  <c:v>15.6</c:v>
                </c:pt>
                <c:pt idx="10">
                  <c:v>17.079999999999998</c:v>
                </c:pt>
                <c:pt idx="11">
                  <c:v>21.4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CC8-4B90-ACDF-C780BF0931E4}"/>
            </c:ext>
          </c:extLst>
        </c:ser>
        <c:ser>
          <c:idx val="1"/>
          <c:order val="1"/>
          <c:tx>
            <c:v>E3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'ds Manual Calculations'!$N$28:$N$39</c:f>
              <c:numCache>
                <c:formatCode>0.000</c:formatCode>
                <c:ptCount val="12"/>
                <c:pt idx="0">
                  <c:v>13.3082867782893</c:v>
                </c:pt>
                <c:pt idx="1">
                  <c:v>12.95908401020438</c:v>
                </c:pt>
                <c:pt idx="2">
                  <c:v>12.626022520012901</c:v>
                </c:pt>
                <c:pt idx="3">
                  <c:v>12.190601706594727</c:v>
                </c:pt>
                <c:pt idx="4">
                  <c:v>11.754393513767116</c:v>
                </c:pt>
                <c:pt idx="5">
                  <c:v>11.312279975368735</c:v>
                </c:pt>
                <c:pt idx="6">
                  <c:v>10.86071788405712</c:v>
                </c:pt>
                <c:pt idx="7">
                  <c:v>10.395376653080374</c:v>
                </c:pt>
                <c:pt idx="8">
                  <c:v>9.910744626572443</c:v>
                </c:pt>
                <c:pt idx="9">
                  <c:v>9.3993417001436814</c:v>
                </c:pt>
                <c:pt idx="10">
                  <c:v>8.8438455267864988</c:v>
                </c:pt>
                <c:pt idx="11">
                  <c:v>8.5403107644488756</c:v>
                </c:pt>
              </c:numCache>
            </c:numRef>
          </c:xVal>
          <c:yVal>
            <c:numRef>
              <c:f>'ds Manual Calculations'!$O$28:$O$39</c:f>
              <c:numCache>
                <c:formatCode>General</c:formatCode>
                <c:ptCount val="12"/>
                <c:pt idx="0">
                  <c:v>24.9</c:v>
                </c:pt>
                <c:pt idx="1">
                  <c:v>19.96</c:v>
                </c:pt>
                <c:pt idx="2">
                  <c:v>17.12</c:v>
                </c:pt>
                <c:pt idx="3">
                  <c:v>15.45</c:v>
                </c:pt>
                <c:pt idx="4">
                  <c:v>14.8</c:v>
                </c:pt>
                <c:pt idx="5">
                  <c:v>14.16</c:v>
                </c:pt>
                <c:pt idx="6">
                  <c:v>13.51</c:v>
                </c:pt>
                <c:pt idx="7">
                  <c:v>12.92</c:v>
                </c:pt>
                <c:pt idx="8">
                  <c:v>12.47</c:v>
                </c:pt>
                <c:pt idx="9">
                  <c:v>12.71</c:v>
                </c:pt>
                <c:pt idx="10">
                  <c:v>14.31</c:v>
                </c:pt>
                <c:pt idx="11">
                  <c:v>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CC8-4B90-ACDF-C780BF0931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9953887"/>
        <c:axId val="1709960959"/>
      </c:scatterChart>
      <c:valAx>
        <c:axId val="1709953887"/>
        <c:scaling>
          <c:orientation val="minMax"/>
          <c:min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960959"/>
        <c:crosses val="autoZero"/>
        <c:crossBetween val="midCat"/>
      </c:valAx>
      <c:valAx>
        <c:axId val="170996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9538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OTAC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'ds Manual Calculations'!$AV$41:$AV$52</c:f>
              <c:numCache>
                <c:formatCode>General</c:formatCode>
                <c:ptCount val="12"/>
                <c:pt idx="0">
                  <c:v>9.4779999999999998</c:v>
                </c:pt>
                <c:pt idx="1">
                  <c:v>9.8190000000000008</c:v>
                </c:pt>
                <c:pt idx="2">
                  <c:v>10.138</c:v>
                </c:pt>
                <c:pt idx="3">
                  <c:v>10.445</c:v>
                </c:pt>
                <c:pt idx="4">
                  <c:v>10.746</c:v>
                </c:pt>
                <c:pt idx="5">
                  <c:v>11.044</c:v>
                </c:pt>
                <c:pt idx="6">
                  <c:v>11.340999999999999</c:v>
                </c:pt>
                <c:pt idx="7">
                  <c:v>11.638</c:v>
                </c:pt>
                <c:pt idx="8">
                  <c:v>11.936999999999999</c:v>
                </c:pt>
                <c:pt idx="9">
                  <c:v>12.239000000000001</c:v>
                </c:pt>
                <c:pt idx="10">
                  <c:v>12.554</c:v>
                </c:pt>
                <c:pt idx="11">
                  <c:v>12.916</c:v>
                </c:pt>
              </c:numCache>
            </c:numRef>
          </c:xVal>
          <c:yVal>
            <c:numRef>
              <c:f>'ds Manual Calculations'!$AN$41:$AN$52</c:f>
              <c:numCache>
                <c:formatCode>General</c:formatCode>
                <c:ptCount val="12"/>
                <c:pt idx="0">
                  <c:v>53.58</c:v>
                </c:pt>
                <c:pt idx="1">
                  <c:v>51.24</c:v>
                </c:pt>
                <c:pt idx="2">
                  <c:v>49.85</c:v>
                </c:pt>
                <c:pt idx="3">
                  <c:v>49.38</c:v>
                </c:pt>
                <c:pt idx="4">
                  <c:v>49.48</c:v>
                </c:pt>
                <c:pt idx="5">
                  <c:v>49.79</c:v>
                </c:pt>
                <c:pt idx="6">
                  <c:v>50.31</c:v>
                </c:pt>
                <c:pt idx="7">
                  <c:v>50.92</c:v>
                </c:pt>
                <c:pt idx="8">
                  <c:v>51.68</c:v>
                </c:pt>
                <c:pt idx="9">
                  <c:v>52.9</c:v>
                </c:pt>
                <c:pt idx="10">
                  <c:v>55.45</c:v>
                </c:pt>
                <c:pt idx="11">
                  <c:v>62.64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158-4C8C-BFE3-AA3E6AE20A22}"/>
            </c:ext>
          </c:extLst>
        </c:ser>
        <c:ser>
          <c:idx val="1"/>
          <c:order val="1"/>
          <c:tx>
            <c:v>E3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'ds Manual Calculations'!$N$41:$N$52</c:f>
              <c:numCache>
                <c:formatCode>General</c:formatCode>
                <c:ptCount val="12"/>
                <c:pt idx="0">
                  <c:v>13.117000000000001</c:v>
                </c:pt>
                <c:pt idx="1">
                  <c:v>12.792999999999999</c:v>
                </c:pt>
                <c:pt idx="2">
                  <c:v>12.506</c:v>
                </c:pt>
                <c:pt idx="3">
                  <c:v>12.141</c:v>
                </c:pt>
                <c:pt idx="4">
                  <c:v>11.78</c:v>
                </c:pt>
                <c:pt idx="5">
                  <c:v>11.417999999999999</c:v>
                </c:pt>
                <c:pt idx="6">
                  <c:v>11.054</c:v>
                </c:pt>
                <c:pt idx="7">
                  <c:v>10.686</c:v>
                </c:pt>
                <c:pt idx="8">
                  <c:v>10.311</c:v>
                </c:pt>
                <c:pt idx="9">
                  <c:v>9.9269999999999996</c:v>
                </c:pt>
                <c:pt idx="10">
                  <c:v>9.5190000000000001</c:v>
                </c:pt>
                <c:pt idx="11">
                  <c:v>9.3010000000000002</c:v>
                </c:pt>
              </c:numCache>
            </c:numRef>
          </c:xVal>
          <c:yVal>
            <c:numRef>
              <c:f>'ds Manual Calculations'!$O$41:$O$52</c:f>
              <c:numCache>
                <c:formatCode>General</c:formatCode>
                <c:ptCount val="12"/>
                <c:pt idx="0">
                  <c:v>61.4</c:v>
                </c:pt>
                <c:pt idx="1">
                  <c:v>57.49</c:v>
                </c:pt>
                <c:pt idx="2">
                  <c:v>55.36</c:v>
                </c:pt>
                <c:pt idx="3">
                  <c:v>53.02</c:v>
                </c:pt>
                <c:pt idx="4">
                  <c:v>50.65</c:v>
                </c:pt>
                <c:pt idx="5">
                  <c:v>47.95</c:v>
                </c:pt>
                <c:pt idx="6">
                  <c:v>44.93</c:v>
                </c:pt>
                <c:pt idx="7">
                  <c:v>41.5</c:v>
                </c:pt>
                <c:pt idx="8">
                  <c:v>37.58</c:v>
                </c:pt>
                <c:pt idx="9">
                  <c:v>32.74</c:v>
                </c:pt>
                <c:pt idx="10">
                  <c:v>25.92</c:v>
                </c:pt>
                <c:pt idx="11">
                  <c:v>21.37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158-4C8C-BFE3-AA3E6AE20A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9953887"/>
        <c:axId val="1709960959"/>
      </c:scatterChart>
      <c:valAx>
        <c:axId val="1709953887"/>
        <c:scaling>
          <c:orientation val="minMax"/>
          <c:min val="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960959"/>
        <c:crosses val="autoZero"/>
        <c:crossBetween val="midCat"/>
      </c:valAx>
      <c:valAx>
        <c:axId val="170996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9538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Alpha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OTAC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'ds Manual Calculations'!$AV$54:$AV$65</c:f>
              <c:numCache>
                <c:formatCode>General</c:formatCode>
                <c:ptCount val="12"/>
                <c:pt idx="0">
                  <c:v>9.8179999999999996</c:v>
                </c:pt>
                <c:pt idx="1">
                  <c:v>10.125999999999999</c:v>
                </c:pt>
                <c:pt idx="2">
                  <c:v>10.417</c:v>
                </c:pt>
                <c:pt idx="3">
                  <c:v>10.698</c:v>
                </c:pt>
                <c:pt idx="4">
                  <c:v>10.973000000000001</c:v>
                </c:pt>
                <c:pt idx="5">
                  <c:v>11.243</c:v>
                </c:pt>
                <c:pt idx="6">
                  <c:v>11.510999999999999</c:v>
                </c:pt>
                <c:pt idx="7">
                  <c:v>11.776</c:v>
                </c:pt>
                <c:pt idx="8">
                  <c:v>12.039</c:v>
                </c:pt>
                <c:pt idx="9">
                  <c:v>12.302</c:v>
                </c:pt>
                <c:pt idx="10">
                  <c:v>12.566000000000001</c:v>
                </c:pt>
                <c:pt idx="11">
                  <c:v>12.84</c:v>
                </c:pt>
              </c:numCache>
            </c:numRef>
          </c:xVal>
          <c:yVal>
            <c:numRef>
              <c:f>'ds Manual Calculations'!$AN$54:$AN$65</c:f>
              <c:numCache>
                <c:formatCode>General</c:formatCode>
                <c:ptCount val="12"/>
                <c:pt idx="0">
                  <c:v>21.74</c:v>
                </c:pt>
                <c:pt idx="1">
                  <c:v>18.510000000000002</c:v>
                </c:pt>
                <c:pt idx="2">
                  <c:v>16.72</c:v>
                </c:pt>
                <c:pt idx="3">
                  <c:v>15.96</c:v>
                </c:pt>
                <c:pt idx="4">
                  <c:v>15.78</c:v>
                </c:pt>
                <c:pt idx="5">
                  <c:v>15.79</c:v>
                </c:pt>
                <c:pt idx="6">
                  <c:v>15.79</c:v>
                </c:pt>
                <c:pt idx="7">
                  <c:v>15.83</c:v>
                </c:pt>
                <c:pt idx="8">
                  <c:v>15.99</c:v>
                </c:pt>
                <c:pt idx="9">
                  <c:v>16.53</c:v>
                </c:pt>
                <c:pt idx="10">
                  <c:v>18.079999999999998</c:v>
                </c:pt>
                <c:pt idx="11">
                  <c:v>23.5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1AA-476F-94F5-B2A4C39CDCE8}"/>
            </c:ext>
          </c:extLst>
        </c:ser>
        <c:ser>
          <c:idx val="1"/>
          <c:order val="1"/>
          <c:tx>
            <c:v>E3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'ds Manual Calculations'!$N$54:$N$65</c:f>
              <c:numCache>
                <c:formatCode>0.000</c:formatCode>
                <c:ptCount val="12"/>
                <c:pt idx="0">
                  <c:v>12.981</c:v>
                </c:pt>
                <c:pt idx="1">
                  <c:v>12.721</c:v>
                </c:pt>
                <c:pt idx="2">
                  <c:v>12.477</c:v>
                </c:pt>
                <c:pt idx="3">
                  <c:v>12.16</c:v>
                </c:pt>
                <c:pt idx="4">
                  <c:v>11.846</c:v>
                </c:pt>
                <c:pt idx="5">
                  <c:v>11.53</c:v>
                </c:pt>
                <c:pt idx="6">
                  <c:v>11.21</c:v>
                </c:pt>
                <c:pt idx="7">
                  <c:v>10.887</c:v>
                </c:pt>
                <c:pt idx="8">
                  <c:v>10.557</c:v>
                </c:pt>
                <c:pt idx="9">
                  <c:v>10.217000000000001</c:v>
                </c:pt>
                <c:pt idx="10">
                  <c:v>9.8550000000000004</c:v>
                </c:pt>
                <c:pt idx="11">
                  <c:v>9.66</c:v>
                </c:pt>
              </c:numCache>
            </c:numRef>
          </c:xVal>
          <c:yVal>
            <c:numRef>
              <c:f>'ds Manual Calculations'!$O$54:$O$65</c:f>
              <c:numCache>
                <c:formatCode>General</c:formatCode>
                <c:ptCount val="12"/>
                <c:pt idx="0">
                  <c:v>28</c:v>
                </c:pt>
                <c:pt idx="1">
                  <c:v>21.3</c:v>
                </c:pt>
                <c:pt idx="2">
                  <c:v>17.88</c:v>
                </c:pt>
                <c:pt idx="3">
                  <c:v>16.23</c:v>
                </c:pt>
                <c:pt idx="4">
                  <c:v>15.87</c:v>
                </c:pt>
                <c:pt idx="5">
                  <c:v>15.79</c:v>
                </c:pt>
                <c:pt idx="6">
                  <c:v>15.79</c:v>
                </c:pt>
                <c:pt idx="7">
                  <c:v>15.78</c:v>
                </c:pt>
                <c:pt idx="8">
                  <c:v>16.04</c:v>
                </c:pt>
                <c:pt idx="9">
                  <c:v>17.420000000000002</c:v>
                </c:pt>
                <c:pt idx="10">
                  <c:v>21.14</c:v>
                </c:pt>
                <c:pt idx="11">
                  <c:v>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1AA-476F-94F5-B2A4C39CDC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9953887"/>
        <c:axId val="1709960959"/>
      </c:scatterChart>
      <c:valAx>
        <c:axId val="1709953887"/>
        <c:scaling>
          <c:orientation val="minMax"/>
          <c:min val="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960959"/>
        <c:crosses val="autoZero"/>
        <c:crossBetween val="midCat"/>
      </c:valAx>
      <c:valAx>
        <c:axId val="170996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9538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OTAC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'ds Manual Calculations'!$AV$67:$AV$78</c:f>
              <c:numCache>
                <c:formatCode>General</c:formatCode>
                <c:ptCount val="12"/>
                <c:pt idx="0">
                  <c:v>10.177</c:v>
                </c:pt>
                <c:pt idx="1">
                  <c:v>10.436</c:v>
                </c:pt>
                <c:pt idx="2">
                  <c:v>10.672000000000001</c:v>
                </c:pt>
                <c:pt idx="3">
                  <c:v>10.898</c:v>
                </c:pt>
                <c:pt idx="4">
                  <c:v>11.118</c:v>
                </c:pt>
                <c:pt idx="5">
                  <c:v>11.335000000000001</c:v>
                </c:pt>
                <c:pt idx="6">
                  <c:v>11.55</c:v>
                </c:pt>
                <c:pt idx="7">
                  <c:v>11.765000000000001</c:v>
                </c:pt>
                <c:pt idx="8">
                  <c:v>11.981</c:v>
                </c:pt>
                <c:pt idx="9">
                  <c:v>12.199</c:v>
                </c:pt>
                <c:pt idx="10">
                  <c:v>12.426</c:v>
                </c:pt>
                <c:pt idx="11">
                  <c:v>12.688000000000001</c:v>
                </c:pt>
              </c:numCache>
            </c:numRef>
          </c:xVal>
          <c:yVal>
            <c:numRef>
              <c:f>'ds Manual Calculations'!$AN$67:$AN$78</c:f>
              <c:numCache>
                <c:formatCode>General</c:formatCode>
                <c:ptCount val="12"/>
                <c:pt idx="0">
                  <c:v>57.46</c:v>
                </c:pt>
                <c:pt idx="1">
                  <c:v>53.53</c:v>
                </c:pt>
                <c:pt idx="2">
                  <c:v>51.47</c:v>
                </c:pt>
                <c:pt idx="3">
                  <c:v>50.45</c:v>
                </c:pt>
                <c:pt idx="4">
                  <c:v>50.06</c:v>
                </c:pt>
                <c:pt idx="5">
                  <c:v>50.03</c:v>
                </c:pt>
                <c:pt idx="6">
                  <c:v>50.04</c:v>
                </c:pt>
                <c:pt idx="7">
                  <c:v>50.25</c:v>
                </c:pt>
                <c:pt idx="8">
                  <c:v>50.69</c:v>
                </c:pt>
                <c:pt idx="9">
                  <c:v>51.72</c:v>
                </c:pt>
                <c:pt idx="10">
                  <c:v>54.16</c:v>
                </c:pt>
                <c:pt idx="11">
                  <c:v>62.08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405-4077-BCDB-A4DCA01F5C10}"/>
            </c:ext>
          </c:extLst>
        </c:ser>
        <c:ser>
          <c:idx val="1"/>
          <c:order val="1"/>
          <c:tx>
            <c:v>E3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'ds Manual Calculations'!$N$67:$N$78</c:f>
              <c:numCache>
                <c:formatCode>0.000</c:formatCode>
                <c:ptCount val="12"/>
                <c:pt idx="0">
                  <c:v>12.835000000000001</c:v>
                </c:pt>
                <c:pt idx="1">
                  <c:v>12.590999999999999</c:v>
                </c:pt>
                <c:pt idx="2">
                  <c:v>12.377000000000001</c:v>
                </c:pt>
                <c:pt idx="3">
                  <c:v>12.11</c:v>
                </c:pt>
                <c:pt idx="4">
                  <c:v>11.848000000000001</c:v>
                </c:pt>
                <c:pt idx="5">
                  <c:v>11.586</c:v>
                </c:pt>
                <c:pt idx="6">
                  <c:v>11.321</c:v>
                </c:pt>
                <c:pt idx="7">
                  <c:v>11.054</c:v>
                </c:pt>
                <c:pt idx="8">
                  <c:v>10.785</c:v>
                </c:pt>
                <c:pt idx="9">
                  <c:v>10.507</c:v>
                </c:pt>
                <c:pt idx="10">
                  <c:v>10.208</c:v>
                </c:pt>
                <c:pt idx="11">
                  <c:v>10.041</c:v>
                </c:pt>
              </c:numCache>
            </c:numRef>
          </c:xVal>
          <c:yVal>
            <c:numRef>
              <c:f>'ds Manual Calculations'!$O$67:$O$78</c:f>
              <c:numCache>
                <c:formatCode>General</c:formatCode>
                <c:ptCount val="12"/>
                <c:pt idx="0">
                  <c:v>58.52</c:v>
                </c:pt>
                <c:pt idx="1">
                  <c:v>55.17</c:v>
                </c:pt>
                <c:pt idx="2">
                  <c:v>53.26</c:v>
                </c:pt>
                <c:pt idx="3">
                  <c:v>51.53</c:v>
                </c:pt>
                <c:pt idx="4">
                  <c:v>49.81</c:v>
                </c:pt>
                <c:pt idx="5">
                  <c:v>47.74</c:v>
                </c:pt>
                <c:pt idx="6">
                  <c:v>45.35</c:v>
                </c:pt>
                <c:pt idx="7">
                  <c:v>42.63</c:v>
                </c:pt>
                <c:pt idx="8">
                  <c:v>39.520000000000003</c:v>
                </c:pt>
                <c:pt idx="9">
                  <c:v>35.57</c:v>
                </c:pt>
                <c:pt idx="10">
                  <c:v>29.71</c:v>
                </c:pt>
                <c:pt idx="11">
                  <c:v>25.56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405-4077-BCDB-A4DCA01F5C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9953887"/>
        <c:axId val="1709960959"/>
      </c:scatterChart>
      <c:valAx>
        <c:axId val="1709953887"/>
        <c:scaling>
          <c:orientation val="minMax"/>
          <c:min val="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960959"/>
        <c:crosses val="autoZero"/>
        <c:crossBetween val="midCat"/>
      </c:valAx>
      <c:valAx>
        <c:axId val="170996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9538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Alpha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OTAC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'ds Manual Calculations'!$AV$80:$AV$91</c:f>
              <c:numCache>
                <c:formatCode>General</c:formatCode>
                <c:ptCount val="12"/>
                <c:pt idx="0">
                  <c:v>10.362</c:v>
                </c:pt>
                <c:pt idx="1">
                  <c:v>10.583</c:v>
                </c:pt>
                <c:pt idx="2">
                  <c:v>10.792999999999999</c:v>
                </c:pt>
                <c:pt idx="3">
                  <c:v>10.997</c:v>
                </c:pt>
                <c:pt idx="4">
                  <c:v>11.198</c:v>
                </c:pt>
                <c:pt idx="5">
                  <c:v>11.397</c:v>
                </c:pt>
                <c:pt idx="6">
                  <c:v>11.595000000000001</c:v>
                </c:pt>
                <c:pt idx="7">
                  <c:v>11.792999999999999</c:v>
                </c:pt>
                <c:pt idx="8">
                  <c:v>11.99</c:v>
                </c:pt>
                <c:pt idx="9">
                  <c:v>12.188000000000001</c:v>
                </c:pt>
                <c:pt idx="10">
                  <c:v>12.387</c:v>
                </c:pt>
                <c:pt idx="11">
                  <c:v>12.595000000000001</c:v>
                </c:pt>
              </c:numCache>
            </c:numRef>
          </c:xVal>
          <c:yVal>
            <c:numRef>
              <c:f>'ds Manual Calculations'!$AN$80:$AN$91</c:f>
              <c:numCache>
                <c:formatCode>General</c:formatCode>
                <c:ptCount val="12"/>
                <c:pt idx="0">
                  <c:v>24.88</c:v>
                </c:pt>
                <c:pt idx="1">
                  <c:v>20.52</c:v>
                </c:pt>
                <c:pt idx="2">
                  <c:v>18.649999999999999</c:v>
                </c:pt>
                <c:pt idx="3">
                  <c:v>18.100000000000001</c:v>
                </c:pt>
                <c:pt idx="4">
                  <c:v>18.07</c:v>
                </c:pt>
                <c:pt idx="5">
                  <c:v>18.100000000000001</c:v>
                </c:pt>
                <c:pt idx="6">
                  <c:v>18.100000000000001</c:v>
                </c:pt>
                <c:pt idx="7">
                  <c:v>18.07</c:v>
                </c:pt>
                <c:pt idx="8">
                  <c:v>18.14</c:v>
                </c:pt>
                <c:pt idx="9">
                  <c:v>18.71</c:v>
                </c:pt>
                <c:pt idx="10">
                  <c:v>20.47</c:v>
                </c:pt>
                <c:pt idx="11">
                  <c:v>26.11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B4C-45E4-B6C0-BA5B20F05C1E}"/>
            </c:ext>
          </c:extLst>
        </c:ser>
        <c:ser>
          <c:idx val="1"/>
          <c:order val="1"/>
          <c:tx>
            <c:v>E3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'ds Manual Calculations'!$N$80:$N$91</c:f>
              <c:numCache>
                <c:formatCode>General</c:formatCode>
                <c:ptCount val="12"/>
                <c:pt idx="0">
                  <c:v>12.702999999999999</c:v>
                </c:pt>
                <c:pt idx="1">
                  <c:v>12.500999999999999</c:v>
                </c:pt>
                <c:pt idx="2">
                  <c:v>12.317</c:v>
                </c:pt>
                <c:pt idx="3">
                  <c:v>12.08</c:v>
                </c:pt>
                <c:pt idx="4">
                  <c:v>11.846</c:v>
                </c:pt>
                <c:pt idx="5">
                  <c:v>11.611000000000001</c:v>
                </c:pt>
                <c:pt idx="6">
                  <c:v>11.375999999999999</c:v>
                </c:pt>
                <c:pt idx="7">
                  <c:v>11.138999999999999</c:v>
                </c:pt>
                <c:pt idx="8">
                  <c:v>10.898</c:v>
                </c:pt>
                <c:pt idx="9">
                  <c:v>10.651999999999999</c:v>
                </c:pt>
                <c:pt idx="10">
                  <c:v>10.39</c:v>
                </c:pt>
                <c:pt idx="11">
                  <c:v>10.247999999999999</c:v>
                </c:pt>
              </c:numCache>
            </c:numRef>
          </c:xVal>
          <c:yVal>
            <c:numRef>
              <c:f>'ds Manual Calculations'!$O$80:$O$91</c:f>
              <c:numCache>
                <c:formatCode>General</c:formatCode>
                <c:ptCount val="12"/>
                <c:pt idx="0">
                  <c:v>30.6</c:v>
                </c:pt>
                <c:pt idx="1">
                  <c:v>23.56</c:v>
                </c:pt>
                <c:pt idx="2">
                  <c:v>19.96</c:v>
                </c:pt>
                <c:pt idx="3">
                  <c:v>18.239999999999998</c:v>
                </c:pt>
                <c:pt idx="4">
                  <c:v>18.05</c:v>
                </c:pt>
                <c:pt idx="5">
                  <c:v>18.100000000000001</c:v>
                </c:pt>
                <c:pt idx="6">
                  <c:v>18.100000000000001</c:v>
                </c:pt>
                <c:pt idx="7">
                  <c:v>18.059999999999999</c:v>
                </c:pt>
                <c:pt idx="8">
                  <c:v>18.13</c:v>
                </c:pt>
                <c:pt idx="9">
                  <c:v>19.48</c:v>
                </c:pt>
                <c:pt idx="10">
                  <c:v>24.22</c:v>
                </c:pt>
                <c:pt idx="11">
                  <c:v>28.5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B4C-45E4-B6C0-BA5B20F05C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9953887"/>
        <c:axId val="1709960959"/>
      </c:scatterChart>
      <c:valAx>
        <c:axId val="1709953887"/>
        <c:scaling>
          <c:orientation val="minMax"/>
          <c:min val="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960959"/>
        <c:crosses val="autoZero"/>
        <c:crossBetween val="midCat"/>
      </c:valAx>
      <c:valAx>
        <c:axId val="170996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9538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OTAC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'ds Manual Calculations'!$AV$93:$AV$104</c:f>
              <c:numCache>
                <c:formatCode>General</c:formatCode>
                <c:ptCount val="12"/>
                <c:pt idx="0">
                  <c:v>10.528</c:v>
                </c:pt>
                <c:pt idx="1">
                  <c:v>10.725</c:v>
                </c:pt>
                <c:pt idx="2">
                  <c:v>10.901999999999999</c:v>
                </c:pt>
                <c:pt idx="3">
                  <c:v>11.071999999999999</c:v>
                </c:pt>
                <c:pt idx="4">
                  <c:v>11.239000000000001</c:v>
                </c:pt>
                <c:pt idx="5">
                  <c:v>11.404</c:v>
                </c:pt>
                <c:pt idx="6">
                  <c:v>11.57</c:v>
                </c:pt>
                <c:pt idx="7">
                  <c:v>11.734999999999999</c:v>
                </c:pt>
                <c:pt idx="8">
                  <c:v>11.901999999999999</c:v>
                </c:pt>
                <c:pt idx="9">
                  <c:v>12.071</c:v>
                </c:pt>
                <c:pt idx="10">
                  <c:v>12.247</c:v>
                </c:pt>
                <c:pt idx="11">
                  <c:v>12.455</c:v>
                </c:pt>
              </c:numCache>
            </c:numRef>
          </c:xVal>
          <c:yVal>
            <c:numRef>
              <c:f>'ds Manual Calculations'!$AN$93:$AN$104</c:f>
              <c:numCache>
                <c:formatCode>General</c:formatCode>
                <c:ptCount val="12"/>
                <c:pt idx="0">
                  <c:v>58.85</c:v>
                </c:pt>
                <c:pt idx="1">
                  <c:v>53.78</c:v>
                </c:pt>
                <c:pt idx="2">
                  <c:v>51.46</c:v>
                </c:pt>
                <c:pt idx="3">
                  <c:v>50.6</c:v>
                </c:pt>
                <c:pt idx="4">
                  <c:v>50.46</c:v>
                </c:pt>
                <c:pt idx="5">
                  <c:v>50.5</c:v>
                </c:pt>
                <c:pt idx="6">
                  <c:v>50.6</c:v>
                </c:pt>
                <c:pt idx="7">
                  <c:v>50.77</c:v>
                </c:pt>
                <c:pt idx="8">
                  <c:v>51.19</c:v>
                </c:pt>
                <c:pt idx="9">
                  <c:v>52.31</c:v>
                </c:pt>
                <c:pt idx="10">
                  <c:v>55</c:v>
                </c:pt>
                <c:pt idx="11">
                  <c:v>63.09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AF9-4D83-A93B-D052F7D6FD6D}"/>
            </c:ext>
          </c:extLst>
        </c:ser>
        <c:ser>
          <c:idx val="1"/>
          <c:order val="1"/>
          <c:tx>
            <c:v>E3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'ds Manual Calculations'!$N$93:$N$104</c:f>
              <c:numCache>
                <c:formatCode>General</c:formatCode>
                <c:ptCount val="12"/>
                <c:pt idx="0">
                  <c:v>12.571999999999999</c:v>
                </c:pt>
                <c:pt idx="1">
                  <c:v>12.377000000000001</c:v>
                </c:pt>
                <c:pt idx="2">
                  <c:v>12.21</c:v>
                </c:pt>
                <c:pt idx="3">
                  <c:v>12.002000000000001</c:v>
                </c:pt>
                <c:pt idx="4">
                  <c:v>11.798</c:v>
                </c:pt>
                <c:pt idx="5">
                  <c:v>11.595000000000001</c:v>
                </c:pt>
                <c:pt idx="6">
                  <c:v>11.391999999999999</c:v>
                </c:pt>
                <c:pt idx="7">
                  <c:v>11.189</c:v>
                </c:pt>
                <c:pt idx="8">
                  <c:v>10.984999999999999</c:v>
                </c:pt>
                <c:pt idx="9">
                  <c:v>10.776</c:v>
                </c:pt>
                <c:pt idx="10">
                  <c:v>10.551</c:v>
                </c:pt>
                <c:pt idx="11">
                  <c:v>10.422000000000001</c:v>
                </c:pt>
              </c:numCache>
            </c:numRef>
          </c:xVal>
          <c:yVal>
            <c:numRef>
              <c:f>'ds Manual Calculations'!$O$93:$O$104</c:f>
              <c:numCache>
                <c:formatCode>0.00</c:formatCode>
                <c:ptCount val="12"/>
                <c:pt idx="0">
                  <c:v>56.48</c:v>
                </c:pt>
                <c:pt idx="1">
                  <c:v>52.79</c:v>
                </c:pt>
                <c:pt idx="2">
                  <c:v>51.29</c:v>
                </c:pt>
                <c:pt idx="3">
                  <c:v>49.75</c:v>
                </c:pt>
                <c:pt idx="4">
                  <c:v>48.12</c:v>
                </c:pt>
                <c:pt idx="5">
                  <c:v>46.27</c:v>
                </c:pt>
                <c:pt idx="6">
                  <c:v>44.22</c:v>
                </c:pt>
                <c:pt idx="7">
                  <c:v>41.92</c:v>
                </c:pt>
                <c:pt idx="8">
                  <c:v>39.33</c:v>
                </c:pt>
                <c:pt idx="9">
                  <c:v>36.03</c:v>
                </c:pt>
                <c:pt idx="10">
                  <c:v>31.18</c:v>
                </c:pt>
                <c:pt idx="11">
                  <c:v>27.67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AF9-4D83-A93B-D052F7D6FD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153839"/>
        <c:axId val="1661155087"/>
      </c:scatterChart>
      <c:valAx>
        <c:axId val="1661153839"/>
        <c:scaling>
          <c:orientation val="minMax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5087"/>
        <c:crosses val="autoZero"/>
        <c:crossBetween val="midCat"/>
      </c:valAx>
      <c:valAx>
        <c:axId val="166115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Alpha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OTAC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'ds Manual Calculations'!$AV$119:$AV$130</c:f>
              <c:numCache>
                <c:formatCode>General</c:formatCode>
                <c:ptCount val="12"/>
                <c:pt idx="0">
                  <c:v>10.696999999999999</c:v>
                </c:pt>
                <c:pt idx="1">
                  <c:v>10.856</c:v>
                </c:pt>
                <c:pt idx="2">
                  <c:v>11.007</c:v>
                </c:pt>
                <c:pt idx="3">
                  <c:v>11.154</c:v>
                </c:pt>
                <c:pt idx="4">
                  <c:v>11.297000000000001</c:v>
                </c:pt>
                <c:pt idx="5">
                  <c:v>11.438000000000001</c:v>
                </c:pt>
                <c:pt idx="6">
                  <c:v>11.579000000000001</c:v>
                </c:pt>
                <c:pt idx="7">
                  <c:v>11.718999999999999</c:v>
                </c:pt>
                <c:pt idx="8">
                  <c:v>11.859</c:v>
                </c:pt>
                <c:pt idx="9">
                  <c:v>11.999000000000001</c:v>
                </c:pt>
                <c:pt idx="10">
                  <c:v>12.14</c:v>
                </c:pt>
                <c:pt idx="11">
                  <c:v>12.284000000000001</c:v>
                </c:pt>
              </c:numCache>
            </c:numRef>
          </c:xVal>
          <c:yVal>
            <c:numRef>
              <c:f>'ds Manual Calculations'!$AN$106:$AN$117</c:f>
              <c:numCache>
                <c:formatCode>General</c:formatCode>
                <c:ptCount val="12"/>
                <c:pt idx="0">
                  <c:v>3.61</c:v>
                </c:pt>
                <c:pt idx="1">
                  <c:v>2.27</c:v>
                </c:pt>
                <c:pt idx="2">
                  <c:v>1.52</c:v>
                </c:pt>
                <c:pt idx="3">
                  <c:v>0.89</c:v>
                </c:pt>
                <c:pt idx="4">
                  <c:v>0.3</c:v>
                </c:pt>
                <c:pt idx="5">
                  <c:v>-0.3</c:v>
                </c:pt>
                <c:pt idx="6">
                  <c:v>-0.87</c:v>
                </c:pt>
                <c:pt idx="7">
                  <c:v>-1.41</c:v>
                </c:pt>
                <c:pt idx="8">
                  <c:v>-1.93</c:v>
                </c:pt>
                <c:pt idx="9">
                  <c:v>-2.44</c:v>
                </c:pt>
                <c:pt idx="10">
                  <c:v>-2.98</c:v>
                </c:pt>
                <c:pt idx="11">
                  <c:v>-3.97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D68-416E-983B-26AC52547D11}"/>
            </c:ext>
          </c:extLst>
        </c:ser>
        <c:ser>
          <c:idx val="1"/>
          <c:order val="1"/>
          <c:tx>
            <c:v>E3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'ds Manual Calculations'!$N$119:$N$130</c:f>
              <c:numCache>
                <c:formatCode>General</c:formatCode>
                <c:ptCount val="12"/>
                <c:pt idx="0">
                  <c:v>12.343</c:v>
                </c:pt>
                <c:pt idx="1">
                  <c:v>12.179</c:v>
                </c:pt>
                <c:pt idx="2">
                  <c:v>12.042999999999999</c:v>
                </c:pt>
                <c:pt idx="3">
                  <c:v>11.875999999999999</c:v>
                </c:pt>
                <c:pt idx="4">
                  <c:v>11.712999999999999</c:v>
                </c:pt>
                <c:pt idx="5">
                  <c:v>11.55</c:v>
                </c:pt>
                <c:pt idx="6">
                  <c:v>11.388</c:v>
                </c:pt>
                <c:pt idx="7">
                  <c:v>11.224</c:v>
                </c:pt>
                <c:pt idx="8">
                  <c:v>11.06</c:v>
                </c:pt>
                <c:pt idx="9">
                  <c:v>10.891</c:v>
                </c:pt>
                <c:pt idx="10">
                  <c:v>10.706</c:v>
                </c:pt>
                <c:pt idx="11">
                  <c:v>10.598000000000001</c:v>
                </c:pt>
              </c:numCache>
            </c:numRef>
          </c:xVal>
          <c:yVal>
            <c:numRef>
              <c:f>'ds Manual Calculations'!$O$106:$O$117</c:f>
              <c:numCache>
                <c:formatCode>General</c:formatCode>
                <c:ptCount val="12"/>
                <c:pt idx="0">
                  <c:v>-4.84</c:v>
                </c:pt>
                <c:pt idx="1">
                  <c:v>-3.5</c:v>
                </c:pt>
                <c:pt idx="2">
                  <c:v>-2.9</c:v>
                </c:pt>
                <c:pt idx="3">
                  <c:v>-2.2799999999999998</c:v>
                </c:pt>
                <c:pt idx="4">
                  <c:v>-1.65</c:v>
                </c:pt>
                <c:pt idx="5">
                  <c:v>-0.98</c:v>
                </c:pt>
                <c:pt idx="6">
                  <c:v>-0.27</c:v>
                </c:pt>
                <c:pt idx="7">
                  <c:v>0.48</c:v>
                </c:pt>
                <c:pt idx="8">
                  <c:v>1.22</c:v>
                </c:pt>
                <c:pt idx="9">
                  <c:v>2.0299999999999998</c:v>
                </c:pt>
                <c:pt idx="10">
                  <c:v>3.27</c:v>
                </c:pt>
                <c:pt idx="11">
                  <c:v>5.91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D68-416E-983B-26AC52547D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153839"/>
        <c:axId val="1661155087"/>
      </c:scatterChart>
      <c:valAx>
        <c:axId val="166115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5087"/>
        <c:crosses val="autoZero"/>
        <c:crossBetween val="midCat"/>
      </c:valAx>
      <c:valAx>
        <c:axId val="166115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OTAC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'ds Manual Calculations'!$AV$119:$AV$130</c:f>
              <c:numCache>
                <c:formatCode>General</c:formatCode>
                <c:ptCount val="12"/>
                <c:pt idx="0">
                  <c:v>10.696999999999999</c:v>
                </c:pt>
                <c:pt idx="1">
                  <c:v>10.856</c:v>
                </c:pt>
                <c:pt idx="2">
                  <c:v>11.007</c:v>
                </c:pt>
                <c:pt idx="3">
                  <c:v>11.154</c:v>
                </c:pt>
                <c:pt idx="4">
                  <c:v>11.297000000000001</c:v>
                </c:pt>
                <c:pt idx="5">
                  <c:v>11.438000000000001</c:v>
                </c:pt>
                <c:pt idx="6">
                  <c:v>11.579000000000001</c:v>
                </c:pt>
                <c:pt idx="7">
                  <c:v>11.718999999999999</c:v>
                </c:pt>
                <c:pt idx="8">
                  <c:v>11.859</c:v>
                </c:pt>
                <c:pt idx="9">
                  <c:v>11.999000000000001</c:v>
                </c:pt>
                <c:pt idx="10">
                  <c:v>12.14</c:v>
                </c:pt>
                <c:pt idx="11">
                  <c:v>12.284000000000001</c:v>
                </c:pt>
              </c:numCache>
            </c:numRef>
          </c:xVal>
          <c:yVal>
            <c:numRef>
              <c:f>'ds Manual Calculations'!$AN$119:$AN$130</c:f>
              <c:numCache>
                <c:formatCode>General</c:formatCode>
                <c:ptCount val="12"/>
                <c:pt idx="0">
                  <c:v>52.33</c:v>
                </c:pt>
                <c:pt idx="1">
                  <c:v>49.77</c:v>
                </c:pt>
                <c:pt idx="2">
                  <c:v>48.03</c:v>
                </c:pt>
                <c:pt idx="3">
                  <c:v>46.76</c:v>
                </c:pt>
                <c:pt idx="4">
                  <c:v>45.97</c:v>
                </c:pt>
                <c:pt idx="5">
                  <c:v>45.31</c:v>
                </c:pt>
                <c:pt idx="6">
                  <c:v>44.92</c:v>
                </c:pt>
                <c:pt idx="7">
                  <c:v>44.66</c:v>
                </c:pt>
                <c:pt idx="8">
                  <c:v>44.6</c:v>
                </c:pt>
                <c:pt idx="9">
                  <c:v>44.47</c:v>
                </c:pt>
                <c:pt idx="10">
                  <c:v>44.97</c:v>
                </c:pt>
                <c:pt idx="11">
                  <c:v>46.17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FB3-4553-8A87-33B4162DBDF4}"/>
            </c:ext>
          </c:extLst>
        </c:ser>
        <c:ser>
          <c:idx val="1"/>
          <c:order val="1"/>
          <c:tx>
            <c:v>E3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'ds Manual Calculations'!$N$119:$N$130</c:f>
              <c:numCache>
                <c:formatCode>General</c:formatCode>
                <c:ptCount val="12"/>
                <c:pt idx="0">
                  <c:v>12.343</c:v>
                </c:pt>
                <c:pt idx="1">
                  <c:v>12.179</c:v>
                </c:pt>
                <c:pt idx="2">
                  <c:v>12.042999999999999</c:v>
                </c:pt>
                <c:pt idx="3">
                  <c:v>11.875999999999999</c:v>
                </c:pt>
                <c:pt idx="4">
                  <c:v>11.712999999999999</c:v>
                </c:pt>
                <c:pt idx="5">
                  <c:v>11.55</c:v>
                </c:pt>
                <c:pt idx="6">
                  <c:v>11.388</c:v>
                </c:pt>
                <c:pt idx="7">
                  <c:v>11.224</c:v>
                </c:pt>
                <c:pt idx="8">
                  <c:v>11.06</c:v>
                </c:pt>
                <c:pt idx="9">
                  <c:v>10.891</c:v>
                </c:pt>
                <c:pt idx="10">
                  <c:v>10.706</c:v>
                </c:pt>
                <c:pt idx="11">
                  <c:v>10.598000000000001</c:v>
                </c:pt>
              </c:numCache>
            </c:numRef>
          </c:xVal>
          <c:yVal>
            <c:numRef>
              <c:f>'ds Manual Calculations'!$O$119:$O$130</c:f>
              <c:numCache>
                <c:formatCode>General</c:formatCode>
                <c:ptCount val="12"/>
                <c:pt idx="0">
                  <c:v>55.9</c:v>
                </c:pt>
                <c:pt idx="1">
                  <c:v>51.24</c:v>
                </c:pt>
                <c:pt idx="2">
                  <c:v>49.66</c:v>
                </c:pt>
                <c:pt idx="3">
                  <c:v>48.3</c:v>
                </c:pt>
                <c:pt idx="4">
                  <c:v>46.97</c:v>
                </c:pt>
                <c:pt idx="5">
                  <c:v>45.47</c:v>
                </c:pt>
                <c:pt idx="6">
                  <c:v>43.81</c:v>
                </c:pt>
                <c:pt idx="7">
                  <c:v>41.94</c:v>
                </c:pt>
                <c:pt idx="8">
                  <c:v>39.380000000000003</c:v>
                </c:pt>
                <c:pt idx="9">
                  <c:v>37.18</c:v>
                </c:pt>
                <c:pt idx="10">
                  <c:v>33.43</c:v>
                </c:pt>
                <c:pt idx="11">
                  <c:v>30.97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FB3-4553-8A87-33B4162DBD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153839"/>
        <c:axId val="1661155087"/>
      </c:scatterChart>
      <c:valAx>
        <c:axId val="166115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5087"/>
        <c:crosses val="autoZero"/>
        <c:crossBetween val="midCat"/>
      </c:valAx>
      <c:valAx>
        <c:axId val="166115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Alpha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OTAC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'ds Manual Calculations'!$AV$132:$AV$143</c:f>
              <c:numCache>
                <c:formatCode>General</c:formatCode>
                <c:ptCount val="12"/>
                <c:pt idx="0">
                  <c:v>10.728999999999999</c:v>
                </c:pt>
                <c:pt idx="1">
                  <c:v>10.867000000000001</c:v>
                </c:pt>
                <c:pt idx="2">
                  <c:v>11</c:v>
                </c:pt>
                <c:pt idx="3">
                  <c:v>11.129</c:v>
                </c:pt>
                <c:pt idx="4">
                  <c:v>11.257</c:v>
                </c:pt>
                <c:pt idx="5">
                  <c:v>11.385</c:v>
                </c:pt>
                <c:pt idx="6">
                  <c:v>11.513999999999999</c:v>
                </c:pt>
                <c:pt idx="7">
                  <c:v>11.641999999999999</c:v>
                </c:pt>
                <c:pt idx="8">
                  <c:v>11.772</c:v>
                </c:pt>
                <c:pt idx="9">
                  <c:v>11.904</c:v>
                </c:pt>
                <c:pt idx="10">
                  <c:v>12.038</c:v>
                </c:pt>
                <c:pt idx="11">
                  <c:v>12.18</c:v>
                </c:pt>
              </c:numCache>
            </c:numRef>
          </c:xVal>
          <c:yVal>
            <c:numRef>
              <c:f>'ds Manual Calculations'!$AN$132:$AN$143</c:f>
              <c:numCache>
                <c:formatCode>General</c:formatCode>
                <c:ptCount val="12"/>
                <c:pt idx="0">
                  <c:v>26.11</c:v>
                </c:pt>
                <c:pt idx="1">
                  <c:v>21.96</c:v>
                </c:pt>
                <c:pt idx="2">
                  <c:v>19.97</c:v>
                </c:pt>
                <c:pt idx="3">
                  <c:v>19.28</c:v>
                </c:pt>
                <c:pt idx="4">
                  <c:v>19.16</c:v>
                </c:pt>
                <c:pt idx="5">
                  <c:v>19.2</c:v>
                </c:pt>
                <c:pt idx="6">
                  <c:v>19.190000000000001</c:v>
                </c:pt>
                <c:pt idx="7">
                  <c:v>19.190000000000001</c:v>
                </c:pt>
                <c:pt idx="8">
                  <c:v>19.61</c:v>
                </c:pt>
                <c:pt idx="9">
                  <c:v>20.99</c:v>
                </c:pt>
                <c:pt idx="10">
                  <c:v>23.66</c:v>
                </c:pt>
                <c:pt idx="11">
                  <c:v>28.6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205-490A-B204-DA5D192635FB}"/>
            </c:ext>
          </c:extLst>
        </c:ser>
        <c:ser>
          <c:idx val="1"/>
          <c:order val="1"/>
          <c:tx>
            <c:v>E3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'ds Manual Calculations'!$N$132:$N$143</c:f>
              <c:numCache>
                <c:formatCode>General</c:formatCode>
                <c:ptCount val="12"/>
                <c:pt idx="0">
                  <c:v>12.24</c:v>
                </c:pt>
                <c:pt idx="1">
                  <c:v>12.103999999999999</c:v>
                </c:pt>
                <c:pt idx="2">
                  <c:v>11.98</c:v>
                </c:pt>
                <c:pt idx="3">
                  <c:v>11.823</c:v>
                </c:pt>
                <c:pt idx="4">
                  <c:v>11.669</c:v>
                </c:pt>
                <c:pt idx="5">
                  <c:v>11.516</c:v>
                </c:pt>
                <c:pt idx="6">
                  <c:v>11.363</c:v>
                </c:pt>
                <c:pt idx="7">
                  <c:v>11.21</c:v>
                </c:pt>
                <c:pt idx="8">
                  <c:v>11.055</c:v>
                </c:pt>
                <c:pt idx="9">
                  <c:v>10.898999999999999</c:v>
                </c:pt>
                <c:pt idx="10">
                  <c:v>10.731</c:v>
                </c:pt>
                <c:pt idx="11">
                  <c:v>10.641999999999999</c:v>
                </c:pt>
              </c:numCache>
            </c:numRef>
          </c:xVal>
          <c:yVal>
            <c:numRef>
              <c:f>'ds Manual Calculations'!$O$132:$O$143</c:f>
              <c:numCache>
                <c:formatCode>General</c:formatCode>
                <c:ptCount val="12"/>
                <c:pt idx="0">
                  <c:v>31.7</c:v>
                </c:pt>
                <c:pt idx="1">
                  <c:v>25.48</c:v>
                </c:pt>
                <c:pt idx="2">
                  <c:v>21.97</c:v>
                </c:pt>
                <c:pt idx="3">
                  <c:v>19.760000000000002</c:v>
                </c:pt>
                <c:pt idx="4">
                  <c:v>19.190000000000001</c:v>
                </c:pt>
                <c:pt idx="5">
                  <c:v>19.190000000000001</c:v>
                </c:pt>
                <c:pt idx="6">
                  <c:v>19.2</c:v>
                </c:pt>
                <c:pt idx="7">
                  <c:v>19.14</c:v>
                </c:pt>
                <c:pt idx="8">
                  <c:v>19.43</c:v>
                </c:pt>
                <c:pt idx="9">
                  <c:v>20.99</c:v>
                </c:pt>
                <c:pt idx="10">
                  <c:v>25.45</c:v>
                </c:pt>
                <c:pt idx="11">
                  <c:v>29.6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205-490A-B204-DA5D192635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153839"/>
        <c:axId val="1661155087"/>
      </c:scatterChart>
      <c:valAx>
        <c:axId val="166115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5087"/>
        <c:crosses val="autoZero"/>
        <c:crossBetween val="midCat"/>
      </c:valAx>
      <c:valAx>
        <c:axId val="166115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OTAC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'ds Manual Calculations'!$AV$145:$AV$156</c:f>
              <c:numCache>
                <c:formatCode>General</c:formatCode>
                <c:ptCount val="12"/>
                <c:pt idx="0">
                  <c:v>10.785</c:v>
                </c:pt>
                <c:pt idx="1">
                  <c:v>10.929</c:v>
                </c:pt>
                <c:pt idx="2">
                  <c:v>11.045</c:v>
                </c:pt>
                <c:pt idx="3">
                  <c:v>11.151</c:v>
                </c:pt>
                <c:pt idx="4">
                  <c:v>11.257</c:v>
                </c:pt>
                <c:pt idx="5">
                  <c:v>11.361000000000001</c:v>
                </c:pt>
                <c:pt idx="6">
                  <c:v>11.465999999999999</c:v>
                </c:pt>
                <c:pt idx="7">
                  <c:v>11.571999999999999</c:v>
                </c:pt>
                <c:pt idx="8">
                  <c:v>11.679</c:v>
                </c:pt>
                <c:pt idx="9">
                  <c:v>11.789</c:v>
                </c:pt>
                <c:pt idx="10">
                  <c:v>11.904999999999999</c:v>
                </c:pt>
                <c:pt idx="11">
                  <c:v>12.038</c:v>
                </c:pt>
              </c:numCache>
            </c:numRef>
          </c:xVal>
          <c:yVal>
            <c:numRef>
              <c:f>'ds Manual Calculations'!$AN$145:$AN$156</c:f>
              <c:numCache>
                <c:formatCode>General</c:formatCode>
                <c:ptCount val="12"/>
                <c:pt idx="0">
                  <c:v>64.23</c:v>
                </c:pt>
                <c:pt idx="1">
                  <c:v>54.38</c:v>
                </c:pt>
                <c:pt idx="2">
                  <c:v>48.66</c:v>
                </c:pt>
                <c:pt idx="3">
                  <c:v>47.73</c:v>
                </c:pt>
                <c:pt idx="4">
                  <c:v>47.51</c:v>
                </c:pt>
                <c:pt idx="5">
                  <c:v>47.55</c:v>
                </c:pt>
                <c:pt idx="6">
                  <c:v>47.61</c:v>
                </c:pt>
                <c:pt idx="7">
                  <c:v>47.97</c:v>
                </c:pt>
                <c:pt idx="8">
                  <c:v>48.62</c:v>
                </c:pt>
                <c:pt idx="9">
                  <c:v>50.28</c:v>
                </c:pt>
                <c:pt idx="10">
                  <c:v>53.68</c:v>
                </c:pt>
                <c:pt idx="11">
                  <c:v>60.27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5D3-43F4-8EE3-892269C032F0}"/>
            </c:ext>
          </c:extLst>
        </c:ser>
        <c:ser>
          <c:idx val="1"/>
          <c:order val="1"/>
          <c:tx>
            <c:v>E3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'ds Manual Calculations'!$N$145:$N$156</c:f>
              <c:numCache>
                <c:formatCode>General</c:formatCode>
                <c:ptCount val="12"/>
                <c:pt idx="0">
                  <c:v>12.099</c:v>
                </c:pt>
                <c:pt idx="1">
                  <c:v>11.992000000000001</c:v>
                </c:pt>
                <c:pt idx="2">
                  <c:v>11.878</c:v>
                </c:pt>
                <c:pt idx="3">
                  <c:v>11.737</c:v>
                </c:pt>
                <c:pt idx="4">
                  <c:v>11.602</c:v>
                </c:pt>
                <c:pt idx="5">
                  <c:v>11.467000000000001</c:v>
                </c:pt>
                <c:pt idx="6">
                  <c:v>11.333</c:v>
                </c:pt>
                <c:pt idx="7">
                  <c:v>11.198</c:v>
                </c:pt>
                <c:pt idx="8">
                  <c:v>11.063000000000001</c:v>
                </c:pt>
                <c:pt idx="9">
                  <c:v>10.923999999999999</c:v>
                </c:pt>
                <c:pt idx="10">
                  <c:v>10.773</c:v>
                </c:pt>
                <c:pt idx="11">
                  <c:v>10.686999999999999</c:v>
                </c:pt>
              </c:numCache>
            </c:numRef>
          </c:xVal>
          <c:yVal>
            <c:numRef>
              <c:f>'ds Manual Calculations'!$O$145:$O$156</c:f>
              <c:numCache>
                <c:formatCode>General</c:formatCode>
                <c:ptCount val="12"/>
                <c:pt idx="0">
                  <c:v>54.78</c:v>
                </c:pt>
                <c:pt idx="1">
                  <c:v>52.18</c:v>
                </c:pt>
                <c:pt idx="2">
                  <c:v>50.84</c:v>
                </c:pt>
                <c:pt idx="3">
                  <c:v>49.71</c:v>
                </c:pt>
                <c:pt idx="4">
                  <c:v>48.65</c:v>
                </c:pt>
                <c:pt idx="5">
                  <c:v>47.48</c:v>
                </c:pt>
                <c:pt idx="6">
                  <c:v>46.2</c:v>
                </c:pt>
                <c:pt idx="7">
                  <c:v>44.75</c:v>
                </c:pt>
                <c:pt idx="8">
                  <c:v>43.12</c:v>
                </c:pt>
                <c:pt idx="9">
                  <c:v>41.07</c:v>
                </c:pt>
                <c:pt idx="10">
                  <c:v>38.380000000000003</c:v>
                </c:pt>
                <c:pt idx="11">
                  <c:v>36.86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5D3-43F4-8EE3-892269C03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153839"/>
        <c:axId val="1661155087"/>
      </c:scatterChart>
      <c:valAx>
        <c:axId val="166115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5087"/>
        <c:crosses val="autoZero"/>
        <c:crossBetween val="midCat"/>
      </c:valAx>
      <c:valAx>
        <c:axId val="166115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Alpha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OTAC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'ds Manual Calculations'!$AV$158:$AV$169</c:f>
              <c:numCache>
                <c:formatCode>General</c:formatCode>
                <c:ptCount val="12"/>
                <c:pt idx="0">
                  <c:v>10.797000000000001</c:v>
                </c:pt>
                <c:pt idx="1">
                  <c:v>10.907</c:v>
                </c:pt>
                <c:pt idx="2">
                  <c:v>11.013</c:v>
                </c:pt>
                <c:pt idx="3">
                  <c:v>11.117000000000001</c:v>
                </c:pt>
                <c:pt idx="4">
                  <c:v>11.221</c:v>
                </c:pt>
                <c:pt idx="5">
                  <c:v>11.324</c:v>
                </c:pt>
                <c:pt idx="6">
                  <c:v>11.427</c:v>
                </c:pt>
                <c:pt idx="7">
                  <c:v>11.532</c:v>
                </c:pt>
                <c:pt idx="8">
                  <c:v>11.637</c:v>
                </c:pt>
                <c:pt idx="9">
                  <c:v>11.744</c:v>
                </c:pt>
                <c:pt idx="10">
                  <c:v>11.853</c:v>
                </c:pt>
                <c:pt idx="11">
                  <c:v>11.967000000000001</c:v>
                </c:pt>
              </c:numCache>
            </c:numRef>
          </c:xVal>
          <c:yVal>
            <c:numRef>
              <c:f>'ds Manual Calculations'!$AN$158:$AN$169</c:f>
              <c:numCache>
                <c:formatCode>General</c:formatCode>
                <c:ptCount val="12"/>
                <c:pt idx="0">
                  <c:v>22.95</c:v>
                </c:pt>
                <c:pt idx="1">
                  <c:v>18.760000000000002</c:v>
                </c:pt>
                <c:pt idx="2">
                  <c:v>17.239999999999998</c:v>
                </c:pt>
                <c:pt idx="3">
                  <c:v>16.61</c:v>
                </c:pt>
                <c:pt idx="4">
                  <c:v>16.399999999999999</c:v>
                </c:pt>
                <c:pt idx="5">
                  <c:v>16.39</c:v>
                </c:pt>
                <c:pt idx="6">
                  <c:v>16.37</c:v>
                </c:pt>
                <c:pt idx="7">
                  <c:v>16.47</c:v>
                </c:pt>
                <c:pt idx="8">
                  <c:v>17.02</c:v>
                </c:pt>
                <c:pt idx="9">
                  <c:v>18.27</c:v>
                </c:pt>
                <c:pt idx="10">
                  <c:v>20.61</c:v>
                </c:pt>
                <c:pt idx="11">
                  <c:v>25.38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F44-4A61-9CE4-188B669B209E}"/>
            </c:ext>
          </c:extLst>
        </c:ser>
        <c:ser>
          <c:idx val="1"/>
          <c:order val="1"/>
          <c:tx>
            <c:v>E3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'ds Manual Calculations'!$N$158:$N$169</c:f>
              <c:numCache>
                <c:formatCode>0.000</c:formatCode>
                <c:ptCount val="12"/>
                <c:pt idx="0">
                  <c:v>12.016</c:v>
                </c:pt>
                <c:pt idx="1">
                  <c:v>11.926</c:v>
                </c:pt>
                <c:pt idx="2">
                  <c:v>11.823</c:v>
                </c:pt>
                <c:pt idx="3">
                  <c:v>11.693</c:v>
                </c:pt>
                <c:pt idx="4">
                  <c:v>11.566000000000001</c:v>
                </c:pt>
                <c:pt idx="5">
                  <c:v>11.44</c:v>
                </c:pt>
                <c:pt idx="6">
                  <c:v>11.315</c:v>
                </c:pt>
                <c:pt idx="7">
                  <c:v>11.19</c:v>
                </c:pt>
                <c:pt idx="8">
                  <c:v>11.063000000000001</c:v>
                </c:pt>
                <c:pt idx="9">
                  <c:v>10.935</c:v>
                </c:pt>
                <c:pt idx="10">
                  <c:v>10.8</c:v>
                </c:pt>
                <c:pt idx="11">
                  <c:v>10.728999999999999</c:v>
                </c:pt>
              </c:numCache>
            </c:numRef>
          </c:xVal>
          <c:yVal>
            <c:numRef>
              <c:f>'ds Manual Calculations'!$O$158:$O$169</c:f>
              <c:numCache>
                <c:formatCode>0.00</c:formatCode>
                <c:ptCount val="12"/>
                <c:pt idx="0">
                  <c:v>28.9</c:v>
                </c:pt>
                <c:pt idx="1">
                  <c:v>24.17</c:v>
                </c:pt>
                <c:pt idx="2">
                  <c:v>20.46</c:v>
                </c:pt>
                <c:pt idx="3">
                  <c:v>17.670000000000002</c:v>
                </c:pt>
                <c:pt idx="4">
                  <c:v>16.52</c:v>
                </c:pt>
                <c:pt idx="5">
                  <c:v>16.37</c:v>
                </c:pt>
                <c:pt idx="6">
                  <c:v>16.39</c:v>
                </c:pt>
                <c:pt idx="7">
                  <c:v>16.399999999999999</c:v>
                </c:pt>
                <c:pt idx="8">
                  <c:v>16.940000000000001</c:v>
                </c:pt>
                <c:pt idx="9">
                  <c:v>18.79</c:v>
                </c:pt>
                <c:pt idx="10">
                  <c:v>23.11</c:v>
                </c:pt>
                <c:pt idx="11">
                  <c:v>28.8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F44-4A61-9CE4-188B669B20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153839"/>
        <c:axId val="1661155087"/>
      </c:scatterChart>
      <c:valAx>
        <c:axId val="166115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5087"/>
        <c:crosses val="autoZero"/>
        <c:crossBetween val="midCat"/>
      </c:valAx>
      <c:valAx>
        <c:axId val="166115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OTAC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'ds Manual Calculations'!$AV$171:$AV$182</c:f>
              <c:numCache>
                <c:formatCode>General</c:formatCode>
                <c:ptCount val="12"/>
                <c:pt idx="0">
                  <c:v>10.831</c:v>
                </c:pt>
                <c:pt idx="1">
                  <c:v>10.933999999999999</c:v>
                </c:pt>
                <c:pt idx="2">
                  <c:v>11.029</c:v>
                </c:pt>
                <c:pt idx="3">
                  <c:v>11.119</c:v>
                </c:pt>
                <c:pt idx="4">
                  <c:v>11.209</c:v>
                </c:pt>
                <c:pt idx="5">
                  <c:v>11.297000000000001</c:v>
                </c:pt>
                <c:pt idx="6">
                  <c:v>11.385999999999999</c:v>
                </c:pt>
                <c:pt idx="7">
                  <c:v>11.476000000000001</c:v>
                </c:pt>
                <c:pt idx="8">
                  <c:v>11.568</c:v>
                </c:pt>
                <c:pt idx="9">
                  <c:v>11.662000000000001</c:v>
                </c:pt>
                <c:pt idx="10">
                  <c:v>11.763</c:v>
                </c:pt>
                <c:pt idx="11">
                  <c:v>11.881</c:v>
                </c:pt>
              </c:numCache>
            </c:numRef>
          </c:xVal>
          <c:yVal>
            <c:numRef>
              <c:f>'ds Manual Calculations'!$AN$171:$AN$182</c:f>
              <c:numCache>
                <c:formatCode>General</c:formatCode>
                <c:ptCount val="12"/>
                <c:pt idx="0">
                  <c:v>57.02</c:v>
                </c:pt>
                <c:pt idx="1">
                  <c:v>51.82</c:v>
                </c:pt>
                <c:pt idx="2">
                  <c:v>49.63</c:v>
                </c:pt>
                <c:pt idx="3">
                  <c:v>48.63</c:v>
                </c:pt>
                <c:pt idx="4">
                  <c:v>48.18</c:v>
                </c:pt>
                <c:pt idx="5">
                  <c:v>48.04</c:v>
                </c:pt>
                <c:pt idx="6">
                  <c:v>48.21</c:v>
                </c:pt>
                <c:pt idx="7">
                  <c:v>48.68</c:v>
                </c:pt>
                <c:pt idx="8">
                  <c:v>49.72</c:v>
                </c:pt>
                <c:pt idx="9">
                  <c:v>51.56</c:v>
                </c:pt>
                <c:pt idx="10">
                  <c:v>54.83</c:v>
                </c:pt>
                <c:pt idx="11">
                  <c:v>61.88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2CE-4C0C-BB4C-F4BE4761AEEA}"/>
            </c:ext>
          </c:extLst>
        </c:ser>
        <c:ser>
          <c:idx val="1"/>
          <c:order val="1"/>
          <c:tx>
            <c:v>E3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'ds Manual Calculations'!$N$171:$N$182</c:f>
              <c:numCache>
                <c:formatCode>General</c:formatCode>
                <c:ptCount val="12"/>
                <c:pt idx="0">
                  <c:v>11.930999999999999</c:v>
                </c:pt>
                <c:pt idx="1">
                  <c:v>11.836</c:v>
                </c:pt>
                <c:pt idx="2">
                  <c:v>11.741</c:v>
                </c:pt>
                <c:pt idx="3">
                  <c:v>11.622</c:v>
                </c:pt>
                <c:pt idx="4">
                  <c:v>11.509</c:v>
                </c:pt>
                <c:pt idx="5">
                  <c:v>11.398</c:v>
                </c:pt>
                <c:pt idx="6">
                  <c:v>11.288</c:v>
                </c:pt>
                <c:pt idx="7">
                  <c:v>11.178000000000001</c:v>
                </c:pt>
                <c:pt idx="8">
                  <c:v>11.066000000000001</c:v>
                </c:pt>
                <c:pt idx="9">
                  <c:v>10.952</c:v>
                </c:pt>
                <c:pt idx="10">
                  <c:v>10.827999999999999</c:v>
                </c:pt>
                <c:pt idx="11">
                  <c:v>10.759</c:v>
                </c:pt>
              </c:numCache>
            </c:numRef>
          </c:xVal>
          <c:yVal>
            <c:numRef>
              <c:f>'ds Manual Calculations'!$O$171:$O$182</c:f>
              <c:numCache>
                <c:formatCode>0.00</c:formatCode>
                <c:ptCount val="12"/>
                <c:pt idx="0">
                  <c:v>53.51</c:v>
                </c:pt>
                <c:pt idx="1">
                  <c:v>50.82</c:v>
                </c:pt>
                <c:pt idx="2">
                  <c:v>49.49</c:v>
                </c:pt>
                <c:pt idx="3">
                  <c:v>48.44</c:v>
                </c:pt>
                <c:pt idx="4">
                  <c:v>47.49</c:v>
                </c:pt>
                <c:pt idx="5">
                  <c:v>46.46</c:v>
                </c:pt>
                <c:pt idx="6">
                  <c:v>45.3</c:v>
                </c:pt>
                <c:pt idx="7">
                  <c:v>43.96</c:v>
                </c:pt>
                <c:pt idx="8">
                  <c:v>42.4</c:v>
                </c:pt>
                <c:pt idx="9">
                  <c:v>40.35</c:v>
                </c:pt>
                <c:pt idx="10">
                  <c:v>37.549999999999997</c:v>
                </c:pt>
                <c:pt idx="11">
                  <c:v>35.86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2CE-4C0C-BB4C-F4BE4761AE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153839"/>
        <c:axId val="1661155087"/>
      </c:scatterChart>
      <c:valAx>
        <c:axId val="166115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5087"/>
        <c:crosses val="autoZero"/>
        <c:crossBetween val="midCat"/>
      </c:valAx>
      <c:valAx>
        <c:axId val="166115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Alpha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OTAC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'ds Manual Calculations'!$AV$184:$AV$195</c:f>
              <c:numCache>
                <c:formatCode>General</c:formatCode>
                <c:ptCount val="12"/>
                <c:pt idx="0">
                  <c:v>10.83</c:v>
                </c:pt>
                <c:pt idx="1">
                  <c:v>10.920999999999999</c:v>
                </c:pt>
                <c:pt idx="2">
                  <c:v>11.010999999999999</c:v>
                </c:pt>
                <c:pt idx="3">
                  <c:v>11.099</c:v>
                </c:pt>
                <c:pt idx="4">
                  <c:v>11.186999999999999</c:v>
                </c:pt>
                <c:pt idx="5">
                  <c:v>11.275</c:v>
                </c:pt>
                <c:pt idx="6">
                  <c:v>11.363</c:v>
                </c:pt>
                <c:pt idx="7">
                  <c:v>11.452</c:v>
                </c:pt>
                <c:pt idx="8">
                  <c:v>11.542999999999999</c:v>
                </c:pt>
                <c:pt idx="9">
                  <c:v>11.634</c:v>
                </c:pt>
                <c:pt idx="10">
                  <c:v>11.727</c:v>
                </c:pt>
                <c:pt idx="11">
                  <c:v>11.821999999999999</c:v>
                </c:pt>
              </c:numCache>
            </c:numRef>
          </c:xVal>
          <c:yVal>
            <c:numRef>
              <c:f>'ds Manual Calculations'!$AN$184:$AN$195</c:f>
              <c:numCache>
                <c:formatCode>General</c:formatCode>
                <c:ptCount val="12"/>
                <c:pt idx="0">
                  <c:v>-0.54</c:v>
                </c:pt>
                <c:pt idx="1">
                  <c:v>-0.87</c:v>
                </c:pt>
                <c:pt idx="2">
                  <c:v>-1.04</c:v>
                </c:pt>
                <c:pt idx="3">
                  <c:v>-1.1299999999999999</c:v>
                </c:pt>
                <c:pt idx="4">
                  <c:v>-1.2</c:v>
                </c:pt>
                <c:pt idx="5">
                  <c:v>-1.27</c:v>
                </c:pt>
                <c:pt idx="6">
                  <c:v>-1.33</c:v>
                </c:pt>
                <c:pt idx="7">
                  <c:v>-1.39</c:v>
                </c:pt>
                <c:pt idx="8">
                  <c:v>-1.44</c:v>
                </c:pt>
                <c:pt idx="9">
                  <c:v>-1.51</c:v>
                </c:pt>
                <c:pt idx="10">
                  <c:v>-1.68</c:v>
                </c:pt>
                <c:pt idx="11">
                  <c:v>-2.48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399-4BB8-8E7A-FFA96FBD5B39}"/>
            </c:ext>
          </c:extLst>
        </c:ser>
        <c:ser>
          <c:idx val="1"/>
          <c:order val="1"/>
          <c:tx>
            <c:v>E3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'ds Manual Calculations'!$N$184:$N$195</c:f>
              <c:numCache>
                <c:formatCode>0.0000_);[Red]\(0.0000\)</c:formatCode>
                <c:ptCount val="12"/>
                <c:pt idx="0">
                  <c:v>11.843999999999999</c:v>
                </c:pt>
                <c:pt idx="1">
                  <c:v>11.768000000000001</c:v>
                </c:pt>
                <c:pt idx="2">
                  <c:v>11.682</c:v>
                </c:pt>
                <c:pt idx="3">
                  <c:v>11.571999999999999</c:v>
                </c:pt>
                <c:pt idx="4">
                  <c:v>11.464</c:v>
                </c:pt>
                <c:pt idx="5">
                  <c:v>11.358000000000001</c:v>
                </c:pt>
                <c:pt idx="6">
                  <c:v>11.252000000000001</c:v>
                </c:pt>
                <c:pt idx="7">
                  <c:v>11.146000000000001</c:v>
                </c:pt>
                <c:pt idx="8">
                  <c:v>11.039</c:v>
                </c:pt>
                <c:pt idx="9">
                  <c:v>10.929</c:v>
                </c:pt>
                <c:pt idx="10">
                  <c:v>10.815</c:v>
                </c:pt>
                <c:pt idx="11">
                  <c:v>10.755000000000001</c:v>
                </c:pt>
              </c:numCache>
            </c:numRef>
          </c:xVal>
          <c:yVal>
            <c:numRef>
              <c:f>'ds Manual Calculations'!$O$184:$O$195</c:f>
              <c:numCache>
                <c:formatCode>0.00_ </c:formatCode>
                <c:ptCount val="12"/>
                <c:pt idx="0">
                  <c:v>-4.09</c:v>
                </c:pt>
                <c:pt idx="1">
                  <c:v>-2.0699999999999998</c:v>
                </c:pt>
                <c:pt idx="2">
                  <c:v>-1.69</c:v>
                </c:pt>
                <c:pt idx="3">
                  <c:v>-1.5</c:v>
                </c:pt>
                <c:pt idx="4">
                  <c:v>-1.42</c:v>
                </c:pt>
                <c:pt idx="5">
                  <c:v>-1.36</c:v>
                </c:pt>
                <c:pt idx="6">
                  <c:v>-1.28</c:v>
                </c:pt>
                <c:pt idx="7">
                  <c:v>-1.19</c:v>
                </c:pt>
                <c:pt idx="8">
                  <c:v>-1.1000000000000001</c:v>
                </c:pt>
                <c:pt idx="9">
                  <c:v>-0.96</c:v>
                </c:pt>
                <c:pt idx="10">
                  <c:v>-0.57999999999999996</c:v>
                </c:pt>
                <c:pt idx="11">
                  <c:v>-0.3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399-4BB8-8E7A-FFA96FBD5B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153839"/>
        <c:axId val="1661155087"/>
      </c:scatterChart>
      <c:valAx>
        <c:axId val="166115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5087"/>
        <c:crosses val="autoZero"/>
        <c:crossBetween val="midCat"/>
      </c:valAx>
      <c:valAx>
        <c:axId val="166115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OTAC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'ds Manual Calculations'!$AV$197:$AV$208</c:f>
              <c:numCache>
                <c:formatCode>General</c:formatCode>
                <c:ptCount val="12"/>
                <c:pt idx="0">
                  <c:v>10.823</c:v>
                </c:pt>
                <c:pt idx="1">
                  <c:v>10.906000000000001</c:v>
                </c:pt>
                <c:pt idx="2">
                  <c:v>10.987</c:v>
                </c:pt>
                <c:pt idx="3">
                  <c:v>11.067</c:v>
                </c:pt>
                <c:pt idx="4">
                  <c:v>11.147</c:v>
                </c:pt>
                <c:pt idx="5">
                  <c:v>11.226000000000001</c:v>
                </c:pt>
                <c:pt idx="6">
                  <c:v>11.305</c:v>
                </c:pt>
                <c:pt idx="7">
                  <c:v>11.385999999999999</c:v>
                </c:pt>
                <c:pt idx="8">
                  <c:v>11.468</c:v>
                </c:pt>
                <c:pt idx="9">
                  <c:v>11.552</c:v>
                </c:pt>
                <c:pt idx="10">
                  <c:v>11.637</c:v>
                </c:pt>
                <c:pt idx="11">
                  <c:v>11.725</c:v>
                </c:pt>
              </c:numCache>
            </c:numRef>
          </c:xVal>
          <c:yVal>
            <c:numRef>
              <c:f>'ds Manual Calculations'!$AN$197:$AN$208</c:f>
              <c:numCache>
                <c:formatCode>General</c:formatCode>
                <c:ptCount val="12"/>
                <c:pt idx="0">
                  <c:v>46.75</c:v>
                </c:pt>
                <c:pt idx="1">
                  <c:v>45.33</c:v>
                </c:pt>
                <c:pt idx="2">
                  <c:v>44.33</c:v>
                </c:pt>
                <c:pt idx="3">
                  <c:v>43.77</c:v>
                </c:pt>
                <c:pt idx="4">
                  <c:v>43.41</c:v>
                </c:pt>
                <c:pt idx="5">
                  <c:v>43.17</c:v>
                </c:pt>
                <c:pt idx="6">
                  <c:v>43.6</c:v>
                </c:pt>
                <c:pt idx="7">
                  <c:v>44.23</c:v>
                </c:pt>
                <c:pt idx="8">
                  <c:v>44.99</c:v>
                </c:pt>
                <c:pt idx="9">
                  <c:v>45.69</c:v>
                </c:pt>
                <c:pt idx="10">
                  <c:v>46.58</c:v>
                </c:pt>
                <c:pt idx="11">
                  <c:v>48.17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124-455E-9AE5-8CFE2E6C11DF}"/>
            </c:ext>
          </c:extLst>
        </c:ser>
        <c:ser>
          <c:idx val="1"/>
          <c:order val="1"/>
          <c:tx>
            <c:v>E3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'ds Manual Calculations'!$N$197:$N$208</c:f>
              <c:numCache>
                <c:formatCode>General</c:formatCode>
                <c:ptCount val="12"/>
                <c:pt idx="0">
                  <c:v>11.766</c:v>
                </c:pt>
                <c:pt idx="1">
                  <c:v>11.715</c:v>
                </c:pt>
                <c:pt idx="2">
                  <c:v>11.625999999999999</c:v>
                </c:pt>
                <c:pt idx="3">
                  <c:v>11.521000000000001</c:v>
                </c:pt>
                <c:pt idx="4">
                  <c:v>11.422000000000001</c:v>
                </c:pt>
                <c:pt idx="5">
                  <c:v>11.327</c:v>
                </c:pt>
                <c:pt idx="6">
                  <c:v>11.233000000000001</c:v>
                </c:pt>
                <c:pt idx="7">
                  <c:v>11.138</c:v>
                </c:pt>
                <c:pt idx="8">
                  <c:v>11.042</c:v>
                </c:pt>
                <c:pt idx="9">
                  <c:v>10.943</c:v>
                </c:pt>
                <c:pt idx="10">
                  <c:v>10.835000000000001</c:v>
                </c:pt>
                <c:pt idx="11">
                  <c:v>10.775</c:v>
                </c:pt>
              </c:numCache>
            </c:numRef>
          </c:xVal>
          <c:yVal>
            <c:numRef>
              <c:f>'ds Manual Calculations'!$O$197:$O$208</c:f>
              <c:numCache>
                <c:formatCode>General</c:formatCode>
                <c:ptCount val="12"/>
                <c:pt idx="0">
                  <c:v>52.42</c:v>
                </c:pt>
                <c:pt idx="1">
                  <c:v>50.65</c:v>
                </c:pt>
                <c:pt idx="2">
                  <c:v>49</c:v>
                </c:pt>
                <c:pt idx="3">
                  <c:v>47.83</c:v>
                </c:pt>
                <c:pt idx="4">
                  <c:v>46.91</c:v>
                </c:pt>
                <c:pt idx="5">
                  <c:v>46</c:v>
                </c:pt>
                <c:pt idx="6">
                  <c:v>44.98</c:v>
                </c:pt>
                <c:pt idx="7">
                  <c:v>43.76</c:v>
                </c:pt>
                <c:pt idx="8">
                  <c:v>42.3</c:v>
                </c:pt>
                <c:pt idx="9">
                  <c:v>40.39</c:v>
                </c:pt>
                <c:pt idx="10">
                  <c:v>37.82</c:v>
                </c:pt>
                <c:pt idx="11">
                  <c:v>36.299999999999997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124-455E-9AE5-8CFE2E6C11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153839"/>
        <c:axId val="1661155087"/>
      </c:scatterChart>
      <c:valAx>
        <c:axId val="166115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5087"/>
        <c:crosses val="autoZero"/>
        <c:crossBetween val="midCat"/>
      </c:valAx>
      <c:valAx>
        <c:axId val="166115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Alpha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OTAC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'ds Manual Calculations'!$AW$210:$AW$221</c:f>
              <c:numCache>
                <c:formatCode>General</c:formatCode>
                <c:ptCount val="12"/>
                <c:pt idx="0">
                  <c:v>10.891</c:v>
                </c:pt>
                <c:pt idx="1">
                  <c:v>10.97</c:v>
                </c:pt>
                <c:pt idx="2">
                  <c:v>11.045999999999999</c:v>
                </c:pt>
                <c:pt idx="3">
                  <c:v>11.122</c:v>
                </c:pt>
                <c:pt idx="4">
                  <c:v>11.196999999999999</c:v>
                </c:pt>
                <c:pt idx="5">
                  <c:v>11.271000000000001</c:v>
                </c:pt>
                <c:pt idx="6">
                  <c:v>11.347</c:v>
                </c:pt>
                <c:pt idx="7">
                  <c:v>11.423</c:v>
                </c:pt>
                <c:pt idx="8">
                  <c:v>11.500999999999999</c:v>
                </c:pt>
                <c:pt idx="9">
                  <c:v>11.58</c:v>
                </c:pt>
                <c:pt idx="10">
                  <c:v>11.661</c:v>
                </c:pt>
                <c:pt idx="11">
                  <c:v>11.747999999999999</c:v>
                </c:pt>
              </c:numCache>
            </c:numRef>
          </c:xVal>
          <c:yVal>
            <c:numRef>
              <c:f>'ds Manual Calculations'!$AN$210:$AN$221</c:f>
              <c:numCache>
                <c:formatCode>General</c:formatCode>
                <c:ptCount val="12"/>
                <c:pt idx="0">
                  <c:v>21.86</c:v>
                </c:pt>
                <c:pt idx="1">
                  <c:v>18.809999999999999</c:v>
                </c:pt>
                <c:pt idx="2">
                  <c:v>16.61</c:v>
                </c:pt>
                <c:pt idx="3">
                  <c:v>15.11</c:v>
                </c:pt>
                <c:pt idx="4">
                  <c:v>14.14</c:v>
                </c:pt>
                <c:pt idx="5">
                  <c:v>13.72</c:v>
                </c:pt>
                <c:pt idx="6">
                  <c:v>13.68</c:v>
                </c:pt>
                <c:pt idx="7">
                  <c:v>14.09</c:v>
                </c:pt>
                <c:pt idx="8">
                  <c:v>15.11</c:v>
                </c:pt>
                <c:pt idx="9">
                  <c:v>16.899999999999999</c:v>
                </c:pt>
                <c:pt idx="10">
                  <c:v>19.55</c:v>
                </c:pt>
                <c:pt idx="11">
                  <c:v>23.44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16E-41F9-8CEF-588A71B4B167}"/>
            </c:ext>
          </c:extLst>
        </c:ser>
        <c:ser>
          <c:idx val="1"/>
          <c:order val="1"/>
          <c:tx>
            <c:v>E3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'ds Manual Calculations'!$N$210:$N$221</c:f>
              <c:numCache>
                <c:formatCode>General</c:formatCode>
                <c:ptCount val="12"/>
                <c:pt idx="0">
                  <c:v>11.711</c:v>
                </c:pt>
                <c:pt idx="1">
                  <c:v>11.669</c:v>
                </c:pt>
                <c:pt idx="2">
                  <c:v>11.590999999999999</c:v>
                </c:pt>
                <c:pt idx="3">
                  <c:v>11.492000000000001</c:v>
                </c:pt>
                <c:pt idx="4">
                  <c:v>11.396000000000001</c:v>
                </c:pt>
                <c:pt idx="5">
                  <c:v>11.302</c:v>
                </c:pt>
                <c:pt idx="6">
                  <c:v>11.208</c:v>
                </c:pt>
                <c:pt idx="7">
                  <c:v>11.115</c:v>
                </c:pt>
                <c:pt idx="8">
                  <c:v>11.02</c:v>
                </c:pt>
                <c:pt idx="9">
                  <c:v>10.923</c:v>
                </c:pt>
                <c:pt idx="10">
                  <c:v>10.821999999999999</c:v>
                </c:pt>
                <c:pt idx="11">
                  <c:v>10.769</c:v>
                </c:pt>
              </c:numCache>
            </c:numRef>
          </c:xVal>
          <c:yVal>
            <c:numRef>
              <c:f>'ds Manual Calculations'!$O$210:$O$221</c:f>
              <c:numCache>
                <c:formatCode>General</c:formatCode>
                <c:ptCount val="12"/>
                <c:pt idx="0">
                  <c:v>26</c:v>
                </c:pt>
                <c:pt idx="1">
                  <c:v>23.5</c:v>
                </c:pt>
                <c:pt idx="2">
                  <c:v>19.79</c:v>
                </c:pt>
                <c:pt idx="3">
                  <c:v>16.54</c:v>
                </c:pt>
                <c:pt idx="4">
                  <c:v>14.54</c:v>
                </c:pt>
                <c:pt idx="5">
                  <c:v>13.71</c:v>
                </c:pt>
                <c:pt idx="6">
                  <c:v>13.63</c:v>
                </c:pt>
                <c:pt idx="7">
                  <c:v>14.15</c:v>
                </c:pt>
                <c:pt idx="8">
                  <c:v>15.4</c:v>
                </c:pt>
                <c:pt idx="9">
                  <c:v>17.559999999999999</c:v>
                </c:pt>
                <c:pt idx="10">
                  <c:v>21.22</c:v>
                </c:pt>
                <c:pt idx="11">
                  <c:v>23.9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16E-41F9-8CEF-588A71B4B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153839"/>
        <c:axId val="1661155087"/>
      </c:scatterChart>
      <c:valAx>
        <c:axId val="166115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5087"/>
        <c:crosses val="autoZero"/>
        <c:crossBetween val="midCat"/>
      </c:valAx>
      <c:valAx>
        <c:axId val="166115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OTAC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'ds Manual Calculations'!$AW$223:$AW$234</c:f>
              <c:numCache>
                <c:formatCode>General</c:formatCode>
                <c:ptCount val="12"/>
                <c:pt idx="0">
                  <c:v>10.874000000000001</c:v>
                </c:pt>
                <c:pt idx="1">
                  <c:v>10.95</c:v>
                </c:pt>
                <c:pt idx="2">
                  <c:v>11.021000000000001</c:v>
                </c:pt>
                <c:pt idx="3">
                  <c:v>11.087999999999999</c:v>
                </c:pt>
                <c:pt idx="4">
                  <c:v>11.153</c:v>
                </c:pt>
                <c:pt idx="5">
                  <c:v>11.218</c:v>
                </c:pt>
                <c:pt idx="6">
                  <c:v>11.282999999999999</c:v>
                </c:pt>
                <c:pt idx="7">
                  <c:v>11.35</c:v>
                </c:pt>
                <c:pt idx="8">
                  <c:v>11.419</c:v>
                </c:pt>
                <c:pt idx="9">
                  <c:v>11.493</c:v>
                </c:pt>
                <c:pt idx="10">
                  <c:v>11.574</c:v>
                </c:pt>
                <c:pt idx="11">
                  <c:v>11.678000000000001</c:v>
                </c:pt>
              </c:numCache>
            </c:numRef>
          </c:xVal>
          <c:yVal>
            <c:numRef>
              <c:f>'ds Manual Calculations'!$AN$223:$AN$234</c:f>
              <c:numCache>
                <c:formatCode>General</c:formatCode>
                <c:ptCount val="12"/>
                <c:pt idx="0">
                  <c:v>60.44</c:v>
                </c:pt>
                <c:pt idx="1">
                  <c:v>56.06</c:v>
                </c:pt>
                <c:pt idx="2">
                  <c:v>53.02</c:v>
                </c:pt>
                <c:pt idx="3">
                  <c:v>51.08</c:v>
                </c:pt>
                <c:pt idx="4">
                  <c:v>49.87</c:v>
                </c:pt>
                <c:pt idx="5">
                  <c:v>49.31</c:v>
                </c:pt>
                <c:pt idx="6">
                  <c:v>49.5</c:v>
                </c:pt>
                <c:pt idx="7">
                  <c:v>50.35</c:v>
                </c:pt>
                <c:pt idx="8">
                  <c:v>51.93</c:v>
                </c:pt>
                <c:pt idx="9">
                  <c:v>54.39</c:v>
                </c:pt>
                <c:pt idx="10">
                  <c:v>58.21</c:v>
                </c:pt>
                <c:pt idx="11">
                  <c:v>64.91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175-4293-86D4-BB7A052F220D}"/>
            </c:ext>
          </c:extLst>
        </c:ser>
        <c:ser>
          <c:idx val="1"/>
          <c:order val="1"/>
          <c:tx>
            <c:v>E3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'ds Manual Calculations'!$N$223:$N$234</c:f>
              <c:numCache>
                <c:formatCode>General</c:formatCode>
                <c:ptCount val="12"/>
                <c:pt idx="0">
                  <c:v>11.669</c:v>
                </c:pt>
                <c:pt idx="1">
                  <c:v>11.621</c:v>
                </c:pt>
                <c:pt idx="2">
                  <c:v>11.54</c:v>
                </c:pt>
                <c:pt idx="3">
                  <c:v>11.445</c:v>
                </c:pt>
                <c:pt idx="4">
                  <c:v>11.351000000000001</c:v>
                </c:pt>
                <c:pt idx="5">
                  <c:v>11.272</c:v>
                </c:pt>
                <c:pt idx="6">
                  <c:v>11.189</c:v>
                </c:pt>
                <c:pt idx="7">
                  <c:v>11.105</c:v>
                </c:pt>
                <c:pt idx="8">
                  <c:v>11.02</c:v>
                </c:pt>
                <c:pt idx="9">
                  <c:v>10.93</c:v>
                </c:pt>
                <c:pt idx="10">
                  <c:v>10.833</c:v>
                </c:pt>
                <c:pt idx="11">
                  <c:v>10.778</c:v>
                </c:pt>
              </c:numCache>
            </c:numRef>
          </c:xVal>
          <c:yVal>
            <c:numRef>
              <c:f>'ds Manual Calculations'!$O$223:$O$234</c:f>
              <c:numCache>
                <c:formatCode>General</c:formatCode>
                <c:ptCount val="12"/>
                <c:pt idx="0">
                  <c:v>54.35</c:v>
                </c:pt>
                <c:pt idx="1">
                  <c:v>52.1</c:v>
                </c:pt>
                <c:pt idx="2">
                  <c:v>50.1</c:v>
                </c:pt>
                <c:pt idx="3">
                  <c:v>48.79</c:v>
                </c:pt>
                <c:pt idx="4">
                  <c:v>47.88</c:v>
                </c:pt>
                <c:pt idx="5">
                  <c:v>47.05</c:v>
                </c:pt>
                <c:pt idx="6">
                  <c:v>46.14</c:v>
                </c:pt>
                <c:pt idx="7">
                  <c:v>45.06</c:v>
                </c:pt>
                <c:pt idx="8">
                  <c:v>43.77</c:v>
                </c:pt>
                <c:pt idx="9">
                  <c:v>42.12</c:v>
                </c:pt>
                <c:pt idx="10">
                  <c:v>40.08</c:v>
                </c:pt>
                <c:pt idx="11">
                  <c:v>39.01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175-4293-86D4-BB7A052F22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153839"/>
        <c:axId val="1661155087"/>
      </c:scatterChart>
      <c:valAx>
        <c:axId val="166115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5087"/>
        <c:crosses val="autoZero"/>
        <c:crossBetween val="midCat"/>
      </c:valAx>
      <c:valAx>
        <c:axId val="166115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Alpha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OTAC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'ds Manual Calculations'!$AW$236:$AW$247</c:f>
              <c:numCache>
                <c:formatCode>General</c:formatCode>
                <c:ptCount val="12"/>
                <c:pt idx="0">
                  <c:v>10.865</c:v>
                </c:pt>
                <c:pt idx="1">
                  <c:v>10.935</c:v>
                </c:pt>
                <c:pt idx="2">
                  <c:v>11.004</c:v>
                </c:pt>
                <c:pt idx="3">
                  <c:v>11.071999999999999</c:v>
                </c:pt>
                <c:pt idx="4">
                  <c:v>11.14</c:v>
                </c:pt>
                <c:pt idx="5">
                  <c:v>11.208</c:v>
                </c:pt>
                <c:pt idx="6">
                  <c:v>11.276</c:v>
                </c:pt>
                <c:pt idx="7">
                  <c:v>11.345000000000001</c:v>
                </c:pt>
                <c:pt idx="8">
                  <c:v>11.414</c:v>
                </c:pt>
                <c:pt idx="9">
                  <c:v>11.484</c:v>
                </c:pt>
                <c:pt idx="10">
                  <c:v>11.557</c:v>
                </c:pt>
                <c:pt idx="11">
                  <c:v>11.637</c:v>
                </c:pt>
              </c:numCache>
            </c:numRef>
          </c:xVal>
          <c:yVal>
            <c:numRef>
              <c:f>'ds Manual Calculations'!$AN$236:$AN$247</c:f>
              <c:numCache>
                <c:formatCode>General</c:formatCode>
                <c:ptCount val="12"/>
                <c:pt idx="0">
                  <c:v>21.53</c:v>
                </c:pt>
                <c:pt idx="1">
                  <c:v>18.47</c:v>
                </c:pt>
                <c:pt idx="2">
                  <c:v>16.5</c:v>
                </c:pt>
                <c:pt idx="3">
                  <c:v>15.14</c:v>
                </c:pt>
                <c:pt idx="4">
                  <c:v>14.16</c:v>
                </c:pt>
                <c:pt idx="5">
                  <c:v>13.56</c:v>
                </c:pt>
                <c:pt idx="6">
                  <c:v>13.44</c:v>
                </c:pt>
                <c:pt idx="7">
                  <c:v>13.7</c:v>
                </c:pt>
                <c:pt idx="8">
                  <c:v>14.31</c:v>
                </c:pt>
                <c:pt idx="9">
                  <c:v>16.010000000000002</c:v>
                </c:pt>
                <c:pt idx="10">
                  <c:v>18.54</c:v>
                </c:pt>
                <c:pt idx="11">
                  <c:v>22.71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CE5-4C13-B137-2F529FE29CE2}"/>
            </c:ext>
          </c:extLst>
        </c:ser>
        <c:ser>
          <c:idx val="1"/>
          <c:order val="1"/>
          <c:tx>
            <c:v>E3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'ds Manual Calculations'!$N$236:$N$247</c:f>
              <c:numCache>
                <c:formatCode>0.000</c:formatCode>
                <c:ptCount val="12"/>
                <c:pt idx="0">
                  <c:v>11.618</c:v>
                </c:pt>
                <c:pt idx="1">
                  <c:v>11.58</c:v>
                </c:pt>
                <c:pt idx="2">
                  <c:v>11.51</c:v>
                </c:pt>
                <c:pt idx="3">
                  <c:v>11.420999999999999</c:v>
                </c:pt>
                <c:pt idx="4">
                  <c:v>11.343999999999999</c:v>
                </c:pt>
                <c:pt idx="5">
                  <c:v>11.25</c:v>
                </c:pt>
                <c:pt idx="6">
                  <c:v>11.166</c:v>
                </c:pt>
                <c:pt idx="7">
                  <c:v>11.082000000000001</c:v>
                </c:pt>
                <c:pt idx="8">
                  <c:v>10.997</c:v>
                </c:pt>
                <c:pt idx="9">
                  <c:v>10.91</c:v>
                </c:pt>
                <c:pt idx="10">
                  <c:v>10.819000000000001</c:v>
                </c:pt>
                <c:pt idx="11">
                  <c:v>10.771000000000001</c:v>
                </c:pt>
              </c:numCache>
            </c:numRef>
          </c:xVal>
          <c:yVal>
            <c:numRef>
              <c:f>'ds Manual Calculations'!$O$236:$O$247</c:f>
              <c:numCache>
                <c:formatCode>0.00</c:formatCode>
                <c:ptCount val="12"/>
                <c:pt idx="0">
                  <c:v>25.8</c:v>
                </c:pt>
                <c:pt idx="1">
                  <c:v>23.3</c:v>
                </c:pt>
                <c:pt idx="2">
                  <c:v>19.61</c:v>
                </c:pt>
                <c:pt idx="3">
                  <c:v>16.37</c:v>
                </c:pt>
                <c:pt idx="4">
                  <c:v>14.36</c:v>
                </c:pt>
                <c:pt idx="5">
                  <c:v>13.46</c:v>
                </c:pt>
                <c:pt idx="6">
                  <c:v>13.41</c:v>
                </c:pt>
                <c:pt idx="7">
                  <c:v>14.22</c:v>
                </c:pt>
                <c:pt idx="8">
                  <c:v>15.59</c:v>
                </c:pt>
                <c:pt idx="9">
                  <c:v>17.7</c:v>
                </c:pt>
                <c:pt idx="10">
                  <c:v>21.18</c:v>
                </c:pt>
                <c:pt idx="11">
                  <c:v>23.7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CE5-4C13-B137-2F529FE29C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153839"/>
        <c:axId val="1661155087"/>
      </c:scatterChart>
      <c:valAx>
        <c:axId val="166115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5087"/>
        <c:crosses val="autoZero"/>
        <c:crossBetween val="midCat"/>
      </c:valAx>
      <c:valAx>
        <c:axId val="166115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kern="1200" spc="0" baseline="0">
                <a:solidFill>
                  <a:srgbClr val="595959"/>
                </a:solidFill>
                <a:effectLst/>
              </a:rPr>
              <a:t>Beta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OTAC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'ds Manual Calculations'!$AW$249:$AW$260</c:f>
              <c:numCache>
                <c:formatCode>General</c:formatCode>
                <c:ptCount val="12"/>
                <c:pt idx="0">
                  <c:v>10.866</c:v>
                </c:pt>
                <c:pt idx="1">
                  <c:v>10.935</c:v>
                </c:pt>
                <c:pt idx="2">
                  <c:v>10.999000000000001</c:v>
                </c:pt>
                <c:pt idx="3">
                  <c:v>11.06</c:v>
                </c:pt>
                <c:pt idx="4">
                  <c:v>11.119</c:v>
                </c:pt>
                <c:pt idx="5">
                  <c:v>11.178000000000001</c:v>
                </c:pt>
                <c:pt idx="6">
                  <c:v>11.236000000000001</c:v>
                </c:pt>
                <c:pt idx="7">
                  <c:v>11.295999999999999</c:v>
                </c:pt>
                <c:pt idx="8">
                  <c:v>11.356</c:v>
                </c:pt>
                <c:pt idx="9">
                  <c:v>11.420999999999999</c:v>
                </c:pt>
                <c:pt idx="10">
                  <c:v>11.493</c:v>
                </c:pt>
                <c:pt idx="11">
                  <c:v>11.585000000000001</c:v>
                </c:pt>
              </c:numCache>
            </c:numRef>
          </c:xVal>
          <c:yVal>
            <c:numRef>
              <c:f>'ds Manual Calculations'!$AN$249:$AN$260</c:f>
              <c:numCache>
                <c:formatCode>General</c:formatCode>
                <c:ptCount val="12"/>
                <c:pt idx="0">
                  <c:v>61.48</c:v>
                </c:pt>
                <c:pt idx="1">
                  <c:v>57.03</c:v>
                </c:pt>
                <c:pt idx="2">
                  <c:v>54.23</c:v>
                </c:pt>
                <c:pt idx="3">
                  <c:v>52.45</c:v>
                </c:pt>
                <c:pt idx="4">
                  <c:v>51.23</c:v>
                </c:pt>
                <c:pt idx="5">
                  <c:v>50.53</c:v>
                </c:pt>
                <c:pt idx="6">
                  <c:v>50.68</c:v>
                </c:pt>
                <c:pt idx="7">
                  <c:v>51.26</c:v>
                </c:pt>
                <c:pt idx="8">
                  <c:v>52.15</c:v>
                </c:pt>
                <c:pt idx="9">
                  <c:v>54.71</c:v>
                </c:pt>
                <c:pt idx="10">
                  <c:v>58.4</c:v>
                </c:pt>
                <c:pt idx="11">
                  <c:v>65.41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0C0-4FC6-90A7-03E2E839C1C3}"/>
            </c:ext>
          </c:extLst>
        </c:ser>
        <c:ser>
          <c:idx val="1"/>
          <c:order val="1"/>
          <c:tx>
            <c:v>E3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'ds Manual Calculations'!$N$249:$N$260</c:f>
              <c:numCache>
                <c:formatCode>General</c:formatCode>
                <c:ptCount val="12"/>
                <c:pt idx="0">
                  <c:v>11.577</c:v>
                </c:pt>
                <c:pt idx="1">
                  <c:v>11.534000000000001</c:v>
                </c:pt>
                <c:pt idx="2">
                  <c:v>11.462</c:v>
                </c:pt>
                <c:pt idx="3">
                  <c:v>11.378</c:v>
                </c:pt>
                <c:pt idx="4">
                  <c:v>11.298999999999999</c:v>
                </c:pt>
                <c:pt idx="5">
                  <c:v>11.224</c:v>
                </c:pt>
                <c:pt idx="6">
                  <c:v>11.148999999999999</c:v>
                </c:pt>
                <c:pt idx="7">
                  <c:v>11.074</c:v>
                </c:pt>
                <c:pt idx="8">
                  <c:v>10.997</c:v>
                </c:pt>
                <c:pt idx="9">
                  <c:v>10.916</c:v>
                </c:pt>
                <c:pt idx="10">
                  <c:v>10.827</c:v>
                </c:pt>
                <c:pt idx="11">
                  <c:v>10.778</c:v>
                </c:pt>
              </c:numCache>
            </c:numRef>
          </c:xVal>
          <c:yVal>
            <c:numRef>
              <c:f>'ds Manual Calculations'!$O$249:$O$260</c:f>
              <c:numCache>
                <c:formatCode>0.00</c:formatCode>
                <c:ptCount val="12"/>
                <c:pt idx="0">
                  <c:v>54.98</c:v>
                </c:pt>
                <c:pt idx="1">
                  <c:v>52.83</c:v>
                </c:pt>
                <c:pt idx="2">
                  <c:v>50.91</c:v>
                </c:pt>
                <c:pt idx="3">
                  <c:v>49.71</c:v>
                </c:pt>
                <c:pt idx="4">
                  <c:v>48.91</c:v>
                </c:pt>
                <c:pt idx="5">
                  <c:v>48.21</c:v>
                </c:pt>
                <c:pt idx="6">
                  <c:v>47.48</c:v>
                </c:pt>
                <c:pt idx="7">
                  <c:v>46.61</c:v>
                </c:pt>
                <c:pt idx="8">
                  <c:v>45.57</c:v>
                </c:pt>
                <c:pt idx="9">
                  <c:v>44.27</c:v>
                </c:pt>
                <c:pt idx="10">
                  <c:v>42.8</c:v>
                </c:pt>
                <c:pt idx="11">
                  <c:v>42.22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0C0-4FC6-90A7-03E2E839C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153839"/>
        <c:axId val="1661155087"/>
      </c:scatterChart>
      <c:valAx>
        <c:axId val="166115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5087"/>
        <c:crosses val="autoZero"/>
        <c:crossBetween val="midCat"/>
      </c:valAx>
      <c:valAx>
        <c:axId val="166115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Alpha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OTAC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'ds Manual Calculations'!$AW$262:$AW$273</c:f>
              <c:numCache>
                <c:formatCode>General</c:formatCode>
                <c:ptCount val="12"/>
                <c:pt idx="0">
                  <c:v>10.843</c:v>
                </c:pt>
                <c:pt idx="1">
                  <c:v>10.909000000000001</c:v>
                </c:pt>
                <c:pt idx="2">
                  <c:v>10.973000000000001</c:v>
                </c:pt>
                <c:pt idx="3">
                  <c:v>11.037000000000001</c:v>
                </c:pt>
                <c:pt idx="4">
                  <c:v>11.101000000000001</c:v>
                </c:pt>
                <c:pt idx="5">
                  <c:v>11.164999999999999</c:v>
                </c:pt>
                <c:pt idx="6">
                  <c:v>11.228999999999999</c:v>
                </c:pt>
                <c:pt idx="7">
                  <c:v>11.294</c:v>
                </c:pt>
                <c:pt idx="8">
                  <c:v>11.356999999999999</c:v>
                </c:pt>
                <c:pt idx="9">
                  <c:v>11.422000000000001</c:v>
                </c:pt>
                <c:pt idx="10">
                  <c:v>11.487</c:v>
                </c:pt>
                <c:pt idx="11">
                  <c:v>11.558</c:v>
                </c:pt>
              </c:numCache>
            </c:numRef>
          </c:xVal>
          <c:yVal>
            <c:numRef>
              <c:f>'ds Manual Calculations'!$AN$262:$AN$273</c:f>
              <c:numCache>
                <c:formatCode>General</c:formatCode>
                <c:ptCount val="12"/>
                <c:pt idx="0">
                  <c:v>3.27</c:v>
                </c:pt>
                <c:pt idx="1">
                  <c:v>2.12</c:v>
                </c:pt>
                <c:pt idx="2">
                  <c:v>1.31</c:v>
                </c:pt>
                <c:pt idx="3">
                  <c:v>0.71</c:v>
                </c:pt>
                <c:pt idx="4">
                  <c:v>0.28999999999999998</c:v>
                </c:pt>
                <c:pt idx="5">
                  <c:v>7.0000000000000007E-2</c:v>
                </c:pt>
                <c:pt idx="6">
                  <c:v>7.0000000000000007E-2</c:v>
                </c:pt>
                <c:pt idx="7">
                  <c:v>0.23</c:v>
                </c:pt>
                <c:pt idx="8">
                  <c:v>0.55000000000000004</c:v>
                </c:pt>
                <c:pt idx="9">
                  <c:v>1.1200000000000001</c:v>
                </c:pt>
                <c:pt idx="10">
                  <c:v>1.94</c:v>
                </c:pt>
                <c:pt idx="11">
                  <c:v>3.17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043-445A-889E-EEB0C5EEAEDE}"/>
            </c:ext>
          </c:extLst>
        </c:ser>
        <c:ser>
          <c:idx val="1"/>
          <c:order val="1"/>
          <c:tx>
            <c:v>E3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'ds Manual Calculations'!$N$262:$N$273</c:f>
              <c:numCache>
                <c:formatCode>0.000</c:formatCode>
                <c:ptCount val="12"/>
                <c:pt idx="0">
                  <c:v>11.552</c:v>
                </c:pt>
                <c:pt idx="1">
                  <c:v>11.519</c:v>
                </c:pt>
                <c:pt idx="2">
                  <c:v>11.457000000000001</c:v>
                </c:pt>
                <c:pt idx="3">
                  <c:v>11.375999999999999</c:v>
                </c:pt>
                <c:pt idx="4">
                  <c:v>11.295999999999999</c:v>
                </c:pt>
                <c:pt idx="5">
                  <c:v>11.217000000000001</c:v>
                </c:pt>
                <c:pt idx="6">
                  <c:v>11.138</c:v>
                </c:pt>
                <c:pt idx="7">
                  <c:v>11.058999999999999</c:v>
                </c:pt>
                <c:pt idx="8">
                  <c:v>10.978999999999999</c:v>
                </c:pt>
                <c:pt idx="9">
                  <c:v>10.897</c:v>
                </c:pt>
                <c:pt idx="10">
                  <c:v>10.813000000000001</c:v>
                </c:pt>
                <c:pt idx="11">
                  <c:v>10.77</c:v>
                </c:pt>
              </c:numCache>
            </c:numRef>
          </c:xVal>
          <c:yVal>
            <c:numRef>
              <c:f>'ds Manual Calculations'!$O$262:$O$273</c:f>
              <c:numCache>
                <c:formatCode>0.00</c:formatCode>
                <c:ptCount val="12"/>
                <c:pt idx="0">
                  <c:v>4</c:v>
                </c:pt>
                <c:pt idx="1">
                  <c:v>3.38</c:v>
                </c:pt>
                <c:pt idx="2">
                  <c:v>2.34</c:v>
                </c:pt>
                <c:pt idx="3">
                  <c:v>1.27</c:v>
                </c:pt>
                <c:pt idx="4">
                  <c:v>0.53</c:v>
                </c:pt>
                <c:pt idx="5">
                  <c:v>0.11</c:v>
                </c:pt>
                <c:pt idx="6">
                  <c:v>0.02</c:v>
                </c:pt>
                <c:pt idx="7">
                  <c:v>0.32</c:v>
                </c:pt>
                <c:pt idx="8">
                  <c:v>0.93</c:v>
                </c:pt>
                <c:pt idx="9">
                  <c:v>1.88</c:v>
                </c:pt>
                <c:pt idx="10">
                  <c:v>3.19</c:v>
                </c:pt>
                <c:pt idx="11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043-445A-889E-EEB0C5EEAE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153839"/>
        <c:axId val="1661155087"/>
      </c:scatterChart>
      <c:valAx>
        <c:axId val="166115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5087"/>
        <c:crosses val="autoZero"/>
        <c:crossBetween val="midCat"/>
      </c:valAx>
      <c:valAx>
        <c:axId val="166115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5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3.xml.rels><?xml version="1.0" encoding="UTF-8" standalone="yes"?>
<Relationships xmlns="http://schemas.openxmlformats.org/package/2006/relationships"><Relationship Id="rId26" Type="http://schemas.openxmlformats.org/officeDocument/2006/relationships/chart" Target="../charts/chart41.xml"/><Relationship Id="rId21" Type="http://schemas.openxmlformats.org/officeDocument/2006/relationships/chart" Target="../charts/chart36.xml"/><Relationship Id="rId42" Type="http://schemas.openxmlformats.org/officeDocument/2006/relationships/chart" Target="../charts/chart57.xml"/><Relationship Id="rId47" Type="http://schemas.openxmlformats.org/officeDocument/2006/relationships/chart" Target="../charts/chart62.xml"/><Relationship Id="rId63" Type="http://schemas.openxmlformats.org/officeDocument/2006/relationships/chart" Target="../charts/chart78.xml"/><Relationship Id="rId68" Type="http://schemas.openxmlformats.org/officeDocument/2006/relationships/chart" Target="../charts/chart83.xml"/><Relationship Id="rId84" Type="http://schemas.openxmlformats.org/officeDocument/2006/relationships/chart" Target="../charts/chart99.xml"/><Relationship Id="rId16" Type="http://schemas.openxmlformats.org/officeDocument/2006/relationships/chart" Target="../charts/chart31.xml"/><Relationship Id="rId11" Type="http://schemas.openxmlformats.org/officeDocument/2006/relationships/chart" Target="../charts/chart26.xml"/><Relationship Id="rId32" Type="http://schemas.openxmlformats.org/officeDocument/2006/relationships/chart" Target="../charts/chart47.xml"/><Relationship Id="rId37" Type="http://schemas.openxmlformats.org/officeDocument/2006/relationships/chart" Target="../charts/chart52.xml"/><Relationship Id="rId53" Type="http://schemas.openxmlformats.org/officeDocument/2006/relationships/chart" Target="../charts/chart68.xml"/><Relationship Id="rId58" Type="http://schemas.openxmlformats.org/officeDocument/2006/relationships/chart" Target="../charts/chart73.xml"/><Relationship Id="rId74" Type="http://schemas.openxmlformats.org/officeDocument/2006/relationships/chart" Target="../charts/chart89.xml"/><Relationship Id="rId79" Type="http://schemas.openxmlformats.org/officeDocument/2006/relationships/chart" Target="../charts/chart94.xml"/><Relationship Id="rId5" Type="http://schemas.openxmlformats.org/officeDocument/2006/relationships/chart" Target="../charts/chart20.xml"/><Relationship Id="rId19" Type="http://schemas.openxmlformats.org/officeDocument/2006/relationships/chart" Target="../charts/chart34.xml"/><Relationship Id="rId14" Type="http://schemas.openxmlformats.org/officeDocument/2006/relationships/chart" Target="../charts/chart29.xml"/><Relationship Id="rId22" Type="http://schemas.openxmlformats.org/officeDocument/2006/relationships/chart" Target="../charts/chart37.xml"/><Relationship Id="rId27" Type="http://schemas.openxmlformats.org/officeDocument/2006/relationships/chart" Target="../charts/chart42.xml"/><Relationship Id="rId30" Type="http://schemas.openxmlformats.org/officeDocument/2006/relationships/chart" Target="../charts/chart45.xml"/><Relationship Id="rId35" Type="http://schemas.openxmlformats.org/officeDocument/2006/relationships/chart" Target="../charts/chart50.xml"/><Relationship Id="rId43" Type="http://schemas.openxmlformats.org/officeDocument/2006/relationships/chart" Target="../charts/chart58.xml"/><Relationship Id="rId48" Type="http://schemas.openxmlformats.org/officeDocument/2006/relationships/chart" Target="../charts/chart63.xml"/><Relationship Id="rId56" Type="http://schemas.openxmlformats.org/officeDocument/2006/relationships/chart" Target="../charts/chart71.xml"/><Relationship Id="rId64" Type="http://schemas.openxmlformats.org/officeDocument/2006/relationships/chart" Target="../charts/chart79.xml"/><Relationship Id="rId69" Type="http://schemas.openxmlformats.org/officeDocument/2006/relationships/chart" Target="../charts/chart84.xml"/><Relationship Id="rId77" Type="http://schemas.openxmlformats.org/officeDocument/2006/relationships/chart" Target="../charts/chart92.xml"/><Relationship Id="rId8" Type="http://schemas.openxmlformats.org/officeDocument/2006/relationships/chart" Target="../charts/chart23.xml"/><Relationship Id="rId51" Type="http://schemas.openxmlformats.org/officeDocument/2006/relationships/chart" Target="../charts/chart66.xml"/><Relationship Id="rId72" Type="http://schemas.openxmlformats.org/officeDocument/2006/relationships/chart" Target="../charts/chart87.xml"/><Relationship Id="rId80" Type="http://schemas.openxmlformats.org/officeDocument/2006/relationships/chart" Target="../charts/chart95.xml"/><Relationship Id="rId85" Type="http://schemas.openxmlformats.org/officeDocument/2006/relationships/chart" Target="../charts/chart100.xml"/><Relationship Id="rId3" Type="http://schemas.openxmlformats.org/officeDocument/2006/relationships/chart" Target="../charts/chart18.xml"/><Relationship Id="rId12" Type="http://schemas.openxmlformats.org/officeDocument/2006/relationships/chart" Target="../charts/chart27.xml"/><Relationship Id="rId17" Type="http://schemas.openxmlformats.org/officeDocument/2006/relationships/chart" Target="../charts/chart32.xml"/><Relationship Id="rId25" Type="http://schemas.openxmlformats.org/officeDocument/2006/relationships/chart" Target="../charts/chart40.xml"/><Relationship Id="rId33" Type="http://schemas.openxmlformats.org/officeDocument/2006/relationships/chart" Target="../charts/chart48.xml"/><Relationship Id="rId38" Type="http://schemas.openxmlformats.org/officeDocument/2006/relationships/chart" Target="../charts/chart53.xml"/><Relationship Id="rId46" Type="http://schemas.openxmlformats.org/officeDocument/2006/relationships/chart" Target="../charts/chart61.xml"/><Relationship Id="rId59" Type="http://schemas.openxmlformats.org/officeDocument/2006/relationships/chart" Target="../charts/chart74.xml"/><Relationship Id="rId67" Type="http://schemas.openxmlformats.org/officeDocument/2006/relationships/chart" Target="../charts/chart82.xml"/><Relationship Id="rId20" Type="http://schemas.openxmlformats.org/officeDocument/2006/relationships/chart" Target="../charts/chart35.xml"/><Relationship Id="rId41" Type="http://schemas.openxmlformats.org/officeDocument/2006/relationships/chart" Target="../charts/chart56.xml"/><Relationship Id="rId54" Type="http://schemas.openxmlformats.org/officeDocument/2006/relationships/chart" Target="../charts/chart69.xml"/><Relationship Id="rId62" Type="http://schemas.openxmlformats.org/officeDocument/2006/relationships/chart" Target="../charts/chart77.xml"/><Relationship Id="rId70" Type="http://schemas.openxmlformats.org/officeDocument/2006/relationships/chart" Target="../charts/chart85.xml"/><Relationship Id="rId75" Type="http://schemas.openxmlformats.org/officeDocument/2006/relationships/chart" Target="../charts/chart90.xml"/><Relationship Id="rId83" Type="http://schemas.openxmlformats.org/officeDocument/2006/relationships/chart" Target="../charts/chart98.xml"/><Relationship Id="rId88" Type="http://schemas.openxmlformats.org/officeDocument/2006/relationships/chart" Target="../charts/chart103.xml"/><Relationship Id="rId1" Type="http://schemas.openxmlformats.org/officeDocument/2006/relationships/chart" Target="../charts/chart16.xml"/><Relationship Id="rId6" Type="http://schemas.openxmlformats.org/officeDocument/2006/relationships/chart" Target="../charts/chart21.xml"/><Relationship Id="rId15" Type="http://schemas.openxmlformats.org/officeDocument/2006/relationships/chart" Target="../charts/chart30.xml"/><Relationship Id="rId23" Type="http://schemas.openxmlformats.org/officeDocument/2006/relationships/chart" Target="../charts/chart38.xml"/><Relationship Id="rId28" Type="http://schemas.openxmlformats.org/officeDocument/2006/relationships/chart" Target="../charts/chart43.xml"/><Relationship Id="rId36" Type="http://schemas.openxmlformats.org/officeDocument/2006/relationships/chart" Target="../charts/chart51.xml"/><Relationship Id="rId49" Type="http://schemas.openxmlformats.org/officeDocument/2006/relationships/chart" Target="../charts/chart64.xml"/><Relationship Id="rId57" Type="http://schemas.openxmlformats.org/officeDocument/2006/relationships/chart" Target="../charts/chart72.xml"/><Relationship Id="rId10" Type="http://schemas.openxmlformats.org/officeDocument/2006/relationships/chart" Target="../charts/chart25.xml"/><Relationship Id="rId31" Type="http://schemas.openxmlformats.org/officeDocument/2006/relationships/chart" Target="../charts/chart46.xml"/><Relationship Id="rId44" Type="http://schemas.openxmlformats.org/officeDocument/2006/relationships/chart" Target="../charts/chart59.xml"/><Relationship Id="rId52" Type="http://schemas.openxmlformats.org/officeDocument/2006/relationships/chart" Target="../charts/chart67.xml"/><Relationship Id="rId60" Type="http://schemas.openxmlformats.org/officeDocument/2006/relationships/chart" Target="../charts/chart75.xml"/><Relationship Id="rId65" Type="http://schemas.openxmlformats.org/officeDocument/2006/relationships/chart" Target="../charts/chart80.xml"/><Relationship Id="rId73" Type="http://schemas.openxmlformats.org/officeDocument/2006/relationships/chart" Target="../charts/chart88.xml"/><Relationship Id="rId78" Type="http://schemas.openxmlformats.org/officeDocument/2006/relationships/chart" Target="../charts/chart93.xml"/><Relationship Id="rId81" Type="http://schemas.openxmlformats.org/officeDocument/2006/relationships/chart" Target="../charts/chart96.xml"/><Relationship Id="rId86" Type="http://schemas.openxmlformats.org/officeDocument/2006/relationships/chart" Target="../charts/chart101.xml"/><Relationship Id="rId4" Type="http://schemas.openxmlformats.org/officeDocument/2006/relationships/chart" Target="../charts/chart19.xml"/><Relationship Id="rId9" Type="http://schemas.openxmlformats.org/officeDocument/2006/relationships/chart" Target="../charts/chart24.xml"/><Relationship Id="rId13" Type="http://schemas.openxmlformats.org/officeDocument/2006/relationships/chart" Target="../charts/chart28.xml"/><Relationship Id="rId18" Type="http://schemas.openxmlformats.org/officeDocument/2006/relationships/chart" Target="../charts/chart33.xml"/><Relationship Id="rId39" Type="http://schemas.openxmlformats.org/officeDocument/2006/relationships/chart" Target="../charts/chart54.xml"/><Relationship Id="rId34" Type="http://schemas.openxmlformats.org/officeDocument/2006/relationships/chart" Target="../charts/chart49.xml"/><Relationship Id="rId50" Type="http://schemas.openxmlformats.org/officeDocument/2006/relationships/chart" Target="../charts/chart65.xml"/><Relationship Id="rId55" Type="http://schemas.openxmlformats.org/officeDocument/2006/relationships/chart" Target="../charts/chart70.xml"/><Relationship Id="rId76" Type="http://schemas.openxmlformats.org/officeDocument/2006/relationships/chart" Target="../charts/chart91.xml"/><Relationship Id="rId7" Type="http://schemas.openxmlformats.org/officeDocument/2006/relationships/chart" Target="../charts/chart22.xml"/><Relationship Id="rId71" Type="http://schemas.openxmlformats.org/officeDocument/2006/relationships/chart" Target="../charts/chart86.xml"/><Relationship Id="rId2" Type="http://schemas.openxmlformats.org/officeDocument/2006/relationships/chart" Target="../charts/chart17.xml"/><Relationship Id="rId29" Type="http://schemas.openxmlformats.org/officeDocument/2006/relationships/chart" Target="../charts/chart44.xml"/><Relationship Id="rId24" Type="http://schemas.openxmlformats.org/officeDocument/2006/relationships/chart" Target="../charts/chart39.xml"/><Relationship Id="rId40" Type="http://schemas.openxmlformats.org/officeDocument/2006/relationships/chart" Target="../charts/chart55.xml"/><Relationship Id="rId45" Type="http://schemas.openxmlformats.org/officeDocument/2006/relationships/chart" Target="../charts/chart60.xml"/><Relationship Id="rId66" Type="http://schemas.openxmlformats.org/officeDocument/2006/relationships/chart" Target="../charts/chart81.xml"/><Relationship Id="rId87" Type="http://schemas.openxmlformats.org/officeDocument/2006/relationships/chart" Target="../charts/chart102.xml"/><Relationship Id="rId61" Type="http://schemas.openxmlformats.org/officeDocument/2006/relationships/chart" Target="../charts/chart76.xml"/><Relationship Id="rId82" Type="http://schemas.openxmlformats.org/officeDocument/2006/relationships/chart" Target="../charts/chart9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1</xdr:row>
      <xdr:rowOff>247650</xdr:rowOff>
    </xdr:from>
    <xdr:to>
      <xdr:col>14</xdr:col>
      <xdr:colOff>114300</xdr:colOff>
      <xdr:row>14</xdr:row>
      <xdr:rowOff>66676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285750</xdr:colOff>
      <xdr:row>16</xdr:row>
      <xdr:rowOff>85725</xdr:rowOff>
    </xdr:from>
    <xdr:to>
      <xdr:col>14</xdr:col>
      <xdr:colOff>209550</xdr:colOff>
      <xdr:row>28</xdr:row>
      <xdr:rowOff>247651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314325</xdr:colOff>
      <xdr:row>30</xdr:row>
      <xdr:rowOff>190500</xdr:rowOff>
    </xdr:from>
    <xdr:to>
      <xdr:col>14</xdr:col>
      <xdr:colOff>238125</xdr:colOff>
      <xdr:row>43</xdr:row>
      <xdr:rowOff>9526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46</xdr:row>
      <xdr:rowOff>0</xdr:rowOff>
    </xdr:from>
    <xdr:to>
      <xdr:col>16</xdr:col>
      <xdr:colOff>38100</xdr:colOff>
      <xdr:row>58</xdr:row>
      <xdr:rowOff>161926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485775</xdr:colOff>
      <xdr:row>60</xdr:row>
      <xdr:rowOff>95250</xdr:rowOff>
    </xdr:from>
    <xdr:to>
      <xdr:col>15</xdr:col>
      <xdr:colOff>466725</xdr:colOff>
      <xdr:row>72</xdr:row>
      <xdr:rowOff>257176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438150</xdr:colOff>
      <xdr:row>74</xdr:row>
      <xdr:rowOff>95250</xdr:rowOff>
    </xdr:from>
    <xdr:to>
      <xdr:col>15</xdr:col>
      <xdr:colOff>419100</xdr:colOff>
      <xdr:row>86</xdr:row>
      <xdr:rowOff>257176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161925</xdr:colOff>
      <xdr:row>88</xdr:row>
      <xdr:rowOff>123825</xdr:rowOff>
    </xdr:from>
    <xdr:to>
      <xdr:col>15</xdr:col>
      <xdr:colOff>142875</xdr:colOff>
      <xdr:row>100</xdr:row>
      <xdr:rowOff>285751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76200</xdr:colOff>
      <xdr:row>102</xdr:row>
      <xdr:rowOff>114300</xdr:rowOff>
    </xdr:from>
    <xdr:to>
      <xdr:col>16</xdr:col>
      <xdr:colOff>114300</xdr:colOff>
      <xdr:row>114</xdr:row>
      <xdr:rowOff>276226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38100</xdr:colOff>
      <xdr:row>16</xdr:row>
      <xdr:rowOff>9525</xdr:rowOff>
    </xdr:from>
    <xdr:to>
      <xdr:col>26</xdr:col>
      <xdr:colOff>533400</xdr:colOff>
      <xdr:row>28</xdr:row>
      <xdr:rowOff>171451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17</xdr:col>
      <xdr:colOff>0</xdr:colOff>
      <xdr:row>74</xdr:row>
      <xdr:rowOff>0</xdr:rowOff>
    </xdr:from>
    <xdr:to>
      <xdr:col>28</xdr:col>
      <xdr:colOff>495300</xdr:colOff>
      <xdr:row>86</xdr:row>
      <xdr:rowOff>161926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17</xdr:col>
      <xdr:colOff>28575</xdr:colOff>
      <xdr:row>60</xdr:row>
      <xdr:rowOff>76200</xdr:rowOff>
    </xdr:from>
    <xdr:to>
      <xdr:col>28</xdr:col>
      <xdr:colOff>523875</xdr:colOff>
      <xdr:row>72</xdr:row>
      <xdr:rowOff>238126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17</xdr:col>
      <xdr:colOff>390525</xdr:colOff>
      <xdr:row>102</xdr:row>
      <xdr:rowOff>104775</xdr:rowOff>
    </xdr:from>
    <xdr:to>
      <xdr:col>29</xdr:col>
      <xdr:colOff>276225</xdr:colOff>
      <xdr:row>114</xdr:row>
      <xdr:rowOff>266701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</xdr:col>
      <xdr:colOff>200025</xdr:colOff>
      <xdr:row>134</xdr:row>
      <xdr:rowOff>28575</xdr:rowOff>
    </xdr:from>
    <xdr:to>
      <xdr:col>17</xdr:col>
      <xdr:colOff>295275</xdr:colOff>
      <xdr:row>146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6</xdr:col>
      <xdr:colOff>200025</xdr:colOff>
      <xdr:row>147</xdr:row>
      <xdr:rowOff>104775</xdr:rowOff>
    </xdr:from>
    <xdr:to>
      <xdr:col>17</xdr:col>
      <xdr:colOff>295275</xdr:colOff>
      <xdr:row>159</xdr:row>
      <xdr:rowOff>76200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357186</xdr:colOff>
      <xdr:row>0</xdr:row>
      <xdr:rowOff>152399</xdr:rowOff>
    </xdr:from>
    <xdr:to>
      <xdr:col>20</xdr:col>
      <xdr:colOff>461961</xdr:colOff>
      <xdr:row>25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17</xdr:col>
      <xdr:colOff>447675</xdr:colOff>
      <xdr:row>18</xdr:row>
      <xdr:rowOff>133350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0410825" y="3876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18</xdr:col>
      <xdr:colOff>252928</xdr:colOff>
      <xdr:row>10</xdr:row>
      <xdr:rowOff>186808</xdr:rowOff>
    </xdr:from>
    <xdr:ext cx="219163" cy="5225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 txBox="1"/>
          </xdr:nvSpPr>
          <xdr:spPr>
            <a:xfrm rot="4965049">
              <a:off x="10674003" y="2424458"/>
              <a:ext cx="522514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</a:rPr>
                      <m:t>𝟏𝟎𝟎</m:t>
                    </m:r>
                    <m:r>
                      <a:rPr lang="en-US" sz="1400" b="1" i="1">
                        <a:latin typeface="Cambria Math" panose="02040503050406030204" pitchFamily="18" charset="0"/>
                      </a:rPr>
                      <m:t>%</m:t>
                    </m:r>
                  </m:oMath>
                </m:oMathPara>
              </a14:m>
              <a:endParaRPr lang="en-US" sz="1400" b="1"/>
            </a:p>
          </xdr:txBody>
        </xdr:sp>
      </mc:Choice>
      <mc:Fallback xmlns="">
        <xdr:sp macro="" textlink="">
          <xdr:nvSpPr>
            <xdr:cNvPr id="4" name="TextBox 3"/>
            <xdr:cNvSpPr txBox="1"/>
          </xdr:nvSpPr>
          <xdr:spPr>
            <a:xfrm rot="4965049">
              <a:off x="10674003" y="2424458"/>
              <a:ext cx="522514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 i="0">
                  <a:latin typeface="Cambria Math" panose="02040503050406030204" pitchFamily="18" charset="0"/>
                </a:rPr>
                <a:t>𝟏𝟎𝟎%</a:t>
              </a:r>
              <a:endParaRPr lang="en-US" sz="1400" b="1"/>
            </a:p>
          </xdr:txBody>
        </xdr:sp>
      </mc:Fallback>
    </mc:AlternateContent>
    <xdr:clientData/>
  </xdr:oneCellAnchor>
  <xdr:oneCellAnchor>
    <xdr:from>
      <xdr:col>19</xdr:col>
      <xdr:colOff>414854</xdr:colOff>
      <xdr:row>5</xdr:row>
      <xdr:rowOff>4481</xdr:rowOff>
    </xdr:from>
    <xdr:ext cx="219163" cy="6966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SpPr txBox="1"/>
          </xdr:nvSpPr>
          <xdr:spPr>
            <a:xfrm rot="4965049">
              <a:off x="11358453" y="1281457"/>
              <a:ext cx="696666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</a:rPr>
                      <m:t>𝟏𝟎𝟐</m:t>
                    </m:r>
                    <m:r>
                      <a:rPr lang="en-US" sz="1400" b="1" i="1">
                        <a:latin typeface="Cambria Math" panose="02040503050406030204" pitchFamily="18" charset="0"/>
                      </a:rPr>
                      <m:t>.</m:t>
                    </m:r>
                    <m:r>
                      <a:rPr lang="en-US" sz="1400" b="1" i="1">
                        <a:latin typeface="Cambria Math" panose="02040503050406030204" pitchFamily="18" charset="0"/>
                      </a:rPr>
                      <m:t>𝟓</m:t>
                    </m:r>
                    <m:r>
                      <a:rPr lang="en-US" sz="1400" b="1" i="1">
                        <a:latin typeface="Cambria Math" panose="02040503050406030204" pitchFamily="18" charset="0"/>
                      </a:rPr>
                      <m:t>%</m:t>
                    </m:r>
                  </m:oMath>
                </m:oMathPara>
              </a14:m>
              <a:endParaRPr lang="en-US" sz="1400" b="1"/>
            </a:p>
          </xdr:txBody>
        </xdr:sp>
      </mc:Choice>
      <mc:Fallback xmlns="">
        <xdr:sp macro="" textlink="">
          <xdr:nvSpPr>
            <xdr:cNvPr id="5" name="TextBox 4"/>
            <xdr:cNvSpPr txBox="1"/>
          </xdr:nvSpPr>
          <xdr:spPr>
            <a:xfrm rot="4965049">
              <a:off x="11358453" y="1281457"/>
              <a:ext cx="696666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 i="0">
                  <a:latin typeface="Cambria Math" panose="02040503050406030204" pitchFamily="18" charset="0"/>
                </a:rPr>
                <a:t>𝟏𝟎𝟐.𝟓%</a:t>
              </a:r>
              <a:endParaRPr lang="en-US" sz="1400" b="1"/>
            </a:p>
          </xdr:txBody>
        </xdr:sp>
      </mc:Fallback>
    </mc:AlternateContent>
    <xdr:clientData/>
  </xdr:oneCellAnchor>
  <xdr:oneCellAnchor>
    <xdr:from>
      <xdr:col>17</xdr:col>
      <xdr:colOff>243403</xdr:colOff>
      <xdr:row>9</xdr:row>
      <xdr:rowOff>50007</xdr:rowOff>
    </xdr:from>
    <xdr:ext cx="219163" cy="4151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00000000-0008-0000-0200-000006000000}"/>
                </a:ext>
              </a:extLst>
            </xdr:cNvPr>
            <xdr:cNvSpPr txBox="1"/>
          </xdr:nvSpPr>
          <xdr:spPr>
            <a:xfrm rot="4965049">
              <a:off x="10108578" y="2024407"/>
              <a:ext cx="415114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</a:rPr>
                      <m:t>𝟗𝟗</m:t>
                    </m:r>
                    <m:r>
                      <a:rPr lang="en-US" sz="1400" b="1" i="1">
                        <a:latin typeface="Cambria Math" panose="02040503050406030204" pitchFamily="18" charset="0"/>
                      </a:rPr>
                      <m:t>%</m:t>
                    </m:r>
                  </m:oMath>
                </m:oMathPara>
              </a14:m>
              <a:endParaRPr lang="en-US" sz="1400" b="1"/>
            </a:p>
          </xdr:txBody>
        </xdr:sp>
      </mc:Choice>
      <mc:Fallback xmlns="">
        <xdr:sp macro="" textlink="">
          <xdr:nvSpPr>
            <xdr:cNvPr id="6" name="TextBox 5"/>
            <xdr:cNvSpPr txBox="1"/>
          </xdr:nvSpPr>
          <xdr:spPr>
            <a:xfrm rot="4965049">
              <a:off x="10108578" y="2024407"/>
              <a:ext cx="415114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 i="0">
                  <a:latin typeface="Cambria Math" panose="02040503050406030204" pitchFamily="18" charset="0"/>
                </a:rPr>
                <a:t>𝟗𝟗%</a:t>
              </a:r>
              <a:endParaRPr lang="en-US" sz="1400" b="1"/>
            </a:p>
          </xdr:txBody>
        </xdr:sp>
      </mc:Fallback>
    </mc:AlternateContent>
    <xdr:clientData/>
  </xdr:oneCellAnchor>
  <xdr:oneCellAnchor>
    <xdr:from>
      <xdr:col>15</xdr:col>
      <xdr:colOff>491054</xdr:colOff>
      <xdr:row>13</xdr:row>
      <xdr:rowOff>153432</xdr:rowOff>
    </xdr:from>
    <xdr:ext cx="219163" cy="58926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SpPr txBox="1"/>
          </xdr:nvSpPr>
          <xdr:spPr>
            <a:xfrm rot="4965049">
              <a:off x="9049954" y="3053107"/>
              <a:ext cx="589264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</a:rPr>
                      <m:t>𝟗𝟕</m:t>
                    </m:r>
                    <m:r>
                      <a:rPr lang="en-US" sz="1400" b="1" i="1">
                        <a:latin typeface="Cambria Math" panose="02040503050406030204" pitchFamily="18" charset="0"/>
                      </a:rPr>
                      <m:t>.</m:t>
                    </m:r>
                    <m:r>
                      <a:rPr lang="en-US" sz="1400" b="1" i="1">
                        <a:latin typeface="Cambria Math" panose="02040503050406030204" pitchFamily="18" charset="0"/>
                      </a:rPr>
                      <m:t>𝟓</m:t>
                    </m:r>
                    <m:r>
                      <a:rPr lang="en-US" sz="1400" b="1" i="1">
                        <a:latin typeface="Cambria Math" panose="02040503050406030204" pitchFamily="18" charset="0"/>
                      </a:rPr>
                      <m:t>%</m:t>
                    </m:r>
                  </m:oMath>
                </m:oMathPara>
              </a14:m>
              <a:endParaRPr lang="en-US" sz="1400" b="1"/>
            </a:p>
          </xdr:txBody>
        </xdr:sp>
      </mc:Choice>
      <mc:Fallback xmlns="">
        <xdr:sp macro="" textlink="">
          <xdr:nvSpPr>
            <xdr:cNvPr id="7" name="TextBox 6"/>
            <xdr:cNvSpPr txBox="1"/>
          </xdr:nvSpPr>
          <xdr:spPr>
            <a:xfrm rot="4965049">
              <a:off x="9049954" y="3053107"/>
              <a:ext cx="589264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 i="0">
                  <a:latin typeface="Cambria Math" panose="02040503050406030204" pitchFamily="18" charset="0"/>
                </a:rPr>
                <a:t>𝟗𝟕.𝟓%</a:t>
              </a:r>
              <a:endParaRPr lang="en-US" sz="1400" b="1"/>
            </a:p>
          </xdr:txBody>
        </xdr:sp>
      </mc:Fallback>
    </mc:AlternateContent>
    <xdr:clientData/>
  </xdr:oneCellAnchor>
  <xdr:oneCellAnchor>
    <xdr:from>
      <xdr:col>13</xdr:col>
      <xdr:colOff>24328</xdr:colOff>
      <xdr:row>15</xdr:row>
      <xdr:rowOff>59532</xdr:rowOff>
    </xdr:from>
    <xdr:ext cx="219163" cy="4151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00000000-0008-0000-0200-000008000000}"/>
                </a:ext>
              </a:extLst>
            </xdr:cNvPr>
            <xdr:cNvSpPr txBox="1"/>
          </xdr:nvSpPr>
          <xdr:spPr>
            <a:xfrm rot="4965049">
              <a:off x="7451103" y="3291232"/>
              <a:ext cx="415114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</a:rPr>
                      <m:t>𝟗𝟓</m:t>
                    </m:r>
                    <m:r>
                      <a:rPr lang="en-US" sz="1400" b="1" i="1">
                        <a:latin typeface="Cambria Math" panose="02040503050406030204" pitchFamily="18" charset="0"/>
                      </a:rPr>
                      <m:t>%</m:t>
                    </m:r>
                  </m:oMath>
                </m:oMathPara>
              </a14:m>
              <a:endParaRPr lang="en-US" sz="1400" b="1"/>
            </a:p>
          </xdr:txBody>
        </xdr:sp>
      </mc:Choice>
      <mc:Fallback xmlns="">
        <xdr:sp macro="" textlink="">
          <xdr:nvSpPr>
            <xdr:cNvPr id="8" name="TextBox 7"/>
            <xdr:cNvSpPr txBox="1"/>
          </xdr:nvSpPr>
          <xdr:spPr>
            <a:xfrm rot="4965049">
              <a:off x="7451103" y="3291232"/>
              <a:ext cx="415114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 i="0">
                  <a:latin typeface="Cambria Math" panose="02040503050406030204" pitchFamily="18" charset="0"/>
                </a:rPr>
                <a:t>𝟗𝟓%</a:t>
              </a:r>
              <a:endParaRPr lang="en-US" sz="1400" b="1"/>
            </a:p>
          </xdr:txBody>
        </xdr:sp>
      </mc:Fallback>
    </mc:AlternateContent>
    <xdr:clientData/>
  </xdr:oneCellAnchor>
  <xdr:oneCellAnchor>
    <xdr:from>
      <xdr:col>10</xdr:col>
      <xdr:colOff>186254</xdr:colOff>
      <xdr:row>20</xdr:row>
      <xdr:rowOff>67708</xdr:rowOff>
    </xdr:from>
    <xdr:ext cx="219163" cy="58926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00000000-0008-0000-0200-000009000000}"/>
                </a:ext>
              </a:extLst>
            </xdr:cNvPr>
            <xdr:cNvSpPr txBox="1"/>
          </xdr:nvSpPr>
          <xdr:spPr>
            <a:xfrm rot="4965049">
              <a:off x="5697154" y="4415183"/>
              <a:ext cx="589264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</a:rPr>
                      <m:t>𝟗𝟐</m:t>
                    </m:r>
                    <m:r>
                      <a:rPr lang="en-US" sz="1400" b="1" i="1">
                        <a:latin typeface="Cambria Math" panose="02040503050406030204" pitchFamily="18" charset="0"/>
                      </a:rPr>
                      <m:t>.</m:t>
                    </m:r>
                    <m:r>
                      <a:rPr lang="en-US" sz="1400" b="1" i="1">
                        <a:latin typeface="Cambria Math" panose="02040503050406030204" pitchFamily="18" charset="0"/>
                      </a:rPr>
                      <m:t>𝟓</m:t>
                    </m:r>
                    <m:r>
                      <a:rPr lang="en-US" sz="1400" b="1" i="1">
                        <a:latin typeface="Cambria Math" panose="02040503050406030204" pitchFamily="18" charset="0"/>
                      </a:rPr>
                      <m:t>%</m:t>
                    </m:r>
                  </m:oMath>
                </m:oMathPara>
              </a14:m>
              <a:endParaRPr lang="en-US" sz="1400" b="1"/>
            </a:p>
          </xdr:txBody>
        </xdr:sp>
      </mc:Choice>
      <mc:Fallback xmlns="">
        <xdr:sp macro="" textlink="">
          <xdr:nvSpPr>
            <xdr:cNvPr id="9" name="TextBox 8"/>
            <xdr:cNvSpPr txBox="1"/>
          </xdr:nvSpPr>
          <xdr:spPr>
            <a:xfrm rot="4965049">
              <a:off x="5697154" y="4415183"/>
              <a:ext cx="589264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 i="0">
                  <a:latin typeface="Cambria Math" panose="02040503050406030204" pitchFamily="18" charset="0"/>
                </a:rPr>
                <a:t>𝟗𝟐.𝟓%</a:t>
              </a:r>
              <a:endParaRPr lang="en-US" sz="1400" b="1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9525</xdr:colOff>
      <xdr:row>27</xdr:row>
      <xdr:rowOff>4762</xdr:rowOff>
    </xdr:from>
    <xdr:to>
      <xdr:col>24</xdr:col>
      <xdr:colOff>314325</xdr:colOff>
      <xdr:row>39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932F5ED-EF35-425E-95D2-44604E1D96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9525</xdr:colOff>
      <xdr:row>39</xdr:row>
      <xdr:rowOff>219075</xdr:rowOff>
    </xdr:from>
    <xdr:to>
      <xdr:col>24</xdr:col>
      <xdr:colOff>314325</xdr:colOff>
      <xdr:row>51</xdr:row>
      <xdr:rowOff>219075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447ADA-77FE-43A6-B8E1-79BEC03184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9525</xdr:colOff>
      <xdr:row>53</xdr:row>
      <xdr:rowOff>9525</xdr:rowOff>
    </xdr:from>
    <xdr:to>
      <xdr:col>24</xdr:col>
      <xdr:colOff>314325</xdr:colOff>
      <xdr:row>65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6E26138-1B36-4004-B248-E4C4BE84C9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600075</xdr:colOff>
      <xdr:row>66</xdr:row>
      <xdr:rowOff>9525</xdr:rowOff>
    </xdr:from>
    <xdr:to>
      <xdr:col>24</xdr:col>
      <xdr:colOff>295275</xdr:colOff>
      <xdr:row>78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6693C08-C014-4BD0-AC56-D7E2B77635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79</xdr:row>
      <xdr:rowOff>0</xdr:rowOff>
    </xdr:from>
    <xdr:to>
      <xdr:col>24</xdr:col>
      <xdr:colOff>304800</xdr:colOff>
      <xdr:row>91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50E06E2-4647-4DE5-A841-462534A0DF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92</xdr:row>
      <xdr:rowOff>0</xdr:rowOff>
    </xdr:from>
    <xdr:to>
      <xdr:col>24</xdr:col>
      <xdr:colOff>304800</xdr:colOff>
      <xdr:row>104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90DB8F0-9705-402A-92E5-5E377AE02D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0</xdr:colOff>
      <xdr:row>105</xdr:row>
      <xdr:rowOff>0</xdr:rowOff>
    </xdr:from>
    <xdr:to>
      <xdr:col>24</xdr:col>
      <xdr:colOff>304800</xdr:colOff>
      <xdr:row>116</xdr:row>
      <xdr:rowOff>224117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F3BFA38-AD6D-4302-8D4C-64AE9B0794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0</xdr:colOff>
      <xdr:row>14</xdr:row>
      <xdr:rowOff>0</xdr:rowOff>
    </xdr:from>
    <xdr:to>
      <xdr:col>24</xdr:col>
      <xdr:colOff>304800</xdr:colOff>
      <xdr:row>26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30E3DA7-05F6-494B-B3CD-0CA0EA8382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13</xdr:row>
      <xdr:rowOff>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48EAB36-9AB7-4182-8EF7-E0E4E57907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53</xdr:col>
      <xdr:colOff>16809</xdr:colOff>
      <xdr:row>1</xdr:row>
      <xdr:rowOff>1120</xdr:rowOff>
    </xdr:from>
    <xdr:to>
      <xdr:col>60</xdr:col>
      <xdr:colOff>352985</xdr:colOff>
      <xdr:row>13</xdr:row>
      <xdr:rowOff>54909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F56F6BA-6148-4E77-B434-01D5486967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53</xdr:col>
      <xdr:colOff>0</xdr:colOff>
      <xdr:row>14</xdr:row>
      <xdr:rowOff>0</xdr:rowOff>
    </xdr:from>
    <xdr:to>
      <xdr:col>60</xdr:col>
      <xdr:colOff>336176</xdr:colOff>
      <xdr:row>26</xdr:row>
      <xdr:rowOff>53788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CA28EAB-236D-4401-A981-B669ACD112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53</xdr:col>
      <xdr:colOff>0</xdr:colOff>
      <xdr:row>27</xdr:row>
      <xdr:rowOff>0</xdr:rowOff>
    </xdr:from>
    <xdr:to>
      <xdr:col>60</xdr:col>
      <xdr:colOff>336176</xdr:colOff>
      <xdr:row>39</xdr:row>
      <xdr:rowOff>53788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3ACDE43-E21A-40AA-83C6-894990AE05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53</xdr:col>
      <xdr:colOff>0</xdr:colOff>
      <xdr:row>40</xdr:row>
      <xdr:rowOff>0</xdr:rowOff>
    </xdr:from>
    <xdr:to>
      <xdr:col>60</xdr:col>
      <xdr:colOff>336176</xdr:colOff>
      <xdr:row>52</xdr:row>
      <xdr:rowOff>53788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616F1D9E-7AAB-44D9-8E10-515A0CAF82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53</xdr:col>
      <xdr:colOff>0</xdr:colOff>
      <xdr:row>53</xdr:row>
      <xdr:rowOff>0</xdr:rowOff>
    </xdr:from>
    <xdr:to>
      <xdr:col>60</xdr:col>
      <xdr:colOff>336176</xdr:colOff>
      <xdr:row>65</xdr:row>
      <xdr:rowOff>53788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72676571-268D-402E-B4EA-45B3EB8D2F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53</xdr:col>
      <xdr:colOff>0</xdr:colOff>
      <xdr:row>66</xdr:row>
      <xdr:rowOff>0</xdr:rowOff>
    </xdr:from>
    <xdr:to>
      <xdr:col>60</xdr:col>
      <xdr:colOff>336176</xdr:colOff>
      <xdr:row>78</xdr:row>
      <xdr:rowOff>53789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28F830AF-E5D4-4030-9EFE-B054FC4FB9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53</xdr:col>
      <xdr:colOff>0</xdr:colOff>
      <xdr:row>79</xdr:row>
      <xdr:rowOff>0</xdr:rowOff>
    </xdr:from>
    <xdr:to>
      <xdr:col>60</xdr:col>
      <xdr:colOff>336176</xdr:colOff>
      <xdr:row>91</xdr:row>
      <xdr:rowOff>53788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808F014E-5894-4826-8922-689B97B6EC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53</xdr:col>
      <xdr:colOff>0</xdr:colOff>
      <xdr:row>92</xdr:row>
      <xdr:rowOff>0</xdr:rowOff>
    </xdr:from>
    <xdr:to>
      <xdr:col>60</xdr:col>
      <xdr:colOff>336176</xdr:colOff>
      <xdr:row>104</xdr:row>
      <xdr:rowOff>53789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C67745E9-1880-4680-BD91-0DBAF84311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53</xdr:col>
      <xdr:colOff>0</xdr:colOff>
      <xdr:row>105</xdr:row>
      <xdr:rowOff>0</xdr:rowOff>
    </xdr:from>
    <xdr:to>
      <xdr:col>60</xdr:col>
      <xdr:colOff>336176</xdr:colOff>
      <xdr:row>117</xdr:row>
      <xdr:rowOff>53788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CEC8B8A8-E7F1-4271-80F8-CBF218FE66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53</xdr:col>
      <xdr:colOff>0</xdr:colOff>
      <xdr:row>118</xdr:row>
      <xdr:rowOff>0</xdr:rowOff>
    </xdr:from>
    <xdr:to>
      <xdr:col>60</xdr:col>
      <xdr:colOff>336176</xdr:colOff>
      <xdr:row>130</xdr:row>
      <xdr:rowOff>53788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D85393A0-E782-4D5D-A5CA-9A3FF58F21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53</xdr:col>
      <xdr:colOff>0</xdr:colOff>
      <xdr:row>131</xdr:row>
      <xdr:rowOff>0</xdr:rowOff>
    </xdr:from>
    <xdr:to>
      <xdr:col>60</xdr:col>
      <xdr:colOff>336176</xdr:colOff>
      <xdr:row>143</xdr:row>
      <xdr:rowOff>53788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4CBE44AE-788F-4C37-B839-06F5FE405F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53</xdr:col>
      <xdr:colOff>0</xdr:colOff>
      <xdr:row>144</xdr:row>
      <xdr:rowOff>0</xdr:rowOff>
    </xdr:from>
    <xdr:to>
      <xdr:col>60</xdr:col>
      <xdr:colOff>336176</xdr:colOff>
      <xdr:row>156</xdr:row>
      <xdr:rowOff>53788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251BB7C8-9707-435C-87EA-C62A3E5B71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53</xdr:col>
      <xdr:colOff>0</xdr:colOff>
      <xdr:row>157</xdr:row>
      <xdr:rowOff>0</xdr:rowOff>
    </xdr:from>
    <xdr:to>
      <xdr:col>60</xdr:col>
      <xdr:colOff>336176</xdr:colOff>
      <xdr:row>169</xdr:row>
      <xdr:rowOff>53789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EE4FF733-FD8B-48F5-8E9F-2E4F55917D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53</xdr:col>
      <xdr:colOff>0</xdr:colOff>
      <xdr:row>170</xdr:row>
      <xdr:rowOff>0</xdr:rowOff>
    </xdr:from>
    <xdr:to>
      <xdr:col>60</xdr:col>
      <xdr:colOff>336176</xdr:colOff>
      <xdr:row>182</xdr:row>
      <xdr:rowOff>53788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53CD3C95-7499-4A36-AB94-3AD05D4355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53</xdr:col>
      <xdr:colOff>0</xdr:colOff>
      <xdr:row>183</xdr:row>
      <xdr:rowOff>0</xdr:rowOff>
    </xdr:from>
    <xdr:to>
      <xdr:col>60</xdr:col>
      <xdr:colOff>336176</xdr:colOff>
      <xdr:row>195</xdr:row>
      <xdr:rowOff>53788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3FD9EA3F-4066-4472-A35B-7C3A019840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17</xdr:col>
      <xdr:colOff>0</xdr:colOff>
      <xdr:row>118</xdr:row>
      <xdr:rowOff>0</xdr:rowOff>
    </xdr:from>
    <xdr:to>
      <xdr:col>24</xdr:col>
      <xdr:colOff>304800</xdr:colOff>
      <xdr:row>129</xdr:row>
      <xdr:rowOff>224117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D642B55D-9704-4E89-A826-459958ECCF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17</xdr:col>
      <xdr:colOff>0</xdr:colOff>
      <xdr:row>131</xdr:row>
      <xdr:rowOff>0</xdr:rowOff>
    </xdr:from>
    <xdr:to>
      <xdr:col>24</xdr:col>
      <xdr:colOff>304800</xdr:colOff>
      <xdr:row>143</xdr:row>
      <xdr:rowOff>-1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5DBC90E-B4F0-48D5-82C3-6A31CB1E24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17</xdr:col>
      <xdr:colOff>0</xdr:colOff>
      <xdr:row>144</xdr:row>
      <xdr:rowOff>0</xdr:rowOff>
    </xdr:from>
    <xdr:to>
      <xdr:col>24</xdr:col>
      <xdr:colOff>304800</xdr:colOff>
      <xdr:row>155</xdr:row>
      <xdr:rowOff>224117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613AC266-84DB-4AFB-8A96-CE133E384F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17</xdr:col>
      <xdr:colOff>0</xdr:colOff>
      <xdr:row>157</xdr:row>
      <xdr:rowOff>0</xdr:rowOff>
    </xdr:from>
    <xdr:to>
      <xdr:col>24</xdr:col>
      <xdr:colOff>304800</xdr:colOff>
      <xdr:row>169</xdr:row>
      <xdr:rowOff>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92418F0-A0ED-47B2-8A6D-BF0B66D4E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17</xdr:col>
      <xdr:colOff>0</xdr:colOff>
      <xdr:row>170</xdr:row>
      <xdr:rowOff>0</xdr:rowOff>
    </xdr:from>
    <xdr:to>
      <xdr:col>24</xdr:col>
      <xdr:colOff>304800</xdr:colOff>
      <xdr:row>181</xdr:row>
      <xdr:rowOff>224117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DD989354-8080-4494-B9EE-6460BD3872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17</xdr:col>
      <xdr:colOff>0</xdr:colOff>
      <xdr:row>183</xdr:row>
      <xdr:rowOff>0</xdr:rowOff>
    </xdr:from>
    <xdr:to>
      <xdr:col>24</xdr:col>
      <xdr:colOff>304800</xdr:colOff>
      <xdr:row>194</xdr:row>
      <xdr:rowOff>224116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9CD58A05-EB6E-442B-B651-6E237E9F77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61</xdr:col>
      <xdr:colOff>39220</xdr:colOff>
      <xdr:row>1</xdr:row>
      <xdr:rowOff>23531</xdr:rowOff>
    </xdr:from>
    <xdr:to>
      <xdr:col>68</xdr:col>
      <xdr:colOff>375397</xdr:colOff>
      <xdr:row>13</xdr:row>
      <xdr:rowOff>77320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695C3F8F-7F8D-436A-A631-9CB76F466B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61</xdr:col>
      <xdr:colOff>0</xdr:colOff>
      <xdr:row>14</xdr:row>
      <xdr:rowOff>0</xdr:rowOff>
    </xdr:from>
    <xdr:to>
      <xdr:col>68</xdr:col>
      <xdr:colOff>336177</xdr:colOff>
      <xdr:row>26</xdr:row>
      <xdr:rowOff>53788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5737E9B2-CC64-413A-A02B-14EE3BD414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61</xdr:col>
      <xdr:colOff>0</xdr:colOff>
      <xdr:row>27</xdr:row>
      <xdr:rowOff>0</xdr:rowOff>
    </xdr:from>
    <xdr:to>
      <xdr:col>68</xdr:col>
      <xdr:colOff>336177</xdr:colOff>
      <xdr:row>39</xdr:row>
      <xdr:rowOff>53788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D00C2FD2-4EBF-4FFA-BC0C-6929F7A889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61</xdr:col>
      <xdr:colOff>0</xdr:colOff>
      <xdr:row>40</xdr:row>
      <xdr:rowOff>0</xdr:rowOff>
    </xdr:from>
    <xdr:to>
      <xdr:col>68</xdr:col>
      <xdr:colOff>336177</xdr:colOff>
      <xdr:row>52</xdr:row>
      <xdr:rowOff>53788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0E8077BB-4A8E-4B40-8F81-4389908BC6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17</xdr:col>
      <xdr:colOff>0</xdr:colOff>
      <xdr:row>196</xdr:row>
      <xdr:rowOff>0</xdr:rowOff>
    </xdr:from>
    <xdr:to>
      <xdr:col>24</xdr:col>
      <xdr:colOff>304800</xdr:colOff>
      <xdr:row>208</xdr:row>
      <xdr:rowOff>-1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06906681-2586-461D-B2EA-75846B1109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17</xdr:col>
      <xdr:colOff>0</xdr:colOff>
      <xdr:row>209</xdr:row>
      <xdr:rowOff>0</xdr:rowOff>
    </xdr:from>
    <xdr:to>
      <xdr:col>24</xdr:col>
      <xdr:colOff>304800</xdr:colOff>
      <xdr:row>220</xdr:row>
      <xdr:rowOff>224117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EAFD7A5E-3A84-4D49-80D0-A0DC46B825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17</xdr:col>
      <xdr:colOff>0</xdr:colOff>
      <xdr:row>222</xdr:row>
      <xdr:rowOff>0</xdr:rowOff>
    </xdr:from>
    <xdr:to>
      <xdr:col>24</xdr:col>
      <xdr:colOff>304800</xdr:colOff>
      <xdr:row>234</xdr:row>
      <xdr:rowOff>0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1BF0FC74-A859-4479-8894-96BA1C27BB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17</xdr:col>
      <xdr:colOff>0</xdr:colOff>
      <xdr:row>235</xdr:row>
      <xdr:rowOff>0</xdr:rowOff>
    </xdr:from>
    <xdr:to>
      <xdr:col>24</xdr:col>
      <xdr:colOff>304800</xdr:colOff>
      <xdr:row>246</xdr:row>
      <xdr:rowOff>224117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70440443-6802-4360-B21A-6CC79555F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17</xdr:col>
      <xdr:colOff>0</xdr:colOff>
      <xdr:row>248</xdr:row>
      <xdr:rowOff>0</xdr:rowOff>
    </xdr:from>
    <xdr:to>
      <xdr:col>24</xdr:col>
      <xdr:colOff>304800</xdr:colOff>
      <xdr:row>259</xdr:row>
      <xdr:rowOff>224116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B1F888B9-C03A-49C7-AB76-4AAFA09865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17</xdr:col>
      <xdr:colOff>0</xdr:colOff>
      <xdr:row>261</xdr:row>
      <xdr:rowOff>0</xdr:rowOff>
    </xdr:from>
    <xdr:to>
      <xdr:col>24</xdr:col>
      <xdr:colOff>304800</xdr:colOff>
      <xdr:row>272</xdr:row>
      <xdr:rowOff>224117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83B6E519-7E74-4B32-82F8-8214D9CBD1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53</xdr:col>
      <xdr:colOff>0</xdr:colOff>
      <xdr:row>196</xdr:row>
      <xdr:rowOff>0</xdr:rowOff>
    </xdr:from>
    <xdr:to>
      <xdr:col>60</xdr:col>
      <xdr:colOff>336176</xdr:colOff>
      <xdr:row>208</xdr:row>
      <xdr:rowOff>53789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AF3C73D5-BF71-4A83-820B-396BE4CC6C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53</xdr:col>
      <xdr:colOff>0</xdr:colOff>
      <xdr:row>209</xdr:row>
      <xdr:rowOff>0</xdr:rowOff>
    </xdr:from>
    <xdr:to>
      <xdr:col>60</xdr:col>
      <xdr:colOff>336176</xdr:colOff>
      <xdr:row>221</xdr:row>
      <xdr:rowOff>53789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88B05CC2-2CF6-4124-AAC8-4D4D7EFAD7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53</xdr:col>
      <xdr:colOff>0</xdr:colOff>
      <xdr:row>222</xdr:row>
      <xdr:rowOff>0</xdr:rowOff>
    </xdr:from>
    <xdr:to>
      <xdr:col>60</xdr:col>
      <xdr:colOff>336176</xdr:colOff>
      <xdr:row>234</xdr:row>
      <xdr:rowOff>53789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105A34D3-498D-4116-9FFF-0E16B80979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53</xdr:col>
      <xdr:colOff>0</xdr:colOff>
      <xdr:row>235</xdr:row>
      <xdr:rowOff>0</xdr:rowOff>
    </xdr:from>
    <xdr:to>
      <xdr:col>60</xdr:col>
      <xdr:colOff>336176</xdr:colOff>
      <xdr:row>247</xdr:row>
      <xdr:rowOff>53789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65D22D9A-387A-485B-AF92-A4381BF1E8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53</xdr:col>
      <xdr:colOff>0</xdr:colOff>
      <xdr:row>248</xdr:row>
      <xdr:rowOff>0</xdr:rowOff>
    </xdr:from>
    <xdr:to>
      <xdr:col>60</xdr:col>
      <xdr:colOff>336176</xdr:colOff>
      <xdr:row>260</xdr:row>
      <xdr:rowOff>53789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ABA4D02F-B1D2-4D1A-ABC3-5B4AA2205E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53</xdr:col>
      <xdr:colOff>0</xdr:colOff>
      <xdr:row>261</xdr:row>
      <xdr:rowOff>0</xdr:rowOff>
    </xdr:from>
    <xdr:to>
      <xdr:col>60</xdr:col>
      <xdr:colOff>336176</xdr:colOff>
      <xdr:row>273</xdr:row>
      <xdr:rowOff>53789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F4DB828B-1BA1-4223-8176-B7AFC915F9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70</xdr:col>
      <xdr:colOff>27214</xdr:colOff>
      <xdr:row>0</xdr:row>
      <xdr:rowOff>227238</xdr:rowOff>
    </xdr:from>
    <xdr:to>
      <xdr:col>77</xdr:col>
      <xdr:colOff>312964</xdr:colOff>
      <xdr:row>12</xdr:row>
      <xdr:rowOff>194581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F5D7956E-A302-43F7-A06C-FCE65BDF08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70</xdr:col>
      <xdr:colOff>0</xdr:colOff>
      <xdr:row>14</xdr:row>
      <xdr:rowOff>0</xdr:rowOff>
    </xdr:from>
    <xdr:to>
      <xdr:col>77</xdr:col>
      <xdr:colOff>285750</xdr:colOff>
      <xdr:row>25</xdr:row>
      <xdr:rowOff>198664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1C8450DC-3A3A-49E5-A98E-F9EC4BC129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70</xdr:col>
      <xdr:colOff>0</xdr:colOff>
      <xdr:row>27</xdr:row>
      <xdr:rowOff>0</xdr:rowOff>
    </xdr:from>
    <xdr:to>
      <xdr:col>77</xdr:col>
      <xdr:colOff>285750</xdr:colOff>
      <xdr:row>38</xdr:row>
      <xdr:rowOff>198665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74221013-74F4-4B32-9A05-E302EC2F8F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70</xdr:col>
      <xdr:colOff>0</xdr:colOff>
      <xdr:row>40</xdr:row>
      <xdr:rowOff>0</xdr:rowOff>
    </xdr:from>
    <xdr:to>
      <xdr:col>77</xdr:col>
      <xdr:colOff>285750</xdr:colOff>
      <xdr:row>51</xdr:row>
      <xdr:rowOff>198664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578EDB4D-C8A8-4D7E-B60A-E0F263FAD4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70</xdr:col>
      <xdr:colOff>0</xdr:colOff>
      <xdr:row>53</xdr:row>
      <xdr:rowOff>0</xdr:rowOff>
    </xdr:from>
    <xdr:to>
      <xdr:col>77</xdr:col>
      <xdr:colOff>285750</xdr:colOff>
      <xdr:row>64</xdr:row>
      <xdr:rowOff>198665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84E8F9FC-76ED-4A32-BE09-BAD2BBE06C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70</xdr:col>
      <xdr:colOff>0</xdr:colOff>
      <xdr:row>66</xdr:row>
      <xdr:rowOff>0</xdr:rowOff>
    </xdr:from>
    <xdr:to>
      <xdr:col>77</xdr:col>
      <xdr:colOff>285750</xdr:colOff>
      <xdr:row>77</xdr:row>
      <xdr:rowOff>198664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1316D0DF-7B4F-4DF0-B34C-3DF6FEB0BC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70</xdr:col>
      <xdr:colOff>0</xdr:colOff>
      <xdr:row>79</xdr:row>
      <xdr:rowOff>0</xdr:rowOff>
    </xdr:from>
    <xdr:to>
      <xdr:col>77</xdr:col>
      <xdr:colOff>285750</xdr:colOff>
      <xdr:row>90</xdr:row>
      <xdr:rowOff>198664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745DE2E9-257B-4EBF-850C-89D287EEE0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>
    <xdr:from>
      <xdr:col>70</xdr:col>
      <xdr:colOff>0</xdr:colOff>
      <xdr:row>92</xdr:row>
      <xdr:rowOff>0</xdr:rowOff>
    </xdr:from>
    <xdr:to>
      <xdr:col>77</xdr:col>
      <xdr:colOff>336176</xdr:colOff>
      <xdr:row>104</xdr:row>
      <xdr:rowOff>53789</xdr:rowOff>
    </xdr:to>
    <xdr:graphicFrame macro="">
      <xdr:nvGraphicFramePr>
        <xdr:cNvPr id="56" name="Chart 55">
          <a:extLst>
            <a:ext uri="{FF2B5EF4-FFF2-40B4-BE49-F238E27FC236}">
              <a16:creationId xmlns:a16="http://schemas.microsoft.com/office/drawing/2014/main" id="{3E92ED6A-FFF3-45A4-9518-8E362EB6F6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>
    <xdr:from>
      <xdr:col>70</xdr:col>
      <xdr:colOff>0</xdr:colOff>
      <xdr:row>105</xdr:row>
      <xdr:rowOff>0</xdr:rowOff>
    </xdr:from>
    <xdr:to>
      <xdr:col>77</xdr:col>
      <xdr:colOff>336176</xdr:colOff>
      <xdr:row>117</xdr:row>
      <xdr:rowOff>53788</xdr:rowOff>
    </xdr:to>
    <xdr:graphicFrame macro="">
      <xdr:nvGraphicFramePr>
        <xdr:cNvPr id="57" name="Chart 56">
          <a:extLst>
            <a:ext uri="{FF2B5EF4-FFF2-40B4-BE49-F238E27FC236}">
              <a16:creationId xmlns:a16="http://schemas.microsoft.com/office/drawing/2014/main" id="{AE235D5A-8D4D-40F8-B266-10609BE4B1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>
    <xdr:from>
      <xdr:col>70</xdr:col>
      <xdr:colOff>0</xdr:colOff>
      <xdr:row>118</xdr:row>
      <xdr:rowOff>0</xdr:rowOff>
    </xdr:from>
    <xdr:to>
      <xdr:col>77</xdr:col>
      <xdr:colOff>336176</xdr:colOff>
      <xdr:row>130</xdr:row>
      <xdr:rowOff>53788</xdr:rowOff>
    </xdr:to>
    <xdr:graphicFrame macro="">
      <xdr:nvGraphicFramePr>
        <xdr:cNvPr id="58" name="Chart 57">
          <a:extLst>
            <a:ext uri="{FF2B5EF4-FFF2-40B4-BE49-F238E27FC236}">
              <a16:creationId xmlns:a16="http://schemas.microsoft.com/office/drawing/2014/main" id="{D6D951C2-3949-4959-AC15-3DECABA53B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>
    <xdr:from>
      <xdr:col>70</xdr:col>
      <xdr:colOff>0</xdr:colOff>
      <xdr:row>131</xdr:row>
      <xdr:rowOff>0</xdr:rowOff>
    </xdr:from>
    <xdr:to>
      <xdr:col>77</xdr:col>
      <xdr:colOff>336176</xdr:colOff>
      <xdr:row>143</xdr:row>
      <xdr:rowOff>53788</xdr:rowOff>
    </xdr:to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12D04376-103C-4AE2-A480-2695EF4D42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>
    <xdr:from>
      <xdr:col>70</xdr:col>
      <xdr:colOff>0</xdr:colOff>
      <xdr:row>144</xdr:row>
      <xdr:rowOff>0</xdr:rowOff>
    </xdr:from>
    <xdr:to>
      <xdr:col>77</xdr:col>
      <xdr:colOff>336176</xdr:colOff>
      <xdr:row>156</xdr:row>
      <xdr:rowOff>53788</xdr:rowOff>
    </xdr:to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CBDBF3E3-DD74-4F5A-AE57-25DAD8FA0E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>
    <xdr:from>
      <xdr:col>70</xdr:col>
      <xdr:colOff>0</xdr:colOff>
      <xdr:row>157</xdr:row>
      <xdr:rowOff>0</xdr:rowOff>
    </xdr:from>
    <xdr:to>
      <xdr:col>77</xdr:col>
      <xdr:colOff>336176</xdr:colOff>
      <xdr:row>169</xdr:row>
      <xdr:rowOff>53789</xdr:rowOff>
    </xdr:to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294A7E01-AA79-4CE0-B7DB-0C78576376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>
    <xdr:from>
      <xdr:col>70</xdr:col>
      <xdr:colOff>0</xdr:colOff>
      <xdr:row>170</xdr:row>
      <xdr:rowOff>0</xdr:rowOff>
    </xdr:from>
    <xdr:to>
      <xdr:col>77</xdr:col>
      <xdr:colOff>336176</xdr:colOff>
      <xdr:row>182</xdr:row>
      <xdr:rowOff>53788</xdr:rowOff>
    </xdr:to>
    <xdr:graphicFrame macro="">
      <xdr:nvGraphicFramePr>
        <xdr:cNvPr id="62" name="Chart 61">
          <a:extLst>
            <a:ext uri="{FF2B5EF4-FFF2-40B4-BE49-F238E27FC236}">
              <a16:creationId xmlns:a16="http://schemas.microsoft.com/office/drawing/2014/main" id="{454B2026-D0A6-4B50-A7E7-F15C3B2916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>
    <xdr:from>
      <xdr:col>70</xdr:col>
      <xdr:colOff>0</xdr:colOff>
      <xdr:row>183</xdr:row>
      <xdr:rowOff>0</xdr:rowOff>
    </xdr:from>
    <xdr:to>
      <xdr:col>77</xdr:col>
      <xdr:colOff>336176</xdr:colOff>
      <xdr:row>195</xdr:row>
      <xdr:rowOff>53788</xdr:rowOff>
    </xdr:to>
    <xdr:graphicFrame macro="">
      <xdr:nvGraphicFramePr>
        <xdr:cNvPr id="63" name="Chart 62">
          <a:extLst>
            <a:ext uri="{FF2B5EF4-FFF2-40B4-BE49-F238E27FC236}">
              <a16:creationId xmlns:a16="http://schemas.microsoft.com/office/drawing/2014/main" id="{30589E4A-DF7F-43E3-A31E-D5A2CAC3F1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>
    <xdr:from>
      <xdr:col>70</xdr:col>
      <xdr:colOff>0</xdr:colOff>
      <xdr:row>196</xdr:row>
      <xdr:rowOff>0</xdr:rowOff>
    </xdr:from>
    <xdr:to>
      <xdr:col>77</xdr:col>
      <xdr:colOff>336176</xdr:colOff>
      <xdr:row>208</xdr:row>
      <xdr:rowOff>53789</xdr:rowOff>
    </xdr:to>
    <xdr:graphicFrame macro="">
      <xdr:nvGraphicFramePr>
        <xdr:cNvPr id="64" name="Chart 63">
          <a:extLst>
            <a:ext uri="{FF2B5EF4-FFF2-40B4-BE49-F238E27FC236}">
              <a16:creationId xmlns:a16="http://schemas.microsoft.com/office/drawing/2014/main" id="{F852E0C0-7577-4F60-9179-EAF19AB639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  <xdr:twoCellAnchor>
    <xdr:from>
      <xdr:col>70</xdr:col>
      <xdr:colOff>0</xdr:colOff>
      <xdr:row>209</xdr:row>
      <xdr:rowOff>0</xdr:rowOff>
    </xdr:from>
    <xdr:to>
      <xdr:col>77</xdr:col>
      <xdr:colOff>336176</xdr:colOff>
      <xdr:row>221</xdr:row>
      <xdr:rowOff>53789</xdr:rowOff>
    </xdr:to>
    <xdr:graphicFrame macro="">
      <xdr:nvGraphicFramePr>
        <xdr:cNvPr id="65" name="Chart 64">
          <a:extLst>
            <a:ext uri="{FF2B5EF4-FFF2-40B4-BE49-F238E27FC236}">
              <a16:creationId xmlns:a16="http://schemas.microsoft.com/office/drawing/2014/main" id="{F9592A93-0884-4EC5-8B7B-856C85187D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twoCellAnchor>
  <xdr:twoCellAnchor>
    <xdr:from>
      <xdr:col>70</xdr:col>
      <xdr:colOff>0</xdr:colOff>
      <xdr:row>222</xdr:row>
      <xdr:rowOff>0</xdr:rowOff>
    </xdr:from>
    <xdr:to>
      <xdr:col>77</xdr:col>
      <xdr:colOff>336176</xdr:colOff>
      <xdr:row>234</xdr:row>
      <xdr:rowOff>53789</xdr:rowOff>
    </xdr:to>
    <xdr:graphicFrame macro="">
      <xdr:nvGraphicFramePr>
        <xdr:cNvPr id="66" name="Chart 65">
          <a:extLst>
            <a:ext uri="{FF2B5EF4-FFF2-40B4-BE49-F238E27FC236}">
              <a16:creationId xmlns:a16="http://schemas.microsoft.com/office/drawing/2014/main" id="{EF6D10D1-D1A9-4105-95A7-ADB007A637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/>
  </xdr:twoCellAnchor>
  <xdr:twoCellAnchor>
    <xdr:from>
      <xdr:col>70</xdr:col>
      <xdr:colOff>0</xdr:colOff>
      <xdr:row>235</xdr:row>
      <xdr:rowOff>0</xdr:rowOff>
    </xdr:from>
    <xdr:to>
      <xdr:col>77</xdr:col>
      <xdr:colOff>336176</xdr:colOff>
      <xdr:row>247</xdr:row>
      <xdr:rowOff>53789</xdr:rowOff>
    </xdr:to>
    <xdr:graphicFrame macro="">
      <xdr:nvGraphicFramePr>
        <xdr:cNvPr id="67" name="Chart 66">
          <a:extLst>
            <a:ext uri="{FF2B5EF4-FFF2-40B4-BE49-F238E27FC236}">
              <a16:creationId xmlns:a16="http://schemas.microsoft.com/office/drawing/2014/main" id="{F0C70F40-913B-4B83-9EB0-D685E09BD4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xdr:graphicFrame>
    <xdr:clientData/>
  </xdr:twoCellAnchor>
  <xdr:twoCellAnchor>
    <xdr:from>
      <xdr:col>70</xdr:col>
      <xdr:colOff>0</xdr:colOff>
      <xdr:row>248</xdr:row>
      <xdr:rowOff>0</xdr:rowOff>
    </xdr:from>
    <xdr:to>
      <xdr:col>77</xdr:col>
      <xdr:colOff>336176</xdr:colOff>
      <xdr:row>260</xdr:row>
      <xdr:rowOff>53789</xdr:rowOff>
    </xdr:to>
    <xdr:graphicFrame macro="">
      <xdr:nvGraphicFramePr>
        <xdr:cNvPr id="68" name="Chart 67">
          <a:extLst>
            <a:ext uri="{FF2B5EF4-FFF2-40B4-BE49-F238E27FC236}">
              <a16:creationId xmlns:a16="http://schemas.microsoft.com/office/drawing/2014/main" id="{D693FADA-1388-4D38-AF56-0002A388D6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xdr:graphicFrame>
    <xdr:clientData/>
  </xdr:twoCellAnchor>
  <xdr:twoCellAnchor>
    <xdr:from>
      <xdr:col>70</xdr:col>
      <xdr:colOff>0</xdr:colOff>
      <xdr:row>261</xdr:row>
      <xdr:rowOff>0</xdr:rowOff>
    </xdr:from>
    <xdr:to>
      <xdr:col>77</xdr:col>
      <xdr:colOff>336176</xdr:colOff>
      <xdr:row>273</xdr:row>
      <xdr:rowOff>53789</xdr:rowOff>
    </xdr:to>
    <xdr:graphicFrame macro="">
      <xdr:nvGraphicFramePr>
        <xdr:cNvPr id="69" name="Chart 68">
          <a:extLst>
            <a:ext uri="{FF2B5EF4-FFF2-40B4-BE49-F238E27FC236}">
              <a16:creationId xmlns:a16="http://schemas.microsoft.com/office/drawing/2014/main" id="{DC18A511-F499-4254-9E5C-E96ADD2D1C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xdr:graphicFrame>
    <xdr:clientData/>
  </xdr:twoCellAnchor>
  <xdr:twoCellAnchor>
    <xdr:from>
      <xdr:col>79</xdr:col>
      <xdr:colOff>0</xdr:colOff>
      <xdr:row>1</xdr:row>
      <xdr:rowOff>0</xdr:rowOff>
    </xdr:from>
    <xdr:to>
      <xdr:col>86</xdr:col>
      <xdr:colOff>285750</xdr:colOff>
      <xdr:row>12</xdr:row>
      <xdr:rowOff>198664</xdr:rowOff>
    </xdr:to>
    <xdr:graphicFrame macro="">
      <xdr:nvGraphicFramePr>
        <xdr:cNvPr id="70" name="Chart 69">
          <a:extLst>
            <a:ext uri="{FF2B5EF4-FFF2-40B4-BE49-F238E27FC236}">
              <a16:creationId xmlns:a16="http://schemas.microsoft.com/office/drawing/2014/main" id="{9B859CE4-2D90-41BA-93B0-BE475FFFC9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xdr:graphicFrame>
    <xdr:clientData/>
  </xdr:twoCellAnchor>
  <xdr:twoCellAnchor>
    <xdr:from>
      <xdr:col>79</xdr:col>
      <xdr:colOff>0</xdr:colOff>
      <xdr:row>14</xdr:row>
      <xdr:rowOff>0</xdr:rowOff>
    </xdr:from>
    <xdr:to>
      <xdr:col>86</xdr:col>
      <xdr:colOff>285750</xdr:colOff>
      <xdr:row>25</xdr:row>
      <xdr:rowOff>198664</xdr:rowOff>
    </xdr:to>
    <xdr:graphicFrame macro="">
      <xdr:nvGraphicFramePr>
        <xdr:cNvPr id="72" name="Chart 71">
          <a:extLst>
            <a:ext uri="{FF2B5EF4-FFF2-40B4-BE49-F238E27FC236}">
              <a16:creationId xmlns:a16="http://schemas.microsoft.com/office/drawing/2014/main" id="{DB3A30D6-1C43-42AE-993D-FE28EE9643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xdr:graphicFrame>
    <xdr:clientData/>
  </xdr:twoCellAnchor>
  <xdr:twoCellAnchor>
    <xdr:from>
      <xdr:col>79</xdr:col>
      <xdr:colOff>0</xdr:colOff>
      <xdr:row>27</xdr:row>
      <xdr:rowOff>0</xdr:rowOff>
    </xdr:from>
    <xdr:to>
      <xdr:col>86</xdr:col>
      <xdr:colOff>285750</xdr:colOff>
      <xdr:row>38</xdr:row>
      <xdr:rowOff>198665</xdr:rowOff>
    </xdr:to>
    <xdr:graphicFrame macro="">
      <xdr:nvGraphicFramePr>
        <xdr:cNvPr id="73" name="Chart 72">
          <a:extLst>
            <a:ext uri="{FF2B5EF4-FFF2-40B4-BE49-F238E27FC236}">
              <a16:creationId xmlns:a16="http://schemas.microsoft.com/office/drawing/2014/main" id="{44AA719E-7606-4B44-B907-ED3064DE07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xdr:graphicFrame>
    <xdr:clientData/>
  </xdr:twoCellAnchor>
  <xdr:twoCellAnchor>
    <xdr:from>
      <xdr:col>79</xdr:col>
      <xdr:colOff>0</xdr:colOff>
      <xdr:row>40</xdr:row>
      <xdr:rowOff>0</xdr:rowOff>
    </xdr:from>
    <xdr:to>
      <xdr:col>86</xdr:col>
      <xdr:colOff>285750</xdr:colOff>
      <xdr:row>51</xdr:row>
      <xdr:rowOff>198664</xdr:rowOff>
    </xdr:to>
    <xdr:graphicFrame macro="">
      <xdr:nvGraphicFramePr>
        <xdr:cNvPr id="74" name="Chart 73">
          <a:extLst>
            <a:ext uri="{FF2B5EF4-FFF2-40B4-BE49-F238E27FC236}">
              <a16:creationId xmlns:a16="http://schemas.microsoft.com/office/drawing/2014/main" id="{80435A81-3A4E-42C0-B0B7-D767D4039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xdr:graphicFrame>
    <xdr:clientData/>
  </xdr:twoCellAnchor>
  <xdr:twoCellAnchor>
    <xdr:from>
      <xdr:col>79</xdr:col>
      <xdr:colOff>0</xdr:colOff>
      <xdr:row>53</xdr:row>
      <xdr:rowOff>0</xdr:rowOff>
    </xdr:from>
    <xdr:to>
      <xdr:col>86</xdr:col>
      <xdr:colOff>285750</xdr:colOff>
      <xdr:row>64</xdr:row>
      <xdr:rowOff>198665</xdr:rowOff>
    </xdr:to>
    <xdr:graphicFrame macro="">
      <xdr:nvGraphicFramePr>
        <xdr:cNvPr id="75" name="Chart 74">
          <a:extLst>
            <a:ext uri="{FF2B5EF4-FFF2-40B4-BE49-F238E27FC236}">
              <a16:creationId xmlns:a16="http://schemas.microsoft.com/office/drawing/2014/main" id="{5354E384-B2D5-43AC-B687-69D23B1243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xdr:graphicFrame>
    <xdr:clientData/>
  </xdr:twoCellAnchor>
  <xdr:twoCellAnchor>
    <xdr:from>
      <xdr:col>79</xdr:col>
      <xdr:colOff>0</xdr:colOff>
      <xdr:row>66</xdr:row>
      <xdr:rowOff>0</xdr:rowOff>
    </xdr:from>
    <xdr:to>
      <xdr:col>86</xdr:col>
      <xdr:colOff>285750</xdr:colOff>
      <xdr:row>77</xdr:row>
      <xdr:rowOff>198664</xdr:rowOff>
    </xdr:to>
    <xdr:graphicFrame macro="">
      <xdr:nvGraphicFramePr>
        <xdr:cNvPr id="76" name="Chart 75">
          <a:extLst>
            <a:ext uri="{FF2B5EF4-FFF2-40B4-BE49-F238E27FC236}">
              <a16:creationId xmlns:a16="http://schemas.microsoft.com/office/drawing/2014/main" id="{FC43ADD8-839B-4F93-B899-A92BE004D1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xdr:graphicFrame>
    <xdr:clientData/>
  </xdr:twoCellAnchor>
  <xdr:twoCellAnchor>
    <xdr:from>
      <xdr:col>79</xdr:col>
      <xdr:colOff>0</xdr:colOff>
      <xdr:row>79</xdr:row>
      <xdr:rowOff>0</xdr:rowOff>
    </xdr:from>
    <xdr:to>
      <xdr:col>86</xdr:col>
      <xdr:colOff>285750</xdr:colOff>
      <xdr:row>90</xdr:row>
      <xdr:rowOff>198664</xdr:rowOff>
    </xdr:to>
    <xdr:graphicFrame macro="">
      <xdr:nvGraphicFramePr>
        <xdr:cNvPr id="77" name="Chart 76">
          <a:extLst>
            <a:ext uri="{FF2B5EF4-FFF2-40B4-BE49-F238E27FC236}">
              <a16:creationId xmlns:a16="http://schemas.microsoft.com/office/drawing/2014/main" id="{9C1A31EC-7920-4E8A-A711-0CA74F17BD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xdr:graphicFrame>
    <xdr:clientData/>
  </xdr:twoCellAnchor>
  <xdr:twoCellAnchor>
    <xdr:from>
      <xdr:col>79</xdr:col>
      <xdr:colOff>0</xdr:colOff>
      <xdr:row>92</xdr:row>
      <xdr:rowOff>0</xdr:rowOff>
    </xdr:from>
    <xdr:to>
      <xdr:col>86</xdr:col>
      <xdr:colOff>336176</xdr:colOff>
      <xdr:row>104</xdr:row>
      <xdr:rowOff>53789</xdr:rowOff>
    </xdr:to>
    <xdr:graphicFrame macro="">
      <xdr:nvGraphicFramePr>
        <xdr:cNvPr id="78" name="Chart 77">
          <a:extLst>
            <a:ext uri="{FF2B5EF4-FFF2-40B4-BE49-F238E27FC236}">
              <a16:creationId xmlns:a16="http://schemas.microsoft.com/office/drawing/2014/main" id="{5D18FA53-1950-4E9E-B12D-13E46DC8F4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xdr:graphicFrame>
    <xdr:clientData/>
  </xdr:twoCellAnchor>
  <xdr:twoCellAnchor>
    <xdr:from>
      <xdr:col>79</xdr:col>
      <xdr:colOff>0</xdr:colOff>
      <xdr:row>105</xdr:row>
      <xdr:rowOff>0</xdr:rowOff>
    </xdr:from>
    <xdr:to>
      <xdr:col>86</xdr:col>
      <xdr:colOff>336176</xdr:colOff>
      <xdr:row>117</xdr:row>
      <xdr:rowOff>53788</xdr:rowOff>
    </xdr:to>
    <xdr:graphicFrame macro="">
      <xdr:nvGraphicFramePr>
        <xdr:cNvPr id="79" name="Chart 78">
          <a:extLst>
            <a:ext uri="{FF2B5EF4-FFF2-40B4-BE49-F238E27FC236}">
              <a16:creationId xmlns:a16="http://schemas.microsoft.com/office/drawing/2014/main" id="{88659B2D-1F19-4EE9-8D1A-AFA0591326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xdr:graphicFrame>
    <xdr:clientData/>
  </xdr:twoCellAnchor>
  <xdr:twoCellAnchor>
    <xdr:from>
      <xdr:col>79</xdr:col>
      <xdr:colOff>0</xdr:colOff>
      <xdr:row>118</xdr:row>
      <xdr:rowOff>0</xdr:rowOff>
    </xdr:from>
    <xdr:to>
      <xdr:col>86</xdr:col>
      <xdr:colOff>336176</xdr:colOff>
      <xdr:row>130</xdr:row>
      <xdr:rowOff>53788</xdr:rowOff>
    </xdr:to>
    <xdr:graphicFrame macro="">
      <xdr:nvGraphicFramePr>
        <xdr:cNvPr id="80" name="Chart 79">
          <a:extLst>
            <a:ext uri="{FF2B5EF4-FFF2-40B4-BE49-F238E27FC236}">
              <a16:creationId xmlns:a16="http://schemas.microsoft.com/office/drawing/2014/main" id="{E5481205-DD31-4741-BFBF-1BE30667C9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xdr:graphicFrame>
    <xdr:clientData/>
  </xdr:twoCellAnchor>
  <xdr:twoCellAnchor>
    <xdr:from>
      <xdr:col>79</xdr:col>
      <xdr:colOff>0</xdr:colOff>
      <xdr:row>131</xdr:row>
      <xdr:rowOff>0</xdr:rowOff>
    </xdr:from>
    <xdr:to>
      <xdr:col>86</xdr:col>
      <xdr:colOff>336176</xdr:colOff>
      <xdr:row>143</xdr:row>
      <xdr:rowOff>53788</xdr:rowOff>
    </xdr:to>
    <xdr:graphicFrame macro="">
      <xdr:nvGraphicFramePr>
        <xdr:cNvPr id="81" name="Chart 80">
          <a:extLst>
            <a:ext uri="{FF2B5EF4-FFF2-40B4-BE49-F238E27FC236}">
              <a16:creationId xmlns:a16="http://schemas.microsoft.com/office/drawing/2014/main" id="{B7126B16-1072-41F8-9472-40ED3B39FA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xdr:graphicFrame>
    <xdr:clientData/>
  </xdr:twoCellAnchor>
  <xdr:twoCellAnchor>
    <xdr:from>
      <xdr:col>79</xdr:col>
      <xdr:colOff>0</xdr:colOff>
      <xdr:row>144</xdr:row>
      <xdr:rowOff>0</xdr:rowOff>
    </xdr:from>
    <xdr:to>
      <xdr:col>86</xdr:col>
      <xdr:colOff>336176</xdr:colOff>
      <xdr:row>156</xdr:row>
      <xdr:rowOff>53788</xdr:rowOff>
    </xdr:to>
    <xdr:graphicFrame macro="">
      <xdr:nvGraphicFramePr>
        <xdr:cNvPr id="82" name="Chart 81">
          <a:extLst>
            <a:ext uri="{FF2B5EF4-FFF2-40B4-BE49-F238E27FC236}">
              <a16:creationId xmlns:a16="http://schemas.microsoft.com/office/drawing/2014/main" id="{493C136D-9558-481E-BBA2-A23F170E11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xdr:graphicFrame>
    <xdr:clientData/>
  </xdr:twoCellAnchor>
  <xdr:twoCellAnchor>
    <xdr:from>
      <xdr:col>79</xdr:col>
      <xdr:colOff>0</xdr:colOff>
      <xdr:row>157</xdr:row>
      <xdr:rowOff>0</xdr:rowOff>
    </xdr:from>
    <xdr:to>
      <xdr:col>86</xdr:col>
      <xdr:colOff>336176</xdr:colOff>
      <xdr:row>169</xdr:row>
      <xdr:rowOff>53789</xdr:rowOff>
    </xdr:to>
    <xdr:graphicFrame macro="">
      <xdr:nvGraphicFramePr>
        <xdr:cNvPr id="83" name="Chart 82">
          <a:extLst>
            <a:ext uri="{FF2B5EF4-FFF2-40B4-BE49-F238E27FC236}">
              <a16:creationId xmlns:a16="http://schemas.microsoft.com/office/drawing/2014/main" id="{2982A30A-FDFA-4848-8259-CD447E89C8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xdr:graphicFrame>
    <xdr:clientData/>
  </xdr:twoCellAnchor>
  <xdr:twoCellAnchor>
    <xdr:from>
      <xdr:col>79</xdr:col>
      <xdr:colOff>0</xdr:colOff>
      <xdr:row>170</xdr:row>
      <xdr:rowOff>0</xdr:rowOff>
    </xdr:from>
    <xdr:to>
      <xdr:col>86</xdr:col>
      <xdr:colOff>336176</xdr:colOff>
      <xdr:row>182</xdr:row>
      <xdr:rowOff>53788</xdr:rowOff>
    </xdr:to>
    <xdr:graphicFrame macro="">
      <xdr:nvGraphicFramePr>
        <xdr:cNvPr id="84" name="Chart 83">
          <a:extLst>
            <a:ext uri="{FF2B5EF4-FFF2-40B4-BE49-F238E27FC236}">
              <a16:creationId xmlns:a16="http://schemas.microsoft.com/office/drawing/2014/main" id="{F35D0D22-8BA0-4799-8B9D-D88641F125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xdr:graphicFrame>
    <xdr:clientData/>
  </xdr:twoCellAnchor>
  <xdr:twoCellAnchor>
    <xdr:from>
      <xdr:col>79</xdr:col>
      <xdr:colOff>0</xdr:colOff>
      <xdr:row>183</xdr:row>
      <xdr:rowOff>0</xdr:rowOff>
    </xdr:from>
    <xdr:to>
      <xdr:col>86</xdr:col>
      <xdr:colOff>336176</xdr:colOff>
      <xdr:row>195</xdr:row>
      <xdr:rowOff>53788</xdr:rowOff>
    </xdr:to>
    <xdr:graphicFrame macro="">
      <xdr:nvGraphicFramePr>
        <xdr:cNvPr id="85" name="Chart 84">
          <a:extLst>
            <a:ext uri="{FF2B5EF4-FFF2-40B4-BE49-F238E27FC236}">
              <a16:creationId xmlns:a16="http://schemas.microsoft.com/office/drawing/2014/main" id="{C7A7BDE2-C60D-4C82-9EED-6B3892CF3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2"/>
        </a:graphicData>
      </a:graphic>
    </xdr:graphicFrame>
    <xdr:clientData/>
  </xdr:twoCellAnchor>
  <xdr:twoCellAnchor>
    <xdr:from>
      <xdr:col>79</xdr:col>
      <xdr:colOff>0</xdr:colOff>
      <xdr:row>196</xdr:row>
      <xdr:rowOff>0</xdr:rowOff>
    </xdr:from>
    <xdr:to>
      <xdr:col>86</xdr:col>
      <xdr:colOff>336176</xdr:colOff>
      <xdr:row>208</xdr:row>
      <xdr:rowOff>53789</xdr:rowOff>
    </xdr:to>
    <xdr:graphicFrame macro="">
      <xdr:nvGraphicFramePr>
        <xdr:cNvPr id="86" name="Chart 85">
          <a:extLst>
            <a:ext uri="{FF2B5EF4-FFF2-40B4-BE49-F238E27FC236}">
              <a16:creationId xmlns:a16="http://schemas.microsoft.com/office/drawing/2014/main" id="{26B87A51-ADA9-40FE-AB4C-8356D1E6B6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3"/>
        </a:graphicData>
      </a:graphic>
    </xdr:graphicFrame>
    <xdr:clientData/>
  </xdr:twoCellAnchor>
  <xdr:twoCellAnchor>
    <xdr:from>
      <xdr:col>79</xdr:col>
      <xdr:colOff>0</xdr:colOff>
      <xdr:row>209</xdr:row>
      <xdr:rowOff>0</xdr:rowOff>
    </xdr:from>
    <xdr:to>
      <xdr:col>86</xdr:col>
      <xdr:colOff>336176</xdr:colOff>
      <xdr:row>221</xdr:row>
      <xdr:rowOff>53789</xdr:rowOff>
    </xdr:to>
    <xdr:graphicFrame macro="">
      <xdr:nvGraphicFramePr>
        <xdr:cNvPr id="87" name="Chart 86">
          <a:extLst>
            <a:ext uri="{FF2B5EF4-FFF2-40B4-BE49-F238E27FC236}">
              <a16:creationId xmlns:a16="http://schemas.microsoft.com/office/drawing/2014/main" id="{916F1762-D02E-45BC-9CC5-53D0191BCE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4"/>
        </a:graphicData>
      </a:graphic>
    </xdr:graphicFrame>
    <xdr:clientData/>
  </xdr:twoCellAnchor>
  <xdr:twoCellAnchor>
    <xdr:from>
      <xdr:col>79</xdr:col>
      <xdr:colOff>0</xdr:colOff>
      <xdr:row>222</xdr:row>
      <xdr:rowOff>0</xdr:rowOff>
    </xdr:from>
    <xdr:to>
      <xdr:col>86</xdr:col>
      <xdr:colOff>336176</xdr:colOff>
      <xdr:row>234</xdr:row>
      <xdr:rowOff>53789</xdr:rowOff>
    </xdr:to>
    <xdr:graphicFrame macro="">
      <xdr:nvGraphicFramePr>
        <xdr:cNvPr id="88" name="Chart 87">
          <a:extLst>
            <a:ext uri="{FF2B5EF4-FFF2-40B4-BE49-F238E27FC236}">
              <a16:creationId xmlns:a16="http://schemas.microsoft.com/office/drawing/2014/main" id="{C7723102-3C3A-4682-B343-81454BBB2A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5"/>
        </a:graphicData>
      </a:graphic>
    </xdr:graphicFrame>
    <xdr:clientData/>
  </xdr:twoCellAnchor>
  <xdr:twoCellAnchor>
    <xdr:from>
      <xdr:col>79</xdr:col>
      <xdr:colOff>0</xdr:colOff>
      <xdr:row>235</xdr:row>
      <xdr:rowOff>0</xdr:rowOff>
    </xdr:from>
    <xdr:to>
      <xdr:col>86</xdr:col>
      <xdr:colOff>336176</xdr:colOff>
      <xdr:row>247</xdr:row>
      <xdr:rowOff>53789</xdr:rowOff>
    </xdr:to>
    <xdr:graphicFrame macro="">
      <xdr:nvGraphicFramePr>
        <xdr:cNvPr id="89" name="Chart 88">
          <a:extLst>
            <a:ext uri="{FF2B5EF4-FFF2-40B4-BE49-F238E27FC236}">
              <a16:creationId xmlns:a16="http://schemas.microsoft.com/office/drawing/2014/main" id="{D9674A19-DD4F-48A6-A01C-B445FEBBA3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6"/>
        </a:graphicData>
      </a:graphic>
    </xdr:graphicFrame>
    <xdr:clientData/>
  </xdr:twoCellAnchor>
  <xdr:twoCellAnchor>
    <xdr:from>
      <xdr:col>79</xdr:col>
      <xdr:colOff>0</xdr:colOff>
      <xdr:row>248</xdr:row>
      <xdr:rowOff>0</xdr:rowOff>
    </xdr:from>
    <xdr:to>
      <xdr:col>86</xdr:col>
      <xdr:colOff>336176</xdr:colOff>
      <xdr:row>260</xdr:row>
      <xdr:rowOff>53789</xdr:rowOff>
    </xdr:to>
    <xdr:graphicFrame macro="">
      <xdr:nvGraphicFramePr>
        <xdr:cNvPr id="90" name="Chart 89">
          <a:extLst>
            <a:ext uri="{FF2B5EF4-FFF2-40B4-BE49-F238E27FC236}">
              <a16:creationId xmlns:a16="http://schemas.microsoft.com/office/drawing/2014/main" id="{D05F8B68-8D3B-4E24-8C70-9DE4C0CD76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7"/>
        </a:graphicData>
      </a:graphic>
    </xdr:graphicFrame>
    <xdr:clientData/>
  </xdr:twoCellAnchor>
  <xdr:twoCellAnchor>
    <xdr:from>
      <xdr:col>79</xdr:col>
      <xdr:colOff>0</xdr:colOff>
      <xdr:row>261</xdr:row>
      <xdr:rowOff>0</xdr:rowOff>
    </xdr:from>
    <xdr:to>
      <xdr:col>86</xdr:col>
      <xdr:colOff>336176</xdr:colOff>
      <xdr:row>273</xdr:row>
      <xdr:rowOff>53789</xdr:rowOff>
    </xdr:to>
    <xdr:graphicFrame macro="">
      <xdr:nvGraphicFramePr>
        <xdr:cNvPr id="91" name="Chart 90">
          <a:extLst>
            <a:ext uri="{FF2B5EF4-FFF2-40B4-BE49-F238E27FC236}">
              <a16:creationId xmlns:a16="http://schemas.microsoft.com/office/drawing/2014/main" id="{0579CF98-B96F-418E-936D-A8EEB92355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26"/>
  <sheetViews>
    <sheetView workbookViewId="0">
      <selection activeCell="L5" sqref="L5"/>
    </sheetView>
  </sheetViews>
  <sheetFormatPr baseColWidth="10" defaultColWidth="9.1640625" defaultRowHeight="16" x14ac:dyDescent="0.2"/>
  <cols>
    <col min="1" max="1" width="9.1640625" style="5"/>
    <col min="2" max="2" width="51" style="5" customWidth="1"/>
    <col min="3" max="3" width="18.33203125" style="5" customWidth="1"/>
    <col min="4" max="4" width="9.1640625" style="5"/>
    <col min="5" max="5" width="44.1640625" style="5" customWidth="1"/>
    <col min="6" max="8" width="15.1640625" style="5" customWidth="1"/>
    <col min="9" max="9" width="9.1640625" style="5"/>
    <col min="10" max="10" width="12.5" style="5" customWidth="1"/>
    <col min="11" max="11" width="16.6640625" style="5" customWidth="1"/>
    <col min="12" max="16384" width="9.1640625" style="5"/>
  </cols>
  <sheetData>
    <row r="1" spans="2:11" ht="17" thickBot="1" x14ac:dyDescent="0.25"/>
    <row r="2" spans="2:11" ht="17" thickBot="1" x14ac:dyDescent="0.25">
      <c r="B2" s="8"/>
      <c r="C2" s="8"/>
    </row>
    <row r="3" spans="2:11" ht="22.5" customHeight="1" thickBot="1" x14ac:dyDescent="0.25">
      <c r="B3" s="109" t="s">
        <v>0</v>
      </c>
      <c r="C3" s="110"/>
      <c r="E3" s="109" t="s">
        <v>17</v>
      </c>
      <c r="F3" s="111"/>
      <c r="G3" s="110"/>
      <c r="J3" s="109" t="s">
        <v>72</v>
      </c>
      <c r="K3" s="110"/>
    </row>
    <row r="4" spans="2:11" ht="30.75" customHeight="1" thickBot="1" x14ac:dyDescent="0.25">
      <c r="B4" s="6" t="s">
        <v>1</v>
      </c>
      <c r="C4" s="7" t="s">
        <v>2</v>
      </c>
      <c r="E4" s="6" t="s">
        <v>18</v>
      </c>
      <c r="F4" s="7" t="s">
        <v>19</v>
      </c>
      <c r="G4" s="7" t="s">
        <v>20</v>
      </c>
      <c r="H4" s="13" t="s">
        <v>69</v>
      </c>
      <c r="J4" s="6" t="s">
        <v>35</v>
      </c>
      <c r="K4" s="7" t="s">
        <v>73</v>
      </c>
    </row>
    <row r="5" spans="2:11" ht="22.5" customHeight="1" thickBot="1" x14ac:dyDescent="0.25">
      <c r="B5" s="4" t="s">
        <v>3</v>
      </c>
      <c r="C5" s="3" t="s">
        <v>4</v>
      </c>
      <c r="E5" s="4" t="s">
        <v>21</v>
      </c>
      <c r="F5" s="3">
        <v>100</v>
      </c>
      <c r="G5" s="3">
        <v>99.5</v>
      </c>
      <c r="H5" s="3"/>
      <c r="J5" s="4" t="s">
        <v>45</v>
      </c>
      <c r="K5" s="16">
        <v>32</v>
      </c>
    </row>
    <row r="6" spans="2:11" ht="22.5" customHeight="1" thickBot="1" x14ac:dyDescent="0.25">
      <c r="B6" s="4" t="s">
        <v>5</v>
      </c>
      <c r="C6" s="3">
        <v>0.503</v>
      </c>
      <c r="E6" s="4" t="s">
        <v>22</v>
      </c>
      <c r="F6" s="3" t="s">
        <v>23</v>
      </c>
      <c r="G6" s="3" t="s">
        <v>24</v>
      </c>
      <c r="H6" s="3" t="s">
        <v>71</v>
      </c>
      <c r="J6" s="4" t="s">
        <v>74</v>
      </c>
      <c r="K6" s="16">
        <v>28</v>
      </c>
    </row>
    <row r="7" spans="2:11" ht="22.5" customHeight="1" thickBot="1" x14ac:dyDescent="0.25">
      <c r="B7" s="4" t="s">
        <v>6</v>
      </c>
      <c r="C7" s="3" t="s">
        <v>7</v>
      </c>
      <c r="E7" s="4" t="s">
        <v>25</v>
      </c>
      <c r="F7" s="3">
        <v>23</v>
      </c>
      <c r="G7" s="3">
        <v>22.4</v>
      </c>
      <c r="H7" s="3">
        <v>23</v>
      </c>
      <c r="J7" s="4" t="s">
        <v>75</v>
      </c>
      <c r="K7" s="16">
        <v>50</v>
      </c>
    </row>
    <row r="8" spans="2:11" ht="22.5" customHeight="1" thickBot="1" x14ac:dyDescent="0.25">
      <c r="B8" s="4" t="s">
        <v>8</v>
      </c>
      <c r="C8" s="3" t="s">
        <v>9</v>
      </c>
      <c r="E8" s="4" t="s">
        <v>26</v>
      </c>
      <c r="F8" s="3">
        <v>0.85699999999999998</v>
      </c>
      <c r="G8" s="3">
        <v>0.86099999999999999</v>
      </c>
      <c r="H8" s="3"/>
      <c r="J8" s="4" t="s">
        <v>76</v>
      </c>
      <c r="K8" s="16">
        <v>38</v>
      </c>
    </row>
    <row r="9" spans="2:11" ht="22.5" customHeight="1" thickBot="1" x14ac:dyDescent="0.25">
      <c r="B9" s="4" t="s">
        <v>10</v>
      </c>
      <c r="C9" s="3">
        <v>0.93</v>
      </c>
      <c r="E9" s="4" t="s">
        <v>27</v>
      </c>
      <c r="F9" s="3">
        <v>0.90300000000000002</v>
      </c>
      <c r="G9" s="3">
        <v>0.90500000000000003</v>
      </c>
      <c r="H9" s="3"/>
      <c r="J9" s="4" t="s">
        <v>77</v>
      </c>
      <c r="K9" s="16">
        <v>50</v>
      </c>
    </row>
    <row r="10" spans="2:11" ht="22.5" customHeight="1" thickBot="1" x14ac:dyDescent="0.25">
      <c r="B10" s="4" t="s">
        <v>11</v>
      </c>
      <c r="C10" s="3">
        <v>0.3</v>
      </c>
      <c r="E10" s="4" t="s">
        <v>28</v>
      </c>
      <c r="F10" s="3" t="s">
        <v>29</v>
      </c>
      <c r="G10" s="3" t="s">
        <v>30</v>
      </c>
      <c r="H10" s="3"/>
      <c r="J10" s="4" t="s">
        <v>78</v>
      </c>
      <c r="K10" s="16">
        <v>68</v>
      </c>
    </row>
    <row r="11" spans="2:11" ht="22.5" customHeight="1" thickBot="1" x14ac:dyDescent="0.25">
      <c r="B11" s="4" t="s">
        <v>12</v>
      </c>
      <c r="C11" s="3">
        <v>1672</v>
      </c>
      <c r="E11" s="4" t="s">
        <v>31</v>
      </c>
      <c r="F11" s="3" t="s">
        <v>32</v>
      </c>
      <c r="G11" s="3" t="s">
        <v>33</v>
      </c>
      <c r="H11" s="3"/>
      <c r="J11" s="4" t="s">
        <v>79</v>
      </c>
      <c r="K11" s="16">
        <v>82</v>
      </c>
    </row>
    <row r="12" spans="2:11" ht="22.5" customHeight="1" thickBot="1" x14ac:dyDescent="0.25">
      <c r="B12" s="4" t="s">
        <v>13</v>
      </c>
      <c r="C12" s="3">
        <v>1.48</v>
      </c>
      <c r="J12" s="4" t="s">
        <v>80</v>
      </c>
      <c r="K12" s="16">
        <v>60</v>
      </c>
    </row>
    <row r="13" spans="2:11" ht="22.5" customHeight="1" thickBot="1" x14ac:dyDescent="0.25">
      <c r="B13" s="4" t="s">
        <v>14</v>
      </c>
      <c r="C13" s="3">
        <v>1.36</v>
      </c>
      <c r="J13" s="4" t="s">
        <v>81</v>
      </c>
      <c r="K13" s="16">
        <v>92</v>
      </c>
    </row>
    <row r="14" spans="2:11" ht="22.5" customHeight="1" thickBot="1" x14ac:dyDescent="0.25">
      <c r="B14" s="4" t="s">
        <v>15</v>
      </c>
      <c r="C14" s="3">
        <v>0.85699999999999998</v>
      </c>
      <c r="J14" s="4" t="s">
        <v>82</v>
      </c>
      <c r="K14" s="16">
        <v>70</v>
      </c>
    </row>
    <row r="15" spans="2:11" ht="22.5" customHeight="1" thickBot="1" x14ac:dyDescent="0.25">
      <c r="B15" s="4" t="s">
        <v>16</v>
      </c>
      <c r="C15" s="3">
        <v>25</v>
      </c>
      <c r="J15" s="4" t="s">
        <v>83</v>
      </c>
      <c r="K15" s="16">
        <v>110</v>
      </c>
    </row>
    <row r="16" spans="2:11" ht="22.5" customHeight="1" thickBot="1" x14ac:dyDescent="0.25">
      <c r="J16" s="4" t="s">
        <v>84</v>
      </c>
      <c r="K16" s="16">
        <v>80</v>
      </c>
    </row>
    <row r="17" spans="10:11" ht="22.5" customHeight="1" thickBot="1" x14ac:dyDescent="0.25">
      <c r="J17" s="4" t="s">
        <v>85</v>
      </c>
      <c r="K17" s="16">
        <v>120</v>
      </c>
    </row>
    <row r="18" spans="10:11" ht="22.5" customHeight="1" thickBot="1" x14ac:dyDescent="0.25">
      <c r="J18" s="4" t="s">
        <v>86</v>
      </c>
      <c r="K18" s="16">
        <v>82</v>
      </c>
    </row>
    <row r="19" spans="10:11" ht="22.5" customHeight="1" thickBot="1" x14ac:dyDescent="0.25">
      <c r="J19" s="4" t="s">
        <v>87</v>
      </c>
      <c r="K19" s="16">
        <v>112</v>
      </c>
    </row>
    <row r="20" spans="10:11" ht="22.5" customHeight="1" thickBot="1" x14ac:dyDescent="0.25">
      <c r="J20" s="4" t="s">
        <v>88</v>
      </c>
      <c r="K20" s="16">
        <v>84</v>
      </c>
    </row>
    <row r="21" spans="10:11" ht="22.5" customHeight="1" thickBot="1" x14ac:dyDescent="0.25">
      <c r="J21" s="4" t="s">
        <v>89</v>
      </c>
      <c r="K21" s="16">
        <v>104</v>
      </c>
    </row>
    <row r="22" spans="10:11" ht="22.5" customHeight="1" thickBot="1" x14ac:dyDescent="0.25">
      <c r="J22" s="4" t="s">
        <v>90</v>
      </c>
      <c r="K22" s="16">
        <v>88</v>
      </c>
    </row>
    <row r="23" spans="10:11" ht="22.5" customHeight="1" thickBot="1" x14ac:dyDescent="0.25">
      <c r="J23" s="4" t="s">
        <v>91</v>
      </c>
      <c r="K23" s="16">
        <v>118</v>
      </c>
    </row>
    <row r="24" spans="10:11" ht="22.5" customHeight="1" thickBot="1" x14ac:dyDescent="0.25">
      <c r="J24" s="4" t="s">
        <v>92</v>
      </c>
      <c r="K24" s="16">
        <v>96</v>
      </c>
    </row>
    <row r="25" spans="10:11" ht="22.5" customHeight="1" thickBot="1" x14ac:dyDescent="0.25">
      <c r="J25" s="4" t="s">
        <v>93</v>
      </c>
      <c r="K25" s="16">
        <v>130</v>
      </c>
    </row>
    <row r="26" spans="10:11" ht="22.5" customHeight="1" x14ac:dyDescent="0.2"/>
  </sheetData>
  <mergeCells count="3">
    <mergeCell ref="B3:C3"/>
    <mergeCell ref="E3:G3"/>
    <mergeCell ref="J3:K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61"/>
  <sheetViews>
    <sheetView topLeftCell="A17" zoomScale="70" zoomScaleNormal="70" workbookViewId="0">
      <selection activeCell="D108" sqref="D108"/>
    </sheetView>
  </sheetViews>
  <sheetFormatPr baseColWidth="10" defaultColWidth="9.1640625" defaultRowHeight="16" x14ac:dyDescent="0.2"/>
  <cols>
    <col min="1" max="13" width="10" style="5" customWidth="1"/>
    <col min="14" max="16384" width="9.1640625" style="5"/>
  </cols>
  <sheetData>
    <row r="1" spans="1:6" ht="27" customHeight="1" x14ac:dyDescent="0.2">
      <c r="A1" s="112" t="s">
        <v>34</v>
      </c>
      <c r="B1" s="113"/>
      <c r="C1" s="113"/>
      <c r="D1" s="113"/>
      <c r="E1" s="113"/>
      <c r="F1" s="113"/>
    </row>
    <row r="2" spans="1:6" ht="27" customHeight="1" thickBot="1" x14ac:dyDescent="0.25">
      <c r="A2" s="17"/>
      <c r="B2" s="17"/>
      <c r="C2" s="17"/>
      <c r="D2" s="17"/>
      <c r="E2" s="17"/>
      <c r="F2" s="17"/>
    </row>
    <row r="3" spans="1:6" ht="27" customHeight="1" thickBot="1" x14ac:dyDescent="0.25">
      <c r="A3" s="13" t="s">
        <v>35</v>
      </c>
      <c r="B3" s="14" t="s">
        <v>36</v>
      </c>
      <c r="C3" s="14" t="s">
        <v>37</v>
      </c>
      <c r="D3" s="17"/>
      <c r="E3" s="17"/>
      <c r="F3" s="17"/>
    </row>
    <row r="4" spans="1:6" ht="27" customHeight="1" thickBot="1" x14ac:dyDescent="0.25">
      <c r="A4" s="15">
        <v>1</v>
      </c>
      <c r="B4" s="16">
        <v>2.77</v>
      </c>
      <c r="C4" s="16">
        <v>1.51</v>
      </c>
      <c r="D4" s="17"/>
      <c r="E4" s="17"/>
      <c r="F4" s="17"/>
    </row>
    <row r="5" spans="1:6" ht="27" customHeight="1" thickBot="1" x14ac:dyDescent="0.25">
      <c r="A5" s="15">
        <v>2</v>
      </c>
      <c r="B5" s="16">
        <v>2.66</v>
      </c>
      <c r="C5" s="16">
        <v>1.54</v>
      </c>
      <c r="D5" s="17"/>
      <c r="E5" s="17"/>
      <c r="F5" s="17"/>
    </row>
    <row r="6" spans="1:6" ht="27" customHeight="1" thickBot="1" x14ac:dyDescent="0.25">
      <c r="A6" s="15">
        <v>3</v>
      </c>
      <c r="B6" s="16">
        <v>2.31</v>
      </c>
      <c r="C6" s="16">
        <v>1.52</v>
      </c>
      <c r="D6" s="17"/>
      <c r="E6" s="17"/>
      <c r="F6" s="17"/>
    </row>
    <row r="7" spans="1:6" ht="27" customHeight="1" thickBot="1" x14ac:dyDescent="0.25">
      <c r="A7" s="15">
        <v>4</v>
      </c>
      <c r="B7" s="16">
        <v>2.04</v>
      </c>
      <c r="C7" s="16">
        <v>1.43</v>
      </c>
      <c r="D7" s="17"/>
      <c r="E7" s="17"/>
      <c r="F7" s="17"/>
    </row>
    <row r="8" spans="1:6" ht="27" customHeight="1" thickBot="1" x14ac:dyDescent="0.25">
      <c r="A8" s="15">
        <v>5</v>
      </c>
      <c r="B8" s="16">
        <v>1.81</v>
      </c>
      <c r="C8" s="16">
        <v>1.33</v>
      </c>
      <c r="D8" s="17"/>
      <c r="E8" s="17"/>
      <c r="F8" s="17"/>
    </row>
    <row r="9" spans="1:6" ht="27" customHeight="1" thickBot="1" x14ac:dyDescent="0.25">
      <c r="A9" s="15">
        <v>6</v>
      </c>
      <c r="B9" s="16">
        <v>1.58</v>
      </c>
      <c r="C9" s="16">
        <v>1.26</v>
      </c>
      <c r="D9" s="17"/>
      <c r="E9" s="17"/>
      <c r="F9" s="17"/>
    </row>
    <row r="10" spans="1:6" ht="27" customHeight="1" thickBot="1" x14ac:dyDescent="0.25">
      <c r="A10" s="15">
        <v>7</v>
      </c>
      <c r="B10" s="16">
        <v>1.25</v>
      </c>
      <c r="C10" s="16">
        <v>1.0900000000000001</v>
      </c>
      <c r="D10" s="17"/>
      <c r="E10" s="17"/>
      <c r="F10" s="17"/>
    </row>
    <row r="11" spans="1:6" ht="27" customHeight="1" thickBot="1" x14ac:dyDescent="0.25">
      <c r="A11" s="15">
        <v>8</v>
      </c>
      <c r="B11" s="16">
        <v>1.1000000000000001</v>
      </c>
      <c r="C11" s="16">
        <v>0.95</v>
      </c>
      <c r="D11" s="17"/>
      <c r="E11" s="17"/>
      <c r="F11" s="17"/>
    </row>
    <row r="12" spans="1:6" ht="27" customHeight="1" thickBot="1" x14ac:dyDescent="0.25">
      <c r="A12" s="15">
        <v>9</v>
      </c>
      <c r="B12" s="16">
        <v>1.07</v>
      </c>
      <c r="C12" s="16">
        <v>0.9</v>
      </c>
      <c r="D12" s="17"/>
      <c r="E12" s="17"/>
      <c r="F12" s="17"/>
    </row>
    <row r="13" spans="1:6" ht="27" customHeight="1" thickBot="1" x14ac:dyDescent="0.25">
      <c r="A13" s="15">
        <v>10</v>
      </c>
      <c r="B13" s="16">
        <v>0.94</v>
      </c>
      <c r="C13" s="16">
        <v>0.9</v>
      </c>
      <c r="D13" s="17"/>
      <c r="E13" s="17"/>
      <c r="F13" s="17"/>
    </row>
    <row r="14" spans="1:6" ht="27" customHeight="1" thickBot="1" x14ac:dyDescent="0.25">
      <c r="A14" s="15">
        <v>10</v>
      </c>
      <c r="B14" s="16">
        <v>0.94</v>
      </c>
      <c r="C14" s="16">
        <v>0.9</v>
      </c>
      <c r="D14" s="17"/>
      <c r="E14" s="17"/>
      <c r="F14" s="17"/>
    </row>
    <row r="15" spans="1:6" ht="27" customHeight="1" x14ac:dyDescent="0.2">
      <c r="A15" s="17"/>
      <c r="B15" s="17"/>
      <c r="C15" s="17"/>
      <c r="D15" s="17"/>
      <c r="E15" s="17"/>
      <c r="F15" s="17"/>
    </row>
    <row r="16" spans="1:6" ht="27" customHeight="1" x14ac:dyDescent="0.2">
      <c r="A16" s="113" t="s">
        <v>38</v>
      </c>
      <c r="B16" s="113"/>
      <c r="C16" s="113"/>
      <c r="D16" s="113"/>
      <c r="E16" s="113"/>
      <c r="F16" s="113"/>
    </row>
    <row r="17" spans="1:6" ht="27" customHeight="1" thickBot="1" x14ac:dyDescent="0.25">
      <c r="A17" s="17"/>
      <c r="B17" s="17"/>
      <c r="C17" s="17"/>
      <c r="D17" s="17"/>
      <c r="E17" s="17"/>
      <c r="F17" s="17"/>
    </row>
    <row r="18" spans="1:6" ht="27" customHeight="1" thickBot="1" x14ac:dyDescent="0.25">
      <c r="A18" s="13" t="s">
        <v>35</v>
      </c>
      <c r="B18" s="14" t="s">
        <v>36</v>
      </c>
      <c r="C18" s="14" t="s">
        <v>37</v>
      </c>
      <c r="D18" s="17"/>
      <c r="E18" s="17"/>
      <c r="F18" s="17"/>
    </row>
    <row r="19" spans="1:6" ht="27" customHeight="1" thickBot="1" x14ac:dyDescent="0.25">
      <c r="A19" s="15">
        <v>1</v>
      </c>
      <c r="B19" s="16">
        <v>1.3460000000000001</v>
      </c>
      <c r="C19" s="16">
        <v>1.7090000000000001</v>
      </c>
      <c r="D19" s="17"/>
      <c r="E19" s="17"/>
      <c r="F19" s="17"/>
    </row>
    <row r="20" spans="1:6" ht="27" customHeight="1" thickBot="1" x14ac:dyDescent="0.25">
      <c r="A20" s="15">
        <v>2</v>
      </c>
      <c r="B20" s="16">
        <v>1.26</v>
      </c>
      <c r="C20" s="16">
        <v>1.4750000000000001</v>
      </c>
      <c r="D20" s="17"/>
      <c r="E20" s="17"/>
      <c r="F20" s="17"/>
    </row>
    <row r="21" spans="1:6" ht="27" customHeight="1" thickBot="1" x14ac:dyDescent="0.25">
      <c r="A21" s="15">
        <v>3</v>
      </c>
      <c r="B21" s="16">
        <v>1.2789999999999999</v>
      </c>
      <c r="C21" s="16">
        <v>1.39</v>
      </c>
      <c r="D21" s="17"/>
      <c r="E21" s="17"/>
      <c r="F21" s="17"/>
    </row>
    <row r="22" spans="1:6" ht="27" customHeight="1" thickBot="1" x14ac:dyDescent="0.25">
      <c r="A22" s="15">
        <v>4</v>
      </c>
      <c r="B22" s="16">
        <v>1.258</v>
      </c>
      <c r="C22" s="16">
        <v>1.3080000000000001</v>
      </c>
      <c r="D22" s="17"/>
      <c r="E22" s="17"/>
      <c r="F22" s="17"/>
    </row>
    <row r="23" spans="1:6" ht="27" customHeight="1" thickBot="1" x14ac:dyDescent="0.25">
      <c r="A23" s="15">
        <v>5</v>
      </c>
      <c r="B23" s="16">
        <v>1.385</v>
      </c>
      <c r="C23" s="16">
        <v>1.31</v>
      </c>
      <c r="D23" s="17"/>
      <c r="E23" s="17"/>
      <c r="F23" s="17"/>
    </row>
    <row r="24" spans="1:6" ht="27" customHeight="1" thickBot="1" x14ac:dyDescent="0.25">
      <c r="A24" s="15">
        <v>6</v>
      </c>
      <c r="B24" s="16">
        <v>1.4</v>
      </c>
      <c r="C24" s="16">
        <v>1.2809999999999999</v>
      </c>
      <c r="D24" s="17"/>
      <c r="E24" s="17"/>
      <c r="F24" s="17"/>
    </row>
    <row r="25" spans="1:6" ht="27" customHeight="1" thickBot="1" x14ac:dyDescent="0.25">
      <c r="A25" s="15">
        <v>7</v>
      </c>
      <c r="B25" s="16">
        <v>1.4159999999999999</v>
      </c>
      <c r="C25" s="16">
        <v>1.2869999999999999</v>
      </c>
      <c r="D25" s="17"/>
      <c r="E25" s="17"/>
      <c r="F25" s="17"/>
    </row>
    <row r="26" spans="1:6" ht="27" customHeight="1" thickBot="1" x14ac:dyDescent="0.25">
      <c r="A26" s="15">
        <v>8</v>
      </c>
      <c r="B26" s="16">
        <v>1.3</v>
      </c>
      <c r="C26" s="16">
        <v>1.268</v>
      </c>
      <c r="D26" s="17"/>
      <c r="E26" s="17"/>
      <c r="F26" s="17"/>
    </row>
    <row r="27" spans="1:6" ht="27" customHeight="1" thickBot="1" x14ac:dyDescent="0.25">
      <c r="A27" s="15">
        <v>9</v>
      </c>
      <c r="B27" s="16">
        <v>1.3480000000000001</v>
      </c>
      <c r="C27" s="16">
        <v>1.2490000000000001</v>
      </c>
      <c r="D27" s="17"/>
      <c r="E27" s="17"/>
      <c r="F27" s="17"/>
    </row>
    <row r="28" spans="1:6" ht="27" customHeight="1" thickBot="1" x14ac:dyDescent="0.25">
      <c r="A28" s="15">
        <v>10</v>
      </c>
      <c r="B28" s="16">
        <v>1.663</v>
      </c>
      <c r="C28" s="16">
        <v>1.2569999999999999</v>
      </c>
      <c r="D28" s="17"/>
      <c r="E28" s="17"/>
      <c r="F28" s="17"/>
    </row>
    <row r="29" spans="1:6" ht="27" customHeight="1" x14ac:dyDescent="0.2">
      <c r="A29" s="17"/>
      <c r="B29" s="17"/>
      <c r="C29" s="17"/>
      <c r="D29" s="17"/>
      <c r="E29" s="17"/>
      <c r="F29" s="17"/>
    </row>
    <row r="30" spans="1:6" ht="27" customHeight="1" x14ac:dyDescent="0.2">
      <c r="A30" s="112" t="s">
        <v>39</v>
      </c>
      <c r="B30" s="113"/>
      <c r="C30" s="113"/>
      <c r="D30" s="113"/>
      <c r="E30" s="113"/>
      <c r="F30" s="113"/>
    </row>
    <row r="31" spans="1:6" ht="27" customHeight="1" thickBot="1" x14ac:dyDescent="0.25">
      <c r="A31" s="17"/>
      <c r="B31" s="17"/>
      <c r="C31" s="17"/>
      <c r="D31" s="17"/>
      <c r="E31" s="17"/>
      <c r="F31" s="17"/>
    </row>
    <row r="32" spans="1:6" ht="27" customHeight="1" thickBot="1" x14ac:dyDescent="0.25">
      <c r="A32" s="13" t="s">
        <v>35</v>
      </c>
      <c r="B32" s="14" t="s">
        <v>36</v>
      </c>
      <c r="C32" s="14" t="s">
        <v>37</v>
      </c>
      <c r="D32" s="17"/>
      <c r="E32" s="17"/>
      <c r="F32" s="17"/>
    </row>
    <row r="33" spans="1:6" ht="27" customHeight="1" thickBot="1" x14ac:dyDescent="0.25">
      <c r="A33" s="15">
        <v>1</v>
      </c>
      <c r="B33" s="16">
        <v>0.52800000000000002</v>
      </c>
      <c r="C33" s="16">
        <v>0.60399999999999998</v>
      </c>
      <c r="D33" s="17"/>
      <c r="E33" s="17"/>
      <c r="F33" s="17"/>
    </row>
    <row r="34" spans="1:6" ht="27" customHeight="1" thickBot="1" x14ac:dyDescent="0.25">
      <c r="A34" s="15">
        <v>2</v>
      </c>
      <c r="B34" s="16">
        <v>0.49</v>
      </c>
      <c r="C34" s="16">
        <v>0.55000000000000004</v>
      </c>
      <c r="D34" s="17"/>
      <c r="E34" s="17"/>
      <c r="F34" s="17"/>
    </row>
    <row r="35" spans="1:6" ht="27" customHeight="1" thickBot="1" x14ac:dyDescent="0.25">
      <c r="A35" s="15">
        <v>3</v>
      </c>
      <c r="B35" s="16">
        <v>0.46600000000000003</v>
      </c>
      <c r="C35" s="16">
        <v>0.50600000000000001</v>
      </c>
      <c r="D35" s="17"/>
      <c r="E35" s="17"/>
      <c r="F35" s="17"/>
    </row>
    <row r="36" spans="1:6" ht="27" customHeight="1" thickBot="1" x14ac:dyDescent="0.25">
      <c r="A36" s="15">
        <v>4</v>
      </c>
      <c r="B36" s="16">
        <v>0.44700000000000001</v>
      </c>
      <c r="C36" s="16">
        <v>0.47799999999999998</v>
      </c>
      <c r="D36" s="17"/>
      <c r="E36" s="17"/>
      <c r="F36" s="17"/>
    </row>
    <row r="37" spans="1:6" ht="27" customHeight="1" thickBot="1" x14ac:dyDescent="0.25">
      <c r="A37" s="15">
        <v>5</v>
      </c>
      <c r="B37" s="16">
        <v>0.41799999999999998</v>
      </c>
      <c r="C37" s="16">
        <v>0.44700000000000001</v>
      </c>
      <c r="D37" s="17"/>
      <c r="E37" s="17"/>
      <c r="F37" s="17"/>
    </row>
    <row r="38" spans="1:6" ht="27" customHeight="1" thickBot="1" x14ac:dyDescent="0.25">
      <c r="A38" s="15">
        <v>6</v>
      </c>
      <c r="B38" s="16">
        <v>0.39900000000000002</v>
      </c>
      <c r="C38" s="16">
        <v>0.41699999999999998</v>
      </c>
      <c r="D38" s="17"/>
      <c r="E38" s="17"/>
      <c r="F38" s="17"/>
    </row>
    <row r="39" spans="1:6" ht="27" customHeight="1" thickBot="1" x14ac:dyDescent="0.25">
      <c r="A39" s="15">
        <v>7</v>
      </c>
      <c r="B39" s="16">
        <v>0.39600000000000002</v>
      </c>
      <c r="C39" s="16">
        <v>0.40300000000000002</v>
      </c>
      <c r="D39" s="17"/>
      <c r="E39" s="17"/>
      <c r="F39" s="17"/>
    </row>
    <row r="40" spans="1:6" ht="27" customHeight="1" thickBot="1" x14ac:dyDescent="0.25">
      <c r="A40" s="15">
        <v>8</v>
      </c>
      <c r="B40" s="16">
        <v>0.373</v>
      </c>
      <c r="C40" s="16">
        <v>0.38600000000000001</v>
      </c>
      <c r="D40" s="17"/>
      <c r="E40" s="17"/>
      <c r="F40" s="17"/>
    </row>
    <row r="41" spans="1:6" ht="27" customHeight="1" thickBot="1" x14ac:dyDescent="0.25">
      <c r="A41" s="15">
        <v>9</v>
      </c>
      <c r="B41" s="16">
        <v>0.34499999999999997</v>
      </c>
      <c r="C41" s="16">
        <v>0.35399999999999998</v>
      </c>
      <c r="D41" s="17"/>
      <c r="E41" s="17"/>
      <c r="F41" s="17"/>
    </row>
    <row r="42" spans="1:6" ht="27" customHeight="1" thickBot="1" x14ac:dyDescent="0.25">
      <c r="A42" s="15">
        <v>10</v>
      </c>
      <c r="B42" s="16">
        <v>0.32500000000000001</v>
      </c>
      <c r="C42" s="16">
        <v>0.32800000000000001</v>
      </c>
      <c r="D42" s="17"/>
      <c r="E42" s="17"/>
      <c r="F42" s="17"/>
    </row>
    <row r="43" spans="1:6" ht="27" customHeight="1" thickBot="1" x14ac:dyDescent="0.25">
      <c r="A43" s="15">
        <v>11</v>
      </c>
      <c r="B43" s="16">
        <v>0.28299999999999997</v>
      </c>
      <c r="C43" s="16"/>
      <c r="D43" s="17"/>
      <c r="E43" s="17"/>
      <c r="F43" s="17"/>
    </row>
    <row r="44" spans="1:6" ht="27" customHeight="1" x14ac:dyDescent="0.2">
      <c r="A44" s="17"/>
      <c r="B44" s="17"/>
      <c r="C44" s="17"/>
      <c r="D44" s="17"/>
      <c r="E44" s="17"/>
      <c r="F44" s="17"/>
    </row>
    <row r="45" spans="1:6" ht="27" customHeight="1" x14ac:dyDescent="0.2">
      <c r="A45" s="112" t="s">
        <v>41</v>
      </c>
      <c r="B45" s="113"/>
      <c r="C45" s="113"/>
      <c r="D45" s="113"/>
      <c r="E45" s="113"/>
      <c r="F45" s="113"/>
    </row>
    <row r="46" spans="1:6" ht="27" customHeight="1" thickBot="1" x14ac:dyDescent="0.25">
      <c r="A46" s="17"/>
      <c r="B46" s="17"/>
      <c r="C46" s="17"/>
      <c r="D46" s="17"/>
      <c r="E46" s="17"/>
      <c r="F46" s="17"/>
    </row>
    <row r="47" spans="1:6" ht="27" customHeight="1" thickBot="1" x14ac:dyDescent="0.25">
      <c r="A47" s="13" t="s">
        <v>35</v>
      </c>
      <c r="B47" s="14" t="s">
        <v>42</v>
      </c>
      <c r="C47" s="14" t="s">
        <v>43</v>
      </c>
      <c r="D47" s="14" t="s">
        <v>44</v>
      </c>
      <c r="E47" s="17"/>
      <c r="F47" s="17"/>
    </row>
    <row r="48" spans="1:6" ht="27" customHeight="1" thickBot="1" x14ac:dyDescent="0.25">
      <c r="A48" s="15">
        <v>0</v>
      </c>
      <c r="B48" s="16">
        <v>2.1</v>
      </c>
      <c r="C48" s="16">
        <v>10.3</v>
      </c>
      <c r="D48" s="16">
        <v>15</v>
      </c>
      <c r="E48" s="17" t="s">
        <v>45</v>
      </c>
      <c r="F48" s="17"/>
    </row>
    <row r="49" spans="1:6" ht="27" customHeight="1" thickBot="1" x14ac:dyDescent="0.25">
      <c r="A49" s="15">
        <v>1</v>
      </c>
      <c r="B49" s="16">
        <v>16</v>
      </c>
      <c r="C49" s="16">
        <v>13.5</v>
      </c>
      <c r="D49" s="16">
        <v>24.9</v>
      </c>
      <c r="E49" s="17"/>
      <c r="F49" s="17"/>
    </row>
    <row r="50" spans="1:6" ht="27" customHeight="1" thickBot="1" x14ac:dyDescent="0.25">
      <c r="A50" s="15">
        <v>2</v>
      </c>
      <c r="B50" s="16">
        <v>24.4</v>
      </c>
      <c r="C50" s="16">
        <v>15.8</v>
      </c>
      <c r="D50" s="16">
        <v>28</v>
      </c>
      <c r="E50" s="17"/>
      <c r="F50" s="17"/>
    </row>
    <row r="51" spans="1:6" ht="27" customHeight="1" thickBot="1" x14ac:dyDescent="0.25">
      <c r="A51" s="15">
        <v>3</v>
      </c>
      <c r="B51" s="16">
        <v>28.4</v>
      </c>
      <c r="C51" s="16">
        <v>18.100000000000001</v>
      </c>
      <c r="D51" s="16">
        <v>30.6</v>
      </c>
      <c r="E51" s="17"/>
      <c r="F51" s="17"/>
    </row>
    <row r="52" spans="1:6" ht="27" customHeight="1" thickBot="1" x14ac:dyDescent="0.25">
      <c r="A52" s="15">
        <v>4</v>
      </c>
      <c r="B52" s="16">
        <v>29.5</v>
      </c>
      <c r="C52" s="16">
        <v>19.100000000000001</v>
      </c>
      <c r="D52" s="16">
        <v>31.7</v>
      </c>
      <c r="E52" s="17"/>
      <c r="F52" s="17"/>
    </row>
    <row r="53" spans="1:6" ht="27" customHeight="1" thickBot="1" x14ac:dyDescent="0.25">
      <c r="A53" s="15">
        <v>5</v>
      </c>
      <c r="B53" s="16">
        <v>29.6</v>
      </c>
      <c r="C53" s="16">
        <v>19.2</v>
      </c>
      <c r="D53" s="16">
        <v>31.8</v>
      </c>
      <c r="E53" s="17"/>
      <c r="F53" s="17"/>
    </row>
    <row r="54" spans="1:6" ht="27" customHeight="1" thickBot="1" x14ac:dyDescent="0.25">
      <c r="A54" s="15">
        <v>6</v>
      </c>
      <c r="B54" s="16">
        <v>26.6</v>
      </c>
      <c r="C54" s="16">
        <v>16.25</v>
      </c>
      <c r="D54" s="16">
        <v>28.9</v>
      </c>
      <c r="E54" s="17"/>
      <c r="F54" s="17"/>
    </row>
    <row r="55" spans="1:6" ht="27" customHeight="1" thickBot="1" x14ac:dyDescent="0.25">
      <c r="A55" s="15">
        <v>7</v>
      </c>
      <c r="B55" s="16">
        <v>25.2</v>
      </c>
      <c r="C55" s="16">
        <v>15</v>
      </c>
      <c r="D55" s="16">
        <v>27.5</v>
      </c>
      <c r="E55" s="17"/>
      <c r="F55" s="17"/>
    </row>
    <row r="56" spans="1:6" ht="27" customHeight="1" thickBot="1" x14ac:dyDescent="0.25">
      <c r="A56" s="15">
        <v>8</v>
      </c>
      <c r="B56" s="16">
        <v>23.9</v>
      </c>
      <c r="C56" s="16">
        <v>13.8</v>
      </c>
      <c r="D56" s="16">
        <v>26</v>
      </c>
      <c r="E56" s="17"/>
      <c r="F56" s="17"/>
    </row>
    <row r="57" spans="1:6" ht="27" customHeight="1" thickBot="1" x14ac:dyDescent="0.25">
      <c r="A57" s="15">
        <v>9</v>
      </c>
      <c r="B57" s="16">
        <v>23.7</v>
      </c>
      <c r="C57" s="16">
        <v>13.6</v>
      </c>
      <c r="D57" s="16">
        <v>25.8</v>
      </c>
      <c r="E57" s="17"/>
      <c r="F57" s="17"/>
    </row>
    <row r="58" spans="1:6" ht="27" customHeight="1" thickBot="1" x14ac:dyDescent="0.25">
      <c r="A58" s="15">
        <v>10</v>
      </c>
      <c r="B58" s="16">
        <v>4</v>
      </c>
      <c r="C58" s="16">
        <v>0</v>
      </c>
      <c r="D58" s="16">
        <v>4</v>
      </c>
      <c r="E58" s="17" t="s">
        <v>40</v>
      </c>
      <c r="F58" s="17"/>
    </row>
    <row r="59" spans="1:6" ht="27" customHeight="1" x14ac:dyDescent="0.2">
      <c r="A59" s="17"/>
      <c r="B59" s="17"/>
      <c r="C59" s="17"/>
      <c r="D59" s="17"/>
      <c r="E59" s="17"/>
      <c r="F59" s="17"/>
    </row>
    <row r="60" spans="1:6" ht="27" customHeight="1" x14ac:dyDescent="0.2">
      <c r="A60" s="112" t="s">
        <v>46</v>
      </c>
      <c r="B60" s="113"/>
      <c r="C60" s="113"/>
      <c r="D60" s="113"/>
      <c r="E60" s="113"/>
      <c r="F60" s="113"/>
    </row>
    <row r="61" spans="1:6" ht="27" customHeight="1" thickBot="1" x14ac:dyDescent="0.25">
      <c r="A61" s="17"/>
      <c r="B61" s="17"/>
      <c r="C61" s="17"/>
      <c r="D61" s="17"/>
      <c r="E61" s="17"/>
      <c r="F61" s="17"/>
    </row>
    <row r="62" spans="1:6" ht="27" customHeight="1" thickBot="1" x14ac:dyDescent="0.25">
      <c r="A62" s="13" t="s">
        <v>35</v>
      </c>
      <c r="B62" s="14" t="s">
        <v>36</v>
      </c>
      <c r="C62" s="17"/>
      <c r="D62" s="17"/>
      <c r="E62" s="17"/>
      <c r="F62" s="17"/>
    </row>
    <row r="63" spans="1:6" ht="27" customHeight="1" thickBot="1" x14ac:dyDescent="0.25">
      <c r="A63" s="15">
        <v>1</v>
      </c>
      <c r="B63" s="16">
        <v>53.28</v>
      </c>
      <c r="C63" s="17"/>
      <c r="D63" s="17"/>
      <c r="E63" s="17"/>
      <c r="F63" s="17"/>
    </row>
    <row r="64" spans="1:6" ht="27" customHeight="1" thickBot="1" x14ac:dyDescent="0.25">
      <c r="A64" s="15">
        <v>2</v>
      </c>
      <c r="B64" s="16">
        <v>52.88</v>
      </c>
      <c r="C64" s="17"/>
      <c r="D64" s="17"/>
      <c r="E64" s="17"/>
      <c r="F64" s="17"/>
    </row>
    <row r="65" spans="1:6" ht="27" customHeight="1" thickBot="1" x14ac:dyDescent="0.25">
      <c r="A65" s="15">
        <v>3</v>
      </c>
      <c r="B65" s="16">
        <v>51.69</v>
      </c>
      <c r="C65" s="17"/>
      <c r="D65" s="17"/>
      <c r="E65" s="17"/>
      <c r="F65" s="17"/>
    </row>
    <row r="66" spans="1:6" ht="27" customHeight="1" thickBot="1" x14ac:dyDescent="0.25">
      <c r="A66" s="15">
        <v>4</v>
      </c>
      <c r="B66" s="16">
        <v>50.46</v>
      </c>
      <c r="C66" s="17"/>
      <c r="D66" s="17"/>
      <c r="E66" s="17"/>
      <c r="F66" s="17"/>
    </row>
    <row r="67" spans="1:6" ht="27" customHeight="1" thickBot="1" x14ac:dyDescent="0.25">
      <c r="A67" s="15">
        <v>5</v>
      </c>
      <c r="B67" s="16">
        <v>49.68</v>
      </c>
      <c r="C67" s="17"/>
      <c r="D67" s="17"/>
      <c r="E67" s="17"/>
      <c r="F67" s="17"/>
    </row>
    <row r="68" spans="1:6" ht="27" customHeight="1" thickBot="1" x14ac:dyDescent="0.25">
      <c r="A68" s="15">
        <v>6</v>
      </c>
      <c r="B68" s="16">
        <v>44.15</v>
      </c>
      <c r="C68" s="17"/>
      <c r="D68" s="17"/>
      <c r="E68" s="17"/>
      <c r="F68" s="17"/>
    </row>
    <row r="69" spans="1:6" ht="27" customHeight="1" thickBot="1" x14ac:dyDescent="0.25">
      <c r="A69" s="15">
        <v>7</v>
      </c>
      <c r="B69" s="16">
        <v>46.23</v>
      </c>
      <c r="C69" s="17"/>
      <c r="D69" s="17"/>
      <c r="E69" s="17"/>
      <c r="F69" s="17"/>
    </row>
    <row r="70" spans="1:6" ht="27" customHeight="1" thickBot="1" x14ac:dyDescent="0.25">
      <c r="A70" s="15">
        <v>8</v>
      </c>
      <c r="B70" s="16">
        <v>47.86</v>
      </c>
      <c r="C70" s="17"/>
      <c r="D70" s="17"/>
      <c r="E70" s="17"/>
      <c r="F70" s="17"/>
    </row>
    <row r="71" spans="1:6" ht="27" customHeight="1" thickBot="1" x14ac:dyDescent="0.25">
      <c r="A71" s="15">
        <v>9</v>
      </c>
      <c r="B71" s="16">
        <v>48.86</v>
      </c>
      <c r="C71" s="17"/>
      <c r="D71" s="17"/>
      <c r="E71" s="17"/>
      <c r="F71" s="17"/>
    </row>
    <row r="72" spans="1:6" ht="27" customHeight="1" thickBot="1" x14ac:dyDescent="0.25">
      <c r="A72" s="15">
        <v>10</v>
      </c>
      <c r="B72" s="16">
        <v>48.2</v>
      </c>
      <c r="C72" s="17"/>
      <c r="D72" s="17"/>
      <c r="E72" s="17"/>
      <c r="F72" s="17"/>
    </row>
    <row r="73" spans="1:6" ht="27" customHeight="1" x14ac:dyDescent="0.2">
      <c r="A73" s="17"/>
      <c r="B73" s="17"/>
      <c r="C73" s="17"/>
      <c r="D73" s="17"/>
      <c r="E73" s="17"/>
      <c r="F73" s="17"/>
    </row>
    <row r="74" spans="1:6" ht="27" customHeight="1" x14ac:dyDescent="0.2">
      <c r="A74" s="112" t="s">
        <v>47</v>
      </c>
      <c r="B74" s="113"/>
      <c r="C74" s="113"/>
      <c r="D74" s="113"/>
      <c r="E74" s="113"/>
      <c r="F74" s="113"/>
    </row>
    <row r="75" spans="1:6" ht="27" customHeight="1" thickBot="1" x14ac:dyDescent="0.25">
      <c r="A75" s="17"/>
      <c r="B75" s="17"/>
      <c r="C75" s="17"/>
      <c r="D75" s="17"/>
      <c r="E75" s="17"/>
      <c r="F75" s="17"/>
    </row>
    <row r="76" spans="1:6" ht="27" customHeight="1" thickBot="1" x14ac:dyDescent="0.25">
      <c r="A76" s="13" t="s">
        <v>35</v>
      </c>
      <c r="B76" s="14" t="s">
        <v>36</v>
      </c>
      <c r="C76" s="14" t="s">
        <v>37</v>
      </c>
      <c r="D76" s="17"/>
      <c r="E76" s="17"/>
      <c r="F76" s="17"/>
    </row>
    <row r="77" spans="1:6" ht="27" customHeight="1" thickBot="1" x14ac:dyDescent="0.25">
      <c r="A77" s="15">
        <v>1</v>
      </c>
      <c r="B77" s="16">
        <v>6.2E-2</v>
      </c>
      <c r="C77" s="16">
        <v>4.7E-2</v>
      </c>
      <c r="D77" s="17"/>
      <c r="E77" s="17"/>
      <c r="F77" s="17"/>
    </row>
    <row r="78" spans="1:6" ht="27" customHeight="1" thickBot="1" x14ac:dyDescent="0.25">
      <c r="A78" s="15">
        <v>2</v>
      </c>
      <c r="B78" s="16">
        <v>5.5E-2</v>
      </c>
      <c r="C78" s="16">
        <v>5.8000000000000003E-2</v>
      </c>
      <c r="D78" s="17"/>
      <c r="E78" s="17"/>
      <c r="F78" s="17"/>
    </row>
    <row r="79" spans="1:6" ht="27" customHeight="1" thickBot="1" x14ac:dyDescent="0.25">
      <c r="A79" s="15">
        <v>3</v>
      </c>
      <c r="B79" s="16">
        <v>4.9000000000000002E-2</v>
      </c>
      <c r="C79" s="16">
        <v>5.1999999999999998E-2</v>
      </c>
      <c r="D79" s="17"/>
      <c r="E79" s="17"/>
      <c r="F79" s="17"/>
    </row>
    <row r="80" spans="1:6" ht="27" customHeight="1" thickBot="1" x14ac:dyDescent="0.25">
      <c r="A80" s="15">
        <v>4</v>
      </c>
      <c r="B80" s="16">
        <v>4.2999999999999997E-2</v>
      </c>
      <c r="C80" s="16">
        <v>4.2999999999999997E-2</v>
      </c>
      <c r="D80" s="17"/>
      <c r="E80" s="17"/>
      <c r="F80" s="17"/>
    </row>
    <row r="81" spans="1:6" ht="27" customHeight="1" thickBot="1" x14ac:dyDescent="0.25">
      <c r="A81" s="15">
        <v>5</v>
      </c>
      <c r="B81" s="16">
        <v>4.3999999999999997E-2</v>
      </c>
      <c r="C81" s="16">
        <v>4.3999999999999997E-2</v>
      </c>
      <c r="D81" s="17"/>
      <c r="E81" s="17"/>
      <c r="F81" s="17"/>
    </row>
    <row r="82" spans="1:6" ht="27" customHeight="1" thickBot="1" x14ac:dyDescent="0.25">
      <c r="A82" s="15">
        <v>6</v>
      </c>
      <c r="B82" s="16">
        <v>4.2999999999999997E-2</v>
      </c>
      <c r="C82" s="16">
        <v>4.2999999999999997E-2</v>
      </c>
      <c r="D82" s="17"/>
      <c r="E82" s="17"/>
      <c r="F82" s="17"/>
    </row>
    <row r="83" spans="1:6" ht="27" customHeight="1" thickBot="1" x14ac:dyDescent="0.25">
      <c r="A83" s="15">
        <v>7</v>
      </c>
      <c r="B83" s="16">
        <v>4.7E-2</v>
      </c>
      <c r="C83" s="16">
        <v>4.7E-2</v>
      </c>
      <c r="D83" s="17"/>
      <c r="E83" s="17"/>
      <c r="F83" s="17"/>
    </row>
    <row r="84" spans="1:6" ht="27" customHeight="1" thickBot="1" x14ac:dyDescent="0.25">
      <c r="A84" s="15">
        <v>8</v>
      </c>
      <c r="B84" s="16">
        <v>4.9000000000000002E-2</v>
      </c>
      <c r="C84" s="16">
        <v>4.9000000000000002E-2</v>
      </c>
      <c r="D84" s="17"/>
      <c r="E84" s="17"/>
      <c r="F84" s="17"/>
    </row>
    <row r="85" spans="1:6" ht="27" customHeight="1" thickBot="1" x14ac:dyDescent="0.25">
      <c r="A85" s="15">
        <v>9</v>
      </c>
      <c r="B85" s="16">
        <v>5.2499999999999998E-2</v>
      </c>
      <c r="C85" s="16">
        <v>5.2499999999999998E-2</v>
      </c>
      <c r="D85" s="17"/>
      <c r="E85" s="17"/>
      <c r="F85" s="17"/>
    </row>
    <row r="86" spans="1:6" ht="27" customHeight="1" thickBot="1" x14ac:dyDescent="0.25">
      <c r="A86" s="15">
        <v>10</v>
      </c>
      <c r="B86" s="16">
        <v>7.5999999999999998E-2</v>
      </c>
      <c r="C86" s="16">
        <v>5.5500000000000001E-2</v>
      </c>
      <c r="D86" s="17"/>
      <c r="E86" s="17"/>
      <c r="F86" s="17"/>
    </row>
    <row r="87" spans="1:6" ht="27" customHeight="1" x14ac:dyDescent="0.2">
      <c r="A87" s="17"/>
      <c r="B87" s="17"/>
      <c r="C87" s="17"/>
      <c r="D87" s="17"/>
      <c r="E87" s="17"/>
      <c r="F87" s="17"/>
    </row>
    <row r="88" spans="1:6" ht="27" customHeight="1" x14ac:dyDescent="0.2">
      <c r="A88" s="112" t="s">
        <v>48</v>
      </c>
      <c r="B88" s="113"/>
      <c r="C88" s="113"/>
      <c r="D88" s="113"/>
      <c r="E88" s="113"/>
      <c r="F88" s="113"/>
    </row>
    <row r="89" spans="1:6" ht="27" customHeight="1" thickBot="1" x14ac:dyDescent="0.25">
      <c r="A89" s="17"/>
      <c r="B89" s="17"/>
      <c r="C89" s="17"/>
      <c r="D89" s="17"/>
      <c r="E89" s="17"/>
      <c r="F89" s="17"/>
    </row>
    <row r="90" spans="1:6" ht="27" customHeight="1" thickBot="1" x14ac:dyDescent="0.25">
      <c r="A90" s="13" t="s">
        <v>35</v>
      </c>
      <c r="B90" s="14" t="s">
        <v>36</v>
      </c>
      <c r="C90" s="14" t="s">
        <v>37</v>
      </c>
      <c r="D90" s="17"/>
      <c r="E90" s="17"/>
      <c r="F90" s="17"/>
    </row>
    <row r="91" spans="1:6" ht="27" customHeight="1" thickBot="1" x14ac:dyDescent="0.25">
      <c r="A91" s="15">
        <v>1</v>
      </c>
      <c r="B91" s="16">
        <v>0.46400000000000002</v>
      </c>
      <c r="C91" s="16">
        <v>0.46800000000000003</v>
      </c>
      <c r="D91" s="17"/>
      <c r="E91" s="17"/>
      <c r="F91" s="17"/>
    </row>
    <row r="92" spans="1:6" ht="27" customHeight="1" thickBot="1" x14ac:dyDescent="0.25">
      <c r="A92" s="15">
        <v>2</v>
      </c>
      <c r="B92" s="16">
        <v>0.47499999999999998</v>
      </c>
      <c r="C92" s="16">
        <v>0.46</v>
      </c>
      <c r="D92" s="17"/>
      <c r="E92" s="17"/>
      <c r="F92" s="17"/>
    </row>
    <row r="93" spans="1:6" ht="27" customHeight="1" thickBot="1" x14ac:dyDescent="0.25">
      <c r="A93" s="15">
        <v>3</v>
      </c>
      <c r="B93" s="16">
        <v>0.45200000000000001</v>
      </c>
      <c r="C93" s="16">
        <v>0.44500000000000001</v>
      </c>
      <c r="D93" s="17"/>
      <c r="E93" s="17"/>
      <c r="F93" s="17"/>
    </row>
    <row r="94" spans="1:6" ht="27" customHeight="1" thickBot="1" x14ac:dyDescent="0.25">
      <c r="A94" s="15">
        <v>4</v>
      </c>
      <c r="B94" s="16">
        <v>0.47</v>
      </c>
      <c r="C94" s="16">
        <v>0.44800000000000001</v>
      </c>
      <c r="D94" s="17"/>
      <c r="E94" s="17"/>
      <c r="F94" s="17"/>
    </row>
    <row r="95" spans="1:6" ht="27" customHeight="1" thickBot="1" x14ac:dyDescent="0.25">
      <c r="A95" s="15">
        <v>5</v>
      </c>
      <c r="B95" s="16">
        <v>0.49</v>
      </c>
      <c r="C95" s="16">
        <v>0.45100000000000001</v>
      </c>
      <c r="D95" s="17"/>
      <c r="E95" s="17"/>
      <c r="F95" s="17"/>
    </row>
    <row r="96" spans="1:6" ht="27" customHeight="1" thickBot="1" x14ac:dyDescent="0.25">
      <c r="A96" s="15">
        <v>6</v>
      </c>
      <c r="B96" s="16">
        <v>0.44400000000000001</v>
      </c>
      <c r="C96" s="16">
        <v>0.41</v>
      </c>
      <c r="D96" s="17"/>
      <c r="E96" s="17"/>
      <c r="F96" s="17"/>
    </row>
    <row r="97" spans="1:6" ht="27" customHeight="1" thickBot="1" x14ac:dyDescent="0.25">
      <c r="A97" s="15">
        <v>7</v>
      </c>
      <c r="B97" s="16">
        <v>0.45700000000000002</v>
      </c>
      <c r="C97" s="16">
        <v>0.41799999999999998</v>
      </c>
      <c r="D97" s="17"/>
      <c r="E97" s="17"/>
      <c r="F97" s="17"/>
    </row>
    <row r="98" spans="1:6" ht="27" customHeight="1" thickBot="1" x14ac:dyDescent="0.25">
      <c r="A98" s="15">
        <v>8</v>
      </c>
      <c r="B98" s="16">
        <v>0.51800000000000002</v>
      </c>
      <c r="C98" s="16">
        <v>0.438</v>
      </c>
      <c r="D98" s="17"/>
      <c r="E98" s="17"/>
      <c r="F98" s="17"/>
    </row>
    <row r="99" spans="1:6" ht="27" customHeight="1" thickBot="1" x14ac:dyDescent="0.25">
      <c r="A99" s="15">
        <v>9</v>
      </c>
      <c r="B99" s="16">
        <v>0.53500000000000003</v>
      </c>
      <c r="C99" s="16">
        <v>0.45800000000000002</v>
      </c>
      <c r="D99" s="17"/>
      <c r="E99" s="17"/>
      <c r="F99" s="17"/>
    </row>
    <row r="100" spans="1:6" ht="27" customHeight="1" thickBot="1" x14ac:dyDescent="0.25">
      <c r="A100" s="15">
        <v>10</v>
      </c>
      <c r="B100" s="16">
        <v>0.6</v>
      </c>
      <c r="C100" s="16">
        <v>0.46200000000000002</v>
      </c>
      <c r="D100" s="17"/>
      <c r="E100" s="17"/>
      <c r="F100" s="17"/>
    </row>
    <row r="101" spans="1:6" ht="27" customHeight="1" x14ac:dyDescent="0.2">
      <c r="A101" s="17"/>
      <c r="B101" s="17"/>
      <c r="C101" s="17"/>
      <c r="D101" s="17"/>
      <c r="E101" s="17"/>
      <c r="F101" s="17"/>
    </row>
    <row r="102" spans="1:6" ht="27" customHeight="1" x14ac:dyDescent="0.2">
      <c r="A102" s="112" t="s">
        <v>49</v>
      </c>
      <c r="B102" s="113"/>
      <c r="C102" s="113"/>
      <c r="D102" s="113"/>
      <c r="E102" s="113"/>
      <c r="F102" s="113"/>
    </row>
    <row r="103" spans="1:6" ht="27" customHeight="1" thickBot="1" x14ac:dyDescent="0.25">
      <c r="A103" s="17"/>
      <c r="B103" s="17"/>
      <c r="C103" s="17"/>
      <c r="D103" s="17"/>
      <c r="E103" s="17"/>
      <c r="F103" s="17"/>
    </row>
    <row r="104" spans="1:6" s="17" customFormat="1" ht="27" customHeight="1" thickBot="1" x14ac:dyDescent="0.25">
      <c r="A104" s="13" t="s">
        <v>35</v>
      </c>
      <c r="B104" s="14" t="s">
        <v>36</v>
      </c>
      <c r="C104" s="14" t="s">
        <v>37</v>
      </c>
      <c r="D104" s="14" t="s">
        <v>50</v>
      </c>
    </row>
    <row r="105" spans="1:6" ht="27" customHeight="1" thickBot="1" x14ac:dyDescent="0.25">
      <c r="A105" s="15">
        <v>1</v>
      </c>
      <c r="B105" s="16">
        <v>0.86</v>
      </c>
      <c r="C105" s="16">
        <v>1.36</v>
      </c>
      <c r="D105" s="16">
        <v>1.36</v>
      </c>
      <c r="E105" s="17"/>
      <c r="F105" s="17"/>
    </row>
    <row r="106" spans="1:6" ht="27" customHeight="1" thickBot="1" x14ac:dyDescent="0.25">
      <c r="A106" s="15">
        <v>2</v>
      </c>
      <c r="B106" s="16">
        <v>0.78</v>
      </c>
      <c r="C106" s="16">
        <v>1.08</v>
      </c>
      <c r="D106" s="16">
        <v>1.1499999999999999</v>
      </c>
      <c r="E106" s="17"/>
      <c r="F106" s="17"/>
    </row>
    <row r="107" spans="1:6" ht="27" customHeight="1" thickBot="1" x14ac:dyDescent="0.25">
      <c r="A107" s="15">
        <v>3</v>
      </c>
      <c r="B107" s="16">
        <v>0.74</v>
      </c>
      <c r="C107" s="16">
        <v>0.95</v>
      </c>
      <c r="D107" s="16">
        <v>1.0249999999999999</v>
      </c>
      <c r="E107" s="17"/>
      <c r="F107" s="17"/>
    </row>
    <row r="108" spans="1:6" ht="27" customHeight="1" thickBot="1" x14ac:dyDescent="0.25">
      <c r="A108" s="15">
        <v>4</v>
      </c>
      <c r="B108" s="16">
        <v>0.7</v>
      </c>
      <c r="C108" s="16">
        <v>0.86</v>
      </c>
      <c r="D108" s="16">
        <v>0.94499999999999995</v>
      </c>
      <c r="E108" s="17"/>
      <c r="F108" s="17"/>
    </row>
    <row r="109" spans="1:6" ht="27" customHeight="1" thickBot="1" x14ac:dyDescent="0.25">
      <c r="A109" s="15">
        <v>5</v>
      </c>
      <c r="B109" s="16">
        <v>0.66</v>
      </c>
      <c r="C109" s="16">
        <v>0.78</v>
      </c>
      <c r="D109" s="16">
        <v>0.86</v>
      </c>
      <c r="E109" s="17"/>
      <c r="F109" s="17"/>
    </row>
    <row r="110" spans="1:6" ht="27" customHeight="1" thickBot="1" x14ac:dyDescent="0.25">
      <c r="A110" s="15">
        <v>6</v>
      </c>
      <c r="B110" s="16">
        <v>0.59</v>
      </c>
      <c r="C110" s="16">
        <v>0.75</v>
      </c>
      <c r="D110" s="16">
        <v>0.82499999999999996</v>
      </c>
      <c r="E110" s="17"/>
      <c r="F110" s="17"/>
    </row>
    <row r="111" spans="1:6" ht="27" customHeight="1" thickBot="1" x14ac:dyDescent="0.25">
      <c r="A111" s="15">
        <v>7</v>
      </c>
      <c r="B111" s="16">
        <v>0.57499999999999996</v>
      </c>
      <c r="C111" s="16">
        <v>0.72</v>
      </c>
      <c r="D111" s="16">
        <v>0.79</v>
      </c>
      <c r="E111" s="17"/>
      <c r="F111" s="17"/>
    </row>
    <row r="112" spans="1:6" ht="27" customHeight="1" thickBot="1" x14ac:dyDescent="0.25">
      <c r="A112" s="15">
        <v>8</v>
      </c>
      <c r="B112" s="16">
        <v>0.56000000000000005</v>
      </c>
      <c r="C112" s="16">
        <v>0.69</v>
      </c>
      <c r="D112" s="16">
        <v>0.76</v>
      </c>
      <c r="E112" s="17"/>
      <c r="F112" s="17"/>
    </row>
    <row r="113" spans="1:13" ht="27" customHeight="1" thickBot="1" x14ac:dyDescent="0.25">
      <c r="A113" s="15">
        <v>9</v>
      </c>
      <c r="B113" s="16">
        <v>0.53</v>
      </c>
      <c r="C113" s="16">
        <v>0.66</v>
      </c>
      <c r="D113" s="16">
        <v>0.74</v>
      </c>
      <c r="E113" s="17"/>
      <c r="F113" s="17"/>
    </row>
    <row r="114" spans="1:13" ht="27" customHeight="1" thickBot="1" x14ac:dyDescent="0.25">
      <c r="A114" s="15">
        <v>10</v>
      </c>
      <c r="B114" s="16">
        <v>0.48</v>
      </c>
      <c r="C114" s="16">
        <v>0.64</v>
      </c>
      <c r="D114" s="16">
        <v>0.71</v>
      </c>
      <c r="E114" s="17"/>
      <c r="F114" s="17"/>
    </row>
    <row r="115" spans="1:13" ht="27" customHeight="1" thickBot="1" x14ac:dyDescent="0.25"/>
    <row r="116" spans="1:13" ht="27" customHeight="1" thickBot="1" x14ac:dyDescent="0.25">
      <c r="A116" s="117" t="s">
        <v>51</v>
      </c>
      <c r="B116" s="118"/>
      <c r="C116" s="118"/>
      <c r="D116" s="119"/>
      <c r="E116" s="8"/>
      <c r="F116" s="8"/>
      <c r="G116" s="8"/>
      <c r="H116" s="8"/>
      <c r="I116" s="8"/>
      <c r="J116" s="8"/>
      <c r="K116" s="8"/>
      <c r="L116" s="8"/>
      <c r="M116" s="8"/>
    </row>
    <row r="117" spans="1:13" s="17" customFormat="1" ht="27" customHeight="1" thickBot="1" x14ac:dyDescent="0.25">
      <c r="A117" s="109" t="s">
        <v>18</v>
      </c>
      <c r="B117" s="111"/>
      <c r="C117" s="110"/>
      <c r="D117" s="7">
        <v>1</v>
      </c>
      <c r="E117" s="7">
        <v>2</v>
      </c>
      <c r="F117" s="7">
        <v>3</v>
      </c>
      <c r="G117" s="7">
        <v>4</v>
      </c>
      <c r="H117" s="7">
        <v>5</v>
      </c>
      <c r="I117" s="7">
        <v>6</v>
      </c>
      <c r="J117" s="7">
        <v>7</v>
      </c>
      <c r="K117" s="7">
        <v>8</v>
      </c>
      <c r="L117" s="7">
        <v>9</v>
      </c>
      <c r="M117" s="7">
        <v>10</v>
      </c>
    </row>
    <row r="118" spans="1:13" ht="27" customHeight="1" thickBot="1" x14ac:dyDescent="0.25">
      <c r="A118" s="114" t="s">
        <v>52</v>
      </c>
      <c r="B118" s="115"/>
      <c r="C118" s="116"/>
      <c r="D118" s="3">
        <v>10.3</v>
      </c>
      <c r="E118" s="3">
        <v>13.5</v>
      </c>
      <c r="F118" s="3">
        <v>15.8</v>
      </c>
      <c r="G118" s="3">
        <v>18</v>
      </c>
      <c r="H118" s="3">
        <v>19.2</v>
      </c>
      <c r="I118" s="3">
        <v>19.3</v>
      </c>
      <c r="J118" s="3">
        <v>16.3</v>
      </c>
      <c r="K118" s="3">
        <v>15</v>
      </c>
      <c r="L118" s="3">
        <v>13.6</v>
      </c>
      <c r="M118" s="3">
        <v>13.4</v>
      </c>
    </row>
    <row r="119" spans="1:13" ht="27" customHeight="1" thickBot="1" x14ac:dyDescent="0.25">
      <c r="A119" s="114" t="s">
        <v>53</v>
      </c>
      <c r="B119" s="115"/>
      <c r="C119" s="116"/>
      <c r="D119" s="3">
        <v>0.59</v>
      </c>
      <c r="E119" s="3">
        <v>0.51</v>
      </c>
      <c r="F119" s="3">
        <v>0.47499999999999998</v>
      </c>
      <c r="G119" s="3">
        <v>0.46</v>
      </c>
      <c r="H119" s="3">
        <v>0.443</v>
      </c>
      <c r="I119" s="3">
        <v>0.41799999999999998</v>
      </c>
      <c r="J119" s="3">
        <v>0.40200000000000002</v>
      </c>
      <c r="K119" s="3">
        <v>0.38300000000000001</v>
      </c>
      <c r="L119" s="3">
        <v>0.35</v>
      </c>
      <c r="M119" s="3">
        <v>0.313</v>
      </c>
    </row>
    <row r="120" spans="1:13" ht="27" customHeight="1" thickBot="1" x14ac:dyDescent="0.25">
      <c r="A120" s="114" t="s">
        <v>54</v>
      </c>
      <c r="B120" s="115"/>
      <c r="C120" s="116"/>
      <c r="D120" s="3">
        <v>52.7</v>
      </c>
      <c r="E120" s="3">
        <v>52.3</v>
      </c>
      <c r="F120" s="3">
        <v>51.12</v>
      </c>
      <c r="G120" s="3">
        <v>49.74</v>
      </c>
      <c r="H120" s="3">
        <v>49.14</v>
      </c>
      <c r="I120" s="3">
        <v>43.62</v>
      </c>
      <c r="J120" s="3">
        <v>45.69</v>
      </c>
      <c r="K120" s="3">
        <v>47.27</v>
      </c>
      <c r="L120" s="3">
        <v>48.26</v>
      </c>
      <c r="M120" s="3">
        <v>47.57</v>
      </c>
    </row>
    <row r="121" spans="1:13" ht="27" customHeight="1" thickBot="1" x14ac:dyDescent="0.25">
      <c r="A121" s="114" t="s">
        <v>55</v>
      </c>
      <c r="B121" s="115"/>
      <c r="C121" s="116"/>
      <c r="D121" s="3">
        <v>5.2999999999999999E-2</v>
      </c>
      <c r="E121" s="3">
        <v>6.8400000000000002E-2</v>
      </c>
      <c r="F121" s="3">
        <v>6.8400000000000002E-2</v>
      </c>
      <c r="G121" s="3">
        <v>6.8900000000000003E-2</v>
      </c>
      <c r="H121" s="3">
        <v>6.9000000000000006E-2</v>
      </c>
      <c r="I121" s="3">
        <v>6.9000000000000006E-2</v>
      </c>
      <c r="J121" s="3">
        <v>6.9000000000000006E-2</v>
      </c>
      <c r="K121" s="3">
        <v>6.9000000000000006E-2</v>
      </c>
      <c r="L121" s="3">
        <v>6.9000000000000006E-2</v>
      </c>
      <c r="M121" s="3">
        <v>7.0000000000000007E-2</v>
      </c>
    </row>
    <row r="122" spans="1:13" ht="27" customHeight="1" thickBot="1" x14ac:dyDescent="0.25">
      <c r="A122" s="114" t="s">
        <v>56</v>
      </c>
      <c r="B122" s="115"/>
      <c r="C122" s="116"/>
      <c r="D122" s="3">
        <v>7.0000000000000007E-2</v>
      </c>
      <c r="E122" s="3">
        <v>6.5000000000000002E-2</v>
      </c>
      <c r="F122" s="3">
        <v>6.5000000000000002E-2</v>
      </c>
      <c r="G122" s="3">
        <v>0.06</v>
      </c>
      <c r="H122" s="3">
        <v>0.06</v>
      </c>
      <c r="I122" s="3">
        <v>6.5000000000000002E-2</v>
      </c>
      <c r="J122" s="3">
        <v>6.5000000000000002E-2</v>
      </c>
      <c r="K122" s="3">
        <v>6.5000000000000002E-2</v>
      </c>
      <c r="L122" s="3">
        <v>6.5000000000000002E-2</v>
      </c>
      <c r="M122" s="3">
        <v>0.1</v>
      </c>
    </row>
    <row r="123" spans="1:13" ht="27" customHeight="1" thickBot="1" x14ac:dyDescent="0.25">
      <c r="A123" s="114" t="s">
        <v>57</v>
      </c>
      <c r="B123" s="115"/>
      <c r="C123" s="116"/>
      <c r="D123" s="3">
        <v>1.6659999999999999</v>
      </c>
      <c r="E123" s="3">
        <v>1.486</v>
      </c>
      <c r="F123" s="3">
        <v>1.4470000000000001</v>
      </c>
      <c r="G123" s="3">
        <v>1.38</v>
      </c>
      <c r="H123" s="3">
        <v>1.274</v>
      </c>
      <c r="I123" s="3">
        <v>1.2569999999999999</v>
      </c>
      <c r="J123" s="3">
        <v>1.31</v>
      </c>
      <c r="K123" s="3">
        <v>1.3169999999999999</v>
      </c>
      <c r="L123" s="3">
        <v>1.3260000000000001</v>
      </c>
      <c r="M123" s="3">
        <v>1.391</v>
      </c>
    </row>
    <row r="124" spans="1:13" ht="27" customHeight="1" thickBot="1" x14ac:dyDescent="0.25">
      <c r="A124" s="114" t="s">
        <v>58</v>
      </c>
      <c r="B124" s="115"/>
      <c r="C124" s="116"/>
      <c r="D124" s="3">
        <v>1.353</v>
      </c>
      <c r="E124" s="3">
        <v>1.2769999999999999</v>
      </c>
      <c r="F124" s="3">
        <v>1.3080000000000001</v>
      </c>
      <c r="G124" s="3">
        <v>1.2809999999999999</v>
      </c>
      <c r="H124" s="3">
        <v>1.3740000000000001</v>
      </c>
      <c r="I124" s="3">
        <v>1.474</v>
      </c>
      <c r="J124" s="3">
        <v>1.379</v>
      </c>
      <c r="K124" s="3">
        <v>1.276</v>
      </c>
      <c r="L124" s="3">
        <v>1.3460000000000001</v>
      </c>
      <c r="M124" s="3">
        <v>1.4530000000000001</v>
      </c>
    </row>
    <row r="125" spans="1:13" ht="27" customHeight="1" thickBot="1" x14ac:dyDescent="0.25">
      <c r="A125" s="114" t="s">
        <v>59</v>
      </c>
      <c r="B125" s="115"/>
      <c r="C125" s="116"/>
      <c r="D125" s="3">
        <v>0.96299999999999997</v>
      </c>
      <c r="E125" s="3">
        <v>0.95599999999999996</v>
      </c>
      <c r="F125" s="3">
        <v>0.94899999999999995</v>
      </c>
      <c r="G125" s="3">
        <v>0.94199999999999995</v>
      </c>
      <c r="H125" s="3">
        <v>0.93500000000000005</v>
      </c>
      <c r="I125" s="3">
        <v>0.92800000000000005</v>
      </c>
      <c r="J125" s="3">
        <v>0.92100000000000004</v>
      </c>
      <c r="K125" s="3">
        <v>0.91400000000000003</v>
      </c>
      <c r="L125" s="3">
        <v>9.0700000000000003E-2</v>
      </c>
      <c r="M125" s="3">
        <v>0.9</v>
      </c>
    </row>
    <row r="126" spans="1:13" ht="27" customHeight="1" thickBot="1" x14ac:dyDescent="0.25">
      <c r="A126" s="114" t="s">
        <v>60</v>
      </c>
      <c r="B126" s="115"/>
      <c r="C126" s="116"/>
      <c r="D126" s="3">
        <v>0</v>
      </c>
      <c r="E126" s="3">
        <v>0</v>
      </c>
      <c r="F126" s="3">
        <v>0</v>
      </c>
      <c r="G126" s="3">
        <v>0</v>
      </c>
      <c r="H126" s="3">
        <v>1.3</v>
      </c>
      <c r="I126" s="3">
        <v>0</v>
      </c>
      <c r="J126" s="3">
        <v>2.2999999999999998</v>
      </c>
      <c r="K126" s="3">
        <v>0</v>
      </c>
      <c r="L126" s="3">
        <v>0</v>
      </c>
      <c r="M126" s="3">
        <v>0</v>
      </c>
    </row>
    <row r="127" spans="1:13" ht="27" customHeight="1" thickBot="1" x14ac:dyDescent="0.25">
      <c r="A127" s="114" t="s">
        <v>61</v>
      </c>
      <c r="B127" s="115"/>
      <c r="C127" s="116"/>
      <c r="D127" s="3">
        <v>2.3540000000000001</v>
      </c>
      <c r="E127" s="3">
        <v>2.5169999999999999</v>
      </c>
      <c r="F127" s="3">
        <v>2.33</v>
      </c>
      <c r="G127" s="3">
        <v>2.145</v>
      </c>
      <c r="H127" s="3">
        <v>2.0609999999999999</v>
      </c>
      <c r="I127" s="3">
        <v>2.028</v>
      </c>
      <c r="J127" s="3">
        <v>1.62</v>
      </c>
      <c r="K127" s="3">
        <v>1.417</v>
      </c>
      <c r="L127" s="3">
        <v>1.3380000000000001</v>
      </c>
      <c r="M127" s="3">
        <v>1.361</v>
      </c>
    </row>
    <row r="128" spans="1:13" ht="27" customHeight="1" thickBot="1" x14ac:dyDescent="0.25">
      <c r="A128" s="114" t="s">
        <v>62</v>
      </c>
      <c r="B128" s="115"/>
      <c r="C128" s="116"/>
      <c r="D128" s="3">
        <v>3.024</v>
      </c>
      <c r="E128" s="3">
        <v>2.98</v>
      </c>
      <c r="F128" s="3">
        <v>2.5299999999999998</v>
      </c>
      <c r="G128" s="3">
        <v>2.21</v>
      </c>
      <c r="H128" s="3">
        <v>2.0049999999999999</v>
      </c>
      <c r="I128" s="3">
        <v>1.6379999999999999</v>
      </c>
      <c r="J128" s="3">
        <v>1.355</v>
      </c>
      <c r="K128" s="3">
        <v>1.1599999999999999</v>
      </c>
      <c r="L128" s="3">
        <v>1.1419999999999999</v>
      </c>
      <c r="M128" s="3">
        <v>1.1060000000000001</v>
      </c>
    </row>
    <row r="129" spans="1:13" ht="27" customHeight="1" thickBot="1" x14ac:dyDescent="0.25">
      <c r="A129" s="114" t="s">
        <v>63</v>
      </c>
      <c r="B129" s="115"/>
      <c r="C129" s="116"/>
      <c r="D129" s="3">
        <v>0.86299999999999999</v>
      </c>
      <c r="E129" s="3">
        <v>0.876</v>
      </c>
      <c r="F129" s="3">
        <v>0.90900000000000003</v>
      </c>
      <c r="G129" s="3">
        <v>0.91700000000000004</v>
      </c>
      <c r="H129" s="3">
        <v>0.93200000000000005</v>
      </c>
      <c r="I129" s="3">
        <v>0.94699999999999995</v>
      </c>
      <c r="J129" s="3">
        <v>0.97099999999999997</v>
      </c>
      <c r="K129" s="3">
        <v>0.96699999999999997</v>
      </c>
      <c r="L129" s="3">
        <v>0.98</v>
      </c>
      <c r="M129" s="3">
        <v>0.99</v>
      </c>
    </row>
    <row r="130" spans="1:13" ht="27" customHeight="1" thickBot="1" x14ac:dyDescent="0.25">
      <c r="A130" s="114" t="s">
        <v>64</v>
      </c>
      <c r="B130" s="115"/>
      <c r="C130" s="116"/>
      <c r="D130" s="3">
        <v>0.29599999999999999</v>
      </c>
      <c r="E130" s="3">
        <v>0.4</v>
      </c>
      <c r="F130" s="3">
        <v>0.41</v>
      </c>
      <c r="G130" s="3">
        <v>0.47599999999999998</v>
      </c>
      <c r="H130" s="3">
        <v>0.39</v>
      </c>
      <c r="I130" s="3">
        <v>0.48199999999999998</v>
      </c>
      <c r="J130" s="3">
        <v>0.51500000000000001</v>
      </c>
      <c r="K130" s="3">
        <v>0.57999999999999996</v>
      </c>
      <c r="L130" s="3">
        <v>64</v>
      </c>
      <c r="M130" s="3">
        <v>0.72</v>
      </c>
    </row>
    <row r="131" spans="1:13" ht="27" customHeight="1" thickBot="1" x14ac:dyDescent="0.25">
      <c r="A131" s="114" t="s">
        <v>65</v>
      </c>
      <c r="B131" s="115"/>
      <c r="C131" s="116"/>
      <c r="D131" s="3">
        <v>0.32</v>
      </c>
      <c r="E131" s="3">
        <v>0.35</v>
      </c>
      <c r="F131" s="3">
        <v>0.45</v>
      </c>
      <c r="G131" s="3">
        <v>0.45</v>
      </c>
      <c r="H131" s="3">
        <v>0.9</v>
      </c>
      <c r="I131" s="3">
        <v>0.46</v>
      </c>
      <c r="J131" s="3">
        <v>0.89</v>
      </c>
      <c r="K131" s="3">
        <v>0.52</v>
      </c>
      <c r="L131" s="3">
        <v>0.57999999999999996</v>
      </c>
      <c r="M131" s="3">
        <v>0.55000000000000004</v>
      </c>
    </row>
    <row r="132" spans="1:13" ht="27" customHeight="1" thickBot="1" x14ac:dyDescent="0.25">
      <c r="A132" s="114" t="s">
        <v>66</v>
      </c>
      <c r="B132" s="115"/>
      <c r="C132" s="116"/>
      <c r="D132" s="3">
        <v>0.35099999999999998</v>
      </c>
      <c r="E132" s="3">
        <v>0.33600000000000002</v>
      </c>
      <c r="F132" s="3">
        <v>0.32800000000000001</v>
      </c>
      <c r="G132" s="3">
        <v>0.32100000000000001</v>
      </c>
      <c r="H132" s="3">
        <v>0.315</v>
      </c>
      <c r="I132" s="3">
        <v>0.308</v>
      </c>
      <c r="J132" s="3">
        <v>0.30399999999999999</v>
      </c>
      <c r="K132" s="3">
        <v>0.3</v>
      </c>
      <c r="L132" s="3">
        <v>0.29699999999999999</v>
      </c>
      <c r="M132" s="3"/>
    </row>
    <row r="133" spans="1:13" x14ac:dyDescent="0.2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</row>
    <row r="135" spans="1:13" ht="27" customHeight="1" thickBot="1" x14ac:dyDescent="0.25">
      <c r="A135" s="112" t="s">
        <v>67</v>
      </c>
      <c r="B135" s="113"/>
      <c r="C135" s="113"/>
      <c r="D135" s="113"/>
      <c r="E135" s="113"/>
      <c r="F135" s="113"/>
    </row>
    <row r="136" spans="1:13" ht="27" customHeight="1" thickBot="1" x14ac:dyDescent="0.25">
      <c r="B136" s="9" t="s">
        <v>35</v>
      </c>
      <c r="C136" s="10" t="s">
        <v>68</v>
      </c>
    </row>
    <row r="137" spans="1:13" ht="27" customHeight="1" thickBot="1" x14ac:dyDescent="0.25">
      <c r="B137" s="11">
        <v>1</v>
      </c>
      <c r="C137" s="12">
        <v>1.6910000000000001</v>
      </c>
    </row>
    <row r="138" spans="1:13" ht="27" customHeight="1" thickBot="1" x14ac:dyDescent="0.25">
      <c r="B138" s="11">
        <v>2</v>
      </c>
      <c r="C138" s="12">
        <v>1.5740000000000001</v>
      </c>
    </row>
    <row r="139" spans="1:13" ht="27" customHeight="1" thickBot="1" x14ac:dyDescent="0.25">
      <c r="B139" s="11">
        <v>3</v>
      </c>
      <c r="C139" s="12">
        <v>1.482</v>
      </c>
    </row>
    <row r="140" spans="1:13" ht="27" customHeight="1" thickBot="1" x14ac:dyDescent="0.25">
      <c r="B140" s="11">
        <v>4</v>
      </c>
      <c r="C140" s="12">
        <v>1.419</v>
      </c>
    </row>
    <row r="141" spans="1:13" ht="27" customHeight="1" thickBot="1" x14ac:dyDescent="0.25">
      <c r="B141" s="11">
        <v>5</v>
      </c>
      <c r="C141" s="12">
        <v>1.3680000000000001</v>
      </c>
    </row>
    <row r="142" spans="1:13" ht="27" customHeight="1" thickBot="1" x14ac:dyDescent="0.25">
      <c r="B142" s="11">
        <v>6</v>
      </c>
      <c r="C142" s="12">
        <v>1.2909999999999999</v>
      </c>
    </row>
    <row r="143" spans="1:13" ht="27" customHeight="1" thickBot="1" x14ac:dyDescent="0.25">
      <c r="B143" s="11">
        <v>7</v>
      </c>
      <c r="C143" s="12">
        <v>1.278</v>
      </c>
    </row>
    <row r="144" spans="1:13" ht="27" customHeight="1" thickBot="1" x14ac:dyDescent="0.25">
      <c r="B144" s="11">
        <v>8</v>
      </c>
      <c r="C144" s="12">
        <v>1.2709999999999999</v>
      </c>
    </row>
    <row r="145" spans="1:20" ht="27" customHeight="1" thickBot="1" x14ac:dyDescent="0.25">
      <c r="B145" s="11">
        <v>9</v>
      </c>
      <c r="C145" s="12">
        <v>1.258</v>
      </c>
    </row>
    <row r="146" spans="1:20" ht="27" customHeight="1" thickBot="1" x14ac:dyDescent="0.25">
      <c r="B146" s="11">
        <v>10</v>
      </c>
      <c r="C146" s="12">
        <v>1.238</v>
      </c>
    </row>
    <row r="148" spans="1:20" ht="27" customHeight="1" thickBot="1" x14ac:dyDescent="0.25">
      <c r="A148" s="112" t="s">
        <v>67</v>
      </c>
      <c r="B148" s="113"/>
      <c r="C148" s="113"/>
      <c r="D148" s="113"/>
      <c r="E148" s="113"/>
      <c r="F148" s="113"/>
    </row>
    <row r="149" spans="1:20" ht="27" customHeight="1" thickBot="1" x14ac:dyDescent="0.25">
      <c r="B149" s="24" t="s">
        <v>35</v>
      </c>
      <c r="C149" s="25" t="s">
        <v>68</v>
      </c>
    </row>
    <row r="150" spans="1:20" ht="27" customHeight="1" thickBot="1" x14ac:dyDescent="0.25">
      <c r="B150" s="22">
        <v>1</v>
      </c>
      <c r="C150" s="23">
        <v>1.677</v>
      </c>
      <c r="T150" s="5">
        <f t="shared" ref="T150:T158" si="0">C150/1.238</f>
        <v>1.3546042003231018</v>
      </c>
    </row>
    <row r="151" spans="1:20" ht="27" customHeight="1" thickBot="1" x14ac:dyDescent="0.25">
      <c r="B151" s="22">
        <v>2</v>
      </c>
      <c r="C151" s="23">
        <v>1.5609999999999999</v>
      </c>
      <c r="T151" s="5">
        <f t="shared" si="0"/>
        <v>1.2609046849757672</v>
      </c>
    </row>
    <row r="152" spans="1:20" ht="27" customHeight="1" thickBot="1" x14ac:dyDescent="0.25">
      <c r="B152" s="22">
        <v>3</v>
      </c>
      <c r="C152" s="23">
        <f t="shared" ref="C152:C156" si="1">C139/1.008655</f>
        <v>1.4692833525833906</v>
      </c>
      <c r="T152" s="5">
        <f t="shared" si="0"/>
        <v>1.1868201555600892</v>
      </c>
    </row>
    <row r="153" spans="1:20" ht="27" customHeight="1" thickBot="1" x14ac:dyDescent="0.25">
      <c r="B153" s="22">
        <v>4</v>
      </c>
      <c r="C153" s="23">
        <f t="shared" si="1"/>
        <v>1.4068239388096029</v>
      </c>
      <c r="T153" s="5">
        <f t="shared" si="0"/>
        <v>1.136368286599033</v>
      </c>
    </row>
    <row r="154" spans="1:20" ht="27" customHeight="1" thickBot="1" x14ac:dyDescent="0.25">
      <c r="B154" s="22">
        <v>5</v>
      </c>
      <c r="C154" s="23">
        <f t="shared" si="1"/>
        <v>1.3562615562308222</v>
      </c>
      <c r="T154" s="5">
        <f t="shared" si="0"/>
        <v>1.0955262974400826</v>
      </c>
    </row>
    <row r="155" spans="1:20" ht="27" customHeight="1" thickBot="1" x14ac:dyDescent="0.25">
      <c r="B155" s="22">
        <v>6</v>
      </c>
      <c r="C155" s="23">
        <f t="shared" si="1"/>
        <v>1.2799222727295259</v>
      </c>
      <c r="T155" s="5">
        <f t="shared" si="0"/>
        <v>1.0338629020432357</v>
      </c>
    </row>
    <row r="156" spans="1:20" ht="27" customHeight="1" thickBot="1" x14ac:dyDescent="0.25">
      <c r="B156" s="22">
        <v>7</v>
      </c>
      <c r="C156" s="23">
        <f t="shared" si="1"/>
        <v>1.267033822268268</v>
      </c>
      <c r="T156" s="5">
        <f t="shared" si="0"/>
        <v>1.0234521989242875</v>
      </c>
    </row>
    <row r="157" spans="1:20" ht="27" customHeight="1" thickBot="1" x14ac:dyDescent="0.25">
      <c r="B157" s="22">
        <v>8</v>
      </c>
      <c r="C157" s="23">
        <v>1.2609999999999999</v>
      </c>
      <c r="T157" s="5">
        <f t="shared" si="0"/>
        <v>1.0185783521809368</v>
      </c>
    </row>
    <row r="158" spans="1:20" ht="27" customHeight="1" thickBot="1" x14ac:dyDescent="0.25">
      <c r="B158" s="22">
        <v>9</v>
      </c>
      <c r="C158" s="23">
        <v>1.248</v>
      </c>
      <c r="T158" s="5">
        <f t="shared" si="0"/>
        <v>1.0080775444264944</v>
      </c>
    </row>
    <row r="159" spans="1:20" ht="27" customHeight="1" thickBot="1" x14ac:dyDescent="0.25">
      <c r="B159" s="22">
        <v>10</v>
      </c>
      <c r="C159" s="23">
        <v>1.228</v>
      </c>
      <c r="T159" s="5">
        <f>C159/1.238</f>
        <v>0.99192245557350567</v>
      </c>
    </row>
    <row r="161" spans="3:21" x14ac:dyDescent="0.2">
      <c r="C161" s="21">
        <f>PRODUCT(C150:C159)</f>
        <v>22.999826951824815</v>
      </c>
      <c r="T161" s="5">
        <f>PRODUCT(T150:T159)</f>
        <v>2.7196819666420433</v>
      </c>
      <c r="U161" s="5">
        <f>PRODUCT(U150:U159)</f>
        <v>0</v>
      </c>
    </row>
  </sheetData>
  <mergeCells count="27">
    <mergeCell ref="A121:C121"/>
    <mergeCell ref="A116:D116"/>
    <mergeCell ref="A117:C117"/>
    <mergeCell ref="A118:C118"/>
    <mergeCell ref="A119:C119"/>
    <mergeCell ref="A120:C120"/>
    <mergeCell ref="A123:C123"/>
    <mergeCell ref="A124:C124"/>
    <mergeCell ref="A125:C125"/>
    <mergeCell ref="A126:C126"/>
    <mergeCell ref="A127:C127"/>
    <mergeCell ref="A1:F1"/>
    <mergeCell ref="A135:F135"/>
    <mergeCell ref="A148:F148"/>
    <mergeCell ref="A88:F88"/>
    <mergeCell ref="A74:F74"/>
    <mergeCell ref="A60:F60"/>
    <mergeCell ref="A45:F45"/>
    <mergeCell ref="A30:F30"/>
    <mergeCell ref="A16:F16"/>
    <mergeCell ref="A128:C128"/>
    <mergeCell ref="A129:C129"/>
    <mergeCell ref="A130:C130"/>
    <mergeCell ref="A131:C131"/>
    <mergeCell ref="A132:C132"/>
    <mergeCell ref="A102:F102"/>
    <mergeCell ref="A122:C12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24"/>
  <sheetViews>
    <sheetView workbookViewId="0">
      <selection activeCell="T30" sqref="T30"/>
    </sheetView>
  </sheetViews>
  <sheetFormatPr baseColWidth="10" defaultColWidth="8.83203125" defaultRowHeight="15" x14ac:dyDescent="0.2"/>
  <cols>
    <col min="1" max="1" width="3.1640625" customWidth="1"/>
    <col min="2" max="3" width="10.33203125" customWidth="1"/>
    <col min="4" max="4" width="3.5" customWidth="1"/>
    <col min="5" max="7" width="10.33203125" customWidth="1"/>
  </cols>
  <sheetData>
    <row r="1" spans="2:6" ht="16" thickBot="1" x14ac:dyDescent="0.25"/>
    <row r="2" spans="2:6" ht="17" thickBot="1" x14ac:dyDescent="0.25">
      <c r="B2" s="120">
        <v>102.5</v>
      </c>
      <c r="C2" s="121"/>
      <c r="D2" s="19"/>
      <c r="E2" s="120">
        <v>97.5</v>
      </c>
      <c r="F2" s="121"/>
    </row>
    <row r="3" spans="2:6" ht="18" thickBot="1" x14ac:dyDescent="0.25">
      <c r="B3" s="1" t="s">
        <v>70</v>
      </c>
      <c r="C3" s="2" t="s">
        <v>68</v>
      </c>
      <c r="D3" s="20"/>
      <c r="E3" s="2" t="s">
        <v>70</v>
      </c>
      <c r="F3" s="2" t="s">
        <v>68</v>
      </c>
    </row>
    <row r="4" spans="2:6" ht="17" thickBot="1" x14ac:dyDescent="0.25">
      <c r="B4" s="11">
        <v>57.71</v>
      </c>
      <c r="C4" s="12">
        <v>26.76</v>
      </c>
      <c r="D4" s="20"/>
      <c r="E4" s="12">
        <v>48.05</v>
      </c>
      <c r="F4" s="12">
        <v>22.1</v>
      </c>
    </row>
    <row r="5" spans="2:6" ht="17" thickBot="1" x14ac:dyDescent="0.25">
      <c r="B5" s="11">
        <v>57.81</v>
      </c>
      <c r="C5" s="12">
        <v>25.29</v>
      </c>
      <c r="D5" s="20"/>
      <c r="E5" s="12">
        <v>48.52</v>
      </c>
      <c r="F5" s="12">
        <v>21.55</v>
      </c>
    </row>
    <row r="6" spans="2:6" ht="17" thickBot="1" x14ac:dyDescent="0.25">
      <c r="B6" s="11">
        <v>57.86</v>
      </c>
      <c r="C6" s="12">
        <v>24.45</v>
      </c>
      <c r="D6" s="20"/>
      <c r="E6" s="12">
        <v>49.38</v>
      </c>
      <c r="F6" s="12">
        <v>20.46</v>
      </c>
    </row>
    <row r="7" spans="2:6" ht="17" thickBot="1" x14ac:dyDescent="0.25">
      <c r="B7" s="19"/>
      <c r="C7" s="19"/>
      <c r="D7" s="20"/>
      <c r="E7" s="12">
        <v>49.38</v>
      </c>
      <c r="F7" s="12">
        <v>19.79</v>
      </c>
    </row>
    <row r="8" spans="2:6" ht="17" thickBot="1" x14ac:dyDescent="0.25">
      <c r="B8" s="19"/>
      <c r="C8" s="19"/>
      <c r="D8" s="20"/>
      <c r="E8" s="12">
        <v>49.28</v>
      </c>
      <c r="F8" s="12">
        <v>18.57</v>
      </c>
    </row>
    <row r="9" spans="2:6" ht="17" thickBot="1" x14ac:dyDescent="0.25">
      <c r="B9" s="120">
        <v>100</v>
      </c>
      <c r="C9" s="121"/>
      <c r="D9" s="20"/>
      <c r="E9" s="12">
        <v>49.38</v>
      </c>
      <c r="F9" s="12">
        <v>17.77</v>
      </c>
    </row>
    <row r="10" spans="2:6" ht="18" thickBot="1" x14ac:dyDescent="0.25">
      <c r="B10" s="1" t="s">
        <v>70</v>
      </c>
      <c r="C10" s="2" t="s">
        <v>68</v>
      </c>
      <c r="D10" s="19"/>
      <c r="E10" s="19"/>
      <c r="F10" s="19"/>
    </row>
    <row r="11" spans="2:6" ht="17" thickBot="1" x14ac:dyDescent="0.25">
      <c r="B11" s="11">
        <v>54.62</v>
      </c>
      <c r="C11" s="12">
        <v>26.09</v>
      </c>
      <c r="D11" s="19"/>
      <c r="E11" s="19"/>
      <c r="F11" s="19"/>
    </row>
    <row r="12" spans="2:6" ht="17" thickBot="1" x14ac:dyDescent="0.25">
      <c r="B12" s="11">
        <v>55</v>
      </c>
      <c r="C12" s="12">
        <v>24.79</v>
      </c>
      <c r="D12" s="19"/>
      <c r="E12" s="120">
        <v>95</v>
      </c>
      <c r="F12" s="121"/>
    </row>
    <row r="13" spans="2:6" ht="18" thickBot="1" x14ac:dyDescent="0.25">
      <c r="B13" s="11">
        <v>55.24</v>
      </c>
      <c r="C13" s="12">
        <v>23.32</v>
      </c>
      <c r="D13" s="20"/>
      <c r="E13" s="2" t="s">
        <v>70</v>
      </c>
      <c r="F13" s="2" t="s">
        <v>68</v>
      </c>
    </row>
    <row r="14" spans="2:6" ht="17" thickBot="1" x14ac:dyDescent="0.25">
      <c r="B14" s="11">
        <v>55.14</v>
      </c>
      <c r="C14" s="12">
        <v>22.73</v>
      </c>
      <c r="D14" s="20"/>
      <c r="E14" s="12">
        <v>41.71</v>
      </c>
      <c r="F14" s="12">
        <v>18.87</v>
      </c>
    </row>
    <row r="15" spans="2:6" ht="17" thickBot="1" x14ac:dyDescent="0.25">
      <c r="B15" s="11">
        <v>55</v>
      </c>
      <c r="C15" s="12">
        <v>21.3</v>
      </c>
      <c r="D15" s="20"/>
      <c r="E15" s="12">
        <v>43</v>
      </c>
      <c r="F15" s="12">
        <v>17.440000000000001</v>
      </c>
    </row>
    <row r="16" spans="2:6" ht="17" thickBot="1" x14ac:dyDescent="0.25">
      <c r="B16" s="11">
        <v>55.14</v>
      </c>
      <c r="C16" s="12">
        <v>20.29</v>
      </c>
      <c r="D16" s="20"/>
      <c r="E16" s="12">
        <v>43.1</v>
      </c>
      <c r="F16" s="12">
        <v>16.93</v>
      </c>
    </row>
    <row r="17" spans="2:6" ht="16" thickBot="1" x14ac:dyDescent="0.25">
      <c r="B17" s="19"/>
      <c r="C17" s="19"/>
      <c r="D17" s="19"/>
      <c r="E17" s="19"/>
      <c r="F17" s="19"/>
    </row>
    <row r="18" spans="2:6" ht="16" thickBot="1" x14ac:dyDescent="0.25">
      <c r="B18" s="19"/>
      <c r="C18" s="19"/>
      <c r="D18" s="19"/>
      <c r="E18" s="19"/>
      <c r="F18" s="19"/>
    </row>
    <row r="19" spans="2:6" ht="17" thickBot="1" x14ac:dyDescent="0.25">
      <c r="B19" s="120">
        <v>99</v>
      </c>
      <c r="C19" s="121"/>
      <c r="D19" s="19"/>
      <c r="E19" s="120">
        <v>92.5</v>
      </c>
      <c r="F19" s="121"/>
    </row>
    <row r="20" spans="2:6" ht="18" thickBot="1" x14ac:dyDescent="0.25">
      <c r="B20" s="1" t="s">
        <v>70</v>
      </c>
      <c r="C20" s="2" t="s">
        <v>68</v>
      </c>
      <c r="D20" s="20"/>
      <c r="E20" s="2" t="s">
        <v>70</v>
      </c>
      <c r="F20" s="2" t="s">
        <v>68</v>
      </c>
    </row>
    <row r="21" spans="2:6" ht="17" thickBot="1" x14ac:dyDescent="0.25">
      <c r="B21" s="11">
        <v>52</v>
      </c>
      <c r="C21" s="12">
        <v>24.79</v>
      </c>
      <c r="D21" s="20"/>
      <c r="E21" s="12">
        <v>34.76</v>
      </c>
      <c r="F21" s="12">
        <v>15.42</v>
      </c>
    </row>
    <row r="22" spans="2:6" ht="17" thickBot="1" x14ac:dyDescent="0.25">
      <c r="B22" s="11">
        <v>52.85</v>
      </c>
      <c r="C22" s="12">
        <v>23.57</v>
      </c>
      <c r="D22" s="20"/>
      <c r="E22" s="12">
        <v>35.520000000000003</v>
      </c>
      <c r="F22" s="12">
        <v>14.83</v>
      </c>
    </row>
    <row r="23" spans="2:6" ht="17" thickBot="1" x14ac:dyDescent="0.25">
      <c r="B23" s="11">
        <v>53.05</v>
      </c>
      <c r="C23" s="12">
        <v>22.31</v>
      </c>
      <c r="D23" s="20"/>
      <c r="E23" s="12">
        <v>36.67</v>
      </c>
      <c r="F23" s="12">
        <v>13.4</v>
      </c>
    </row>
    <row r="24" spans="2:6" ht="17" thickBot="1" x14ac:dyDescent="0.25">
      <c r="B24" s="11">
        <v>53</v>
      </c>
      <c r="C24" s="12">
        <v>21.76</v>
      </c>
      <c r="D24" s="20"/>
      <c r="E24" s="12">
        <v>36.9</v>
      </c>
      <c r="F24" s="12">
        <v>12.69</v>
      </c>
    </row>
  </sheetData>
  <mergeCells count="6">
    <mergeCell ref="B2:C2"/>
    <mergeCell ref="E2:F2"/>
    <mergeCell ref="B9:C9"/>
    <mergeCell ref="E12:F12"/>
    <mergeCell ref="B19:C19"/>
    <mergeCell ref="E19:F19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E55A5-B65A-4608-87ED-733E31906439}">
  <dimension ref="A1:BE274"/>
  <sheetViews>
    <sheetView tabSelected="1" zoomScale="120" zoomScaleNormal="120" workbookViewId="0">
      <pane xSplit="1" ySplit="2" topLeftCell="L104" activePane="bottomRight" state="frozen"/>
      <selection pane="topRight" activeCell="B1" sqref="B1"/>
      <selection pane="bottomLeft" activeCell="A3" sqref="A3"/>
      <selection pane="bottomRight" activeCell="Z115" sqref="Z115"/>
    </sheetView>
  </sheetViews>
  <sheetFormatPr baseColWidth="10" defaultColWidth="10.1640625" defaultRowHeight="16" x14ac:dyDescent="0.2"/>
  <cols>
    <col min="1" max="1" width="12.5" style="27" customWidth="1"/>
    <col min="2" max="2" width="4" style="33" customWidth="1"/>
    <col min="3" max="3" width="10" style="33" customWidth="1"/>
    <col min="4" max="4" width="8.5" style="33" customWidth="1"/>
    <col min="5" max="5" width="9.83203125" style="33" customWidth="1"/>
    <col min="6" max="6" width="8.5" style="33" customWidth="1"/>
    <col min="7" max="7" width="7.5" style="33" customWidth="1"/>
    <col min="8" max="8" width="7.5" style="27" customWidth="1"/>
    <col min="9" max="10" width="7.5" style="33" customWidth="1"/>
    <col min="11" max="11" width="7.5" style="27" customWidth="1"/>
    <col min="12" max="12" width="10.1640625" style="27"/>
    <col min="13" max="13" width="4" style="33" customWidth="1"/>
    <col min="14" max="21" width="10.1640625" style="27"/>
    <col min="22" max="22" width="7.5" style="27" customWidth="1"/>
    <col min="23" max="23" width="6" style="27" customWidth="1"/>
    <col min="24" max="24" width="4" style="27" customWidth="1"/>
    <col min="25" max="27" width="10.1640625" style="33"/>
    <col min="28" max="28" width="12.5" style="27" customWidth="1"/>
    <col min="29" max="30" width="10.83203125" style="27" customWidth="1"/>
    <col min="31" max="31" width="3.5" style="27" customWidth="1"/>
    <col min="32" max="35" width="10.1640625" style="27"/>
    <col min="36" max="37" width="11.1640625" style="27" customWidth="1"/>
    <col min="38" max="40" width="7.83203125" style="27" customWidth="1"/>
    <col min="41" max="42" width="10.1640625" style="27"/>
    <col min="43" max="43" width="10.1640625" style="33"/>
    <col min="44" max="45" width="10.1640625" style="27"/>
    <col min="46" max="47" width="10.1640625" style="33"/>
    <col min="48" max="48" width="10.1640625" style="27"/>
    <col min="49" max="50" width="10.1640625" style="33"/>
    <col min="51" max="52" width="12.6640625" style="33" customWidth="1"/>
    <col min="53" max="54" width="10.1640625" style="33"/>
    <col min="55" max="16384" width="10.1640625" style="27"/>
  </cols>
  <sheetData>
    <row r="1" spans="1:57" ht="26" thickBot="1" x14ac:dyDescent="0.25">
      <c r="A1" s="26" t="s">
        <v>45</v>
      </c>
      <c r="AA1" s="127" t="s">
        <v>188</v>
      </c>
    </row>
    <row r="2" spans="1:57" s="28" customFormat="1" ht="44" customHeight="1" x14ac:dyDescent="0.2">
      <c r="A2" s="39" t="s">
        <v>94</v>
      </c>
      <c r="B2" s="40" t="s">
        <v>95</v>
      </c>
      <c r="C2" s="40" t="s">
        <v>96</v>
      </c>
      <c r="D2" s="40" t="s">
        <v>97</v>
      </c>
      <c r="E2" s="40" t="s">
        <v>98</v>
      </c>
      <c r="F2" s="40" t="s">
        <v>99</v>
      </c>
      <c r="G2" s="40" t="s">
        <v>100</v>
      </c>
      <c r="H2" s="41" t="s">
        <v>101</v>
      </c>
      <c r="I2" s="40" t="s">
        <v>102</v>
      </c>
      <c r="J2" s="40" t="s">
        <v>103</v>
      </c>
      <c r="K2" s="41" t="s">
        <v>104</v>
      </c>
      <c r="L2" s="41" t="s">
        <v>105</v>
      </c>
      <c r="M2" s="40" t="s">
        <v>95</v>
      </c>
      <c r="N2" s="41" t="s">
        <v>96</v>
      </c>
      <c r="O2" s="41" t="s">
        <v>97</v>
      </c>
      <c r="P2" s="41" t="s">
        <v>98</v>
      </c>
      <c r="Q2" s="41" t="s">
        <v>99</v>
      </c>
      <c r="R2" s="41" t="s">
        <v>100</v>
      </c>
      <c r="S2" s="41" t="s">
        <v>101</v>
      </c>
      <c r="T2" s="41" t="s">
        <v>102</v>
      </c>
      <c r="U2" s="41" t="s">
        <v>103</v>
      </c>
      <c r="V2" s="41" t="s">
        <v>104</v>
      </c>
      <c r="W2" s="41" t="s">
        <v>106</v>
      </c>
      <c r="X2" s="41" t="s">
        <v>95</v>
      </c>
      <c r="Y2" s="40" t="s">
        <v>107</v>
      </c>
      <c r="Z2" s="40" t="s">
        <v>108</v>
      </c>
      <c r="AA2" s="40" t="s">
        <v>109</v>
      </c>
      <c r="AB2" s="41" t="s">
        <v>110</v>
      </c>
      <c r="AC2" s="41" t="s">
        <v>111</v>
      </c>
      <c r="AD2" s="41"/>
      <c r="AE2" s="41"/>
      <c r="AF2" s="41" t="s">
        <v>112</v>
      </c>
      <c r="AG2" s="42" t="s">
        <v>149</v>
      </c>
      <c r="AI2" s="31" t="s">
        <v>151</v>
      </c>
      <c r="AJ2" s="30" t="s">
        <v>134</v>
      </c>
      <c r="AK2" s="30" t="s">
        <v>134</v>
      </c>
      <c r="AL2" s="30" t="s">
        <v>135</v>
      </c>
      <c r="AM2" s="30" t="s">
        <v>142</v>
      </c>
      <c r="AN2" s="30" t="s">
        <v>143</v>
      </c>
      <c r="AO2" s="28" t="s">
        <v>68</v>
      </c>
      <c r="AP2" s="28" t="s">
        <v>136</v>
      </c>
      <c r="AQ2" s="37" t="s">
        <v>136</v>
      </c>
      <c r="AR2" s="28" t="s">
        <v>137</v>
      </c>
      <c r="AS2" s="28" t="s">
        <v>150</v>
      </c>
      <c r="AT2" s="37" t="s">
        <v>138</v>
      </c>
      <c r="AU2" s="37" t="s">
        <v>139</v>
      </c>
      <c r="AV2" s="31" t="s">
        <v>140</v>
      </c>
      <c r="AW2" s="37" t="s">
        <v>141</v>
      </c>
      <c r="AX2" s="34" t="s">
        <v>144</v>
      </c>
      <c r="AY2" s="37" t="s">
        <v>145</v>
      </c>
      <c r="AZ2" s="37" t="s">
        <v>135</v>
      </c>
      <c r="BA2" s="37" t="s">
        <v>146</v>
      </c>
      <c r="BB2" s="37" t="s">
        <v>147</v>
      </c>
      <c r="BC2" s="31" t="s">
        <v>148</v>
      </c>
      <c r="BD2" s="28" t="s">
        <v>146</v>
      </c>
      <c r="BE2" s="28" t="s">
        <v>147</v>
      </c>
    </row>
    <row r="3" spans="1:57" x14ac:dyDescent="0.2">
      <c r="A3" s="43" t="s">
        <v>94</v>
      </c>
      <c r="B3" s="44">
        <v>1</v>
      </c>
      <c r="C3" s="45">
        <v>14.256</v>
      </c>
      <c r="D3" s="45">
        <v>-3.0150000000000001</v>
      </c>
      <c r="E3" s="46">
        <v>0.97989999999999999</v>
      </c>
      <c r="F3" s="44">
        <v>0.99509999999999998</v>
      </c>
      <c r="G3" s="45">
        <v>0.55200000000000005</v>
      </c>
      <c r="H3" s="47"/>
      <c r="I3" s="48">
        <v>594</v>
      </c>
      <c r="J3" s="49">
        <v>0</v>
      </c>
      <c r="K3" s="47"/>
      <c r="L3" s="47" t="s">
        <v>105</v>
      </c>
      <c r="M3" s="44">
        <v>1</v>
      </c>
      <c r="N3" s="47">
        <v>13.992000000000001</v>
      </c>
      <c r="O3" s="50">
        <v>-0.57399999999999995</v>
      </c>
      <c r="P3" s="51">
        <v>0.96519999999999995</v>
      </c>
      <c r="Q3" s="47">
        <v>0.99509999999999998</v>
      </c>
      <c r="R3" s="47">
        <v>0.53600000000000003</v>
      </c>
      <c r="S3" s="47"/>
      <c r="T3" s="52">
        <v>558.4</v>
      </c>
      <c r="U3" s="53">
        <v>15</v>
      </c>
      <c r="V3" s="47"/>
      <c r="W3" s="47"/>
      <c r="X3" s="47">
        <v>1</v>
      </c>
      <c r="Y3" s="44">
        <v>0.89249999999999996</v>
      </c>
      <c r="Z3" s="46">
        <v>0.1116</v>
      </c>
      <c r="AA3" s="46">
        <v>0.08</v>
      </c>
      <c r="AB3" s="47"/>
      <c r="AC3" s="47"/>
      <c r="AD3" s="54"/>
      <c r="AE3" s="54"/>
      <c r="AF3" s="54">
        <f t="shared" ref="AF3:AF66" si="0">T3/I3</f>
        <v>0.94006734006734005</v>
      </c>
      <c r="AG3" s="122">
        <v>32</v>
      </c>
      <c r="AI3" s="26">
        <v>13.992000000000001</v>
      </c>
      <c r="AJ3" s="29">
        <f>C3-C14</f>
        <v>7.4300000000000006</v>
      </c>
      <c r="AK3" s="29">
        <f>N3-N14</f>
        <v>7.1860000000000008</v>
      </c>
      <c r="AL3" s="27">
        <f>(C3-C14)/AJ3</f>
        <v>1</v>
      </c>
      <c r="AM3" s="27">
        <f>N3-N14</f>
        <v>7.1860000000000008</v>
      </c>
      <c r="AN3" s="27">
        <f>(N3-6.806)/AM3</f>
        <v>1</v>
      </c>
      <c r="AO3" s="27">
        <f>P3/E3</f>
        <v>0.98499846923155421</v>
      </c>
      <c r="AP3" s="27">
        <f>AO3*8.65</f>
        <v>8.5202367588529437</v>
      </c>
      <c r="AQ3" s="33">
        <f>P3*8.65</f>
        <v>8.3489799999999992</v>
      </c>
      <c r="AR3" s="27">
        <f>Q3/F3</f>
        <v>1</v>
      </c>
      <c r="AS3" s="27">
        <f>F3*547.9</f>
        <v>545.21528999999998</v>
      </c>
      <c r="AT3" s="33">
        <f>Q3*547.9</f>
        <v>545.21528999999998</v>
      </c>
      <c r="AU3" s="33">
        <v>0.49380000000000002</v>
      </c>
      <c r="AV3" s="27">
        <v>13.762</v>
      </c>
      <c r="AW3" s="33">
        <f>(AV3-6.807) / (13.993-6.807)</f>
        <v>0.96785416086835518</v>
      </c>
      <c r="AX3" s="35">
        <v>0.53600000000000003</v>
      </c>
      <c r="AY3" s="33">
        <v>13.782999999999999</v>
      </c>
      <c r="AZ3" s="33">
        <f>(AY3-6.826)/(14.256-6.826)</f>
        <v>0.93633916554508734</v>
      </c>
      <c r="BA3" s="33">
        <f>E3*8.65</f>
        <v>8.4761350000000011</v>
      </c>
      <c r="BB3" s="33">
        <v>547.9</v>
      </c>
      <c r="BC3" s="27">
        <v>0.55420000000000003</v>
      </c>
      <c r="BD3" s="27">
        <f>E3*8.65</f>
        <v>8.4761350000000011</v>
      </c>
      <c r="BE3" s="27">
        <f>F3*547.9</f>
        <v>545.21528999999998</v>
      </c>
    </row>
    <row r="4" spans="1:57" x14ac:dyDescent="0.2">
      <c r="A4" s="55"/>
      <c r="B4" s="44">
        <v>2</v>
      </c>
      <c r="C4" s="45">
        <v>13.863</v>
      </c>
      <c r="D4" s="45">
        <v>-2.99</v>
      </c>
      <c r="E4" s="46">
        <v>0.9919</v>
      </c>
      <c r="F4" s="44">
        <v>0.99509999999999998</v>
      </c>
      <c r="G4" s="45">
        <v>0.55500000000000005</v>
      </c>
      <c r="H4" s="47"/>
      <c r="I4" s="48">
        <v>593.6</v>
      </c>
      <c r="J4" s="49">
        <v>0</v>
      </c>
      <c r="K4" s="47"/>
      <c r="L4" s="54"/>
      <c r="M4" s="44">
        <v>2</v>
      </c>
      <c r="N4" s="47">
        <v>13.576000000000001</v>
      </c>
      <c r="O4" s="50">
        <v>-0.6</v>
      </c>
      <c r="P4" s="51">
        <v>0.97929999999999995</v>
      </c>
      <c r="Q4" s="47">
        <v>0.99509999999999998</v>
      </c>
      <c r="R4" s="47">
        <v>0.55900000000000005</v>
      </c>
      <c r="S4" s="47"/>
      <c r="T4" s="52">
        <v>581.4</v>
      </c>
      <c r="U4" s="53">
        <v>14.55</v>
      </c>
      <c r="V4" s="47"/>
      <c r="W4" s="47"/>
      <c r="X4" s="47">
        <v>2</v>
      </c>
      <c r="Y4" s="44">
        <v>0.90059999999999996</v>
      </c>
      <c r="Z4" s="46">
        <v>0.1449</v>
      </c>
      <c r="AA4" s="46">
        <v>6.7199999999999996E-2</v>
      </c>
      <c r="AB4" s="47"/>
      <c r="AC4" s="47"/>
      <c r="AD4" s="54"/>
      <c r="AE4" s="54"/>
      <c r="AF4" s="54">
        <f t="shared" si="0"/>
        <v>0.97944743935309964</v>
      </c>
      <c r="AG4" s="123"/>
      <c r="AI4" s="26">
        <v>13.576000000000001</v>
      </c>
      <c r="AJ4" s="27">
        <v>7.4300000000000006</v>
      </c>
      <c r="AK4" s="27">
        <v>7.1860000000000008</v>
      </c>
      <c r="AL4" s="27">
        <f>(C4-C14)/AJ4</f>
        <v>0.94710632570659481</v>
      </c>
      <c r="AM4" s="27">
        <v>7.1860000000000008</v>
      </c>
      <c r="AN4" s="27">
        <f t="shared" ref="AN4:AN14" si="1">(N4-6.806)/AM4</f>
        <v>0.94210965766768717</v>
      </c>
      <c r="AO4" s="27">
        <f t="shared" ref="AO4:AO14" si="2">P4/E4</f>
        <v>0.98729710656316161</v>
      </c>
      <c r="AP4" s="27">
        <f t="shared" ref="AP4:AP14" si="3">AO4*8.65</f>
        <v>8.5401199717713485</v>
      </c>
      <c r="AQ4" s="33">
        <f t="shared" ref="AQ4:AQ66" si="4">P4*8.65</f>
        <v>8.4709450000000004</v>
      </c>
      <c r="AR4" s="27">
        <f t="shared" ref="AR4:AR14" si="5">Q4/F4</f>
        <v>1</v>
      </c>
      <c r="AS4" s="27">
        <f t="shared" ref="AS4:AS66" si="6">F4*547.9</f>
        <v>545.21528999999998</v>
      </c>
      <c r="AT4" s="33">
        <f t="shared" ref="AT4:AT66" si="7">Q4*547.9</f>
        <v>545.21528999999998</v>
      </c>
      <c r="AU4" s="33">
        <v>0.49719999999999998</v>
      </c>
      <c r="AV4" s="27">
        <v>13.295</v>
      </c>
      <c r="AW4" s="33">
        <f t="shared" ref="AW4:AW14" si="8">(AV4-6.807) / (13.993-6.807)</f>
        <v>0.90286668522126357</v>
      </c>
      <c r="AX4" s="35">
        <v>0.55900000000000005</v>
      </c>
      <c r="AY4" s="33">
        <v>13.356</v>
      </c>
      <c r="AZ4" s="33">
        <f t="shared" ref="AZ4:AZ14" si="9">(AY4-6.826)/(14.256-6.826)</f>
        <v>0.87886944818304169</v>
      </c>
      <c r="BA4" s="33">
        <f t="shared" ref="BA4:BA66" si="10">E4*8.65</f>
        <v>8.5799350000000008</v>
      </c>
      <c r="BB4" s="33">
        <v>547.9</v>
      </c>
      <c r="BC4" s="27">
        <v>0.54969999999999997</v>
      </c>
      <c r="BD4" s="27">
        <f t="shared" ref="BD4:BD14" si="11">E4*8.65</f>
        <v>8.5799350000000008</v>
      </c>
      <c r="BE4" s="27">
        <f t="shared" ref="BE4:BE14" si="12">F4*547.9</f>
        <v>545.21528999999998</v>
      </c>
    </row>
    <row r="5" spans="1:57" x14ac:dyDescent="0.2">
      <c r="A5" s="55"/>
      <c r="B5" s="44">
        <v>3</v>
      </c>
      <c r="C5" s="45">
        <v>13.46</v>
      </c>
      <c r="D5" s="45">
        <v>-2.9649999999999999</v>
      </c>
      <c r="E5" s="46">
        <v>0.99950000000000006</v>
      </c>
      <c r="F5" s="44">
        <v>0.99509999999999998</v>
      </c>
      <c r="G5" s="45">
        <v>0.55100000000000005</v>
      </c>
      <c r="H5" s="47"/>
      <c r="I5" s="48">
        <v>588.5</v>
      </c>
      <c r="J5" s="49">
        <v>0</v>
      </c>
      <c r="K5" s="47"/>
      <c r="L5" s="54"/>
      <c r="M5" s="44">
        <v>3</v>
      </c>
      <c r="N5" s="47">
        <v>13.162000000000001</v>
      </c>
      <c r="O5" s="50">
        <v>-0.624</v>
      </c>
      <c r="P5" s="51">
        <v>0.98860000000000003</v>
      </c>
      <c r="Q5" s="47">
        <v>0.99509999999999998</v>
      </c>
      <c r="R5" s="56">
        <v>0.57399999999999995</v>
      </c>
      <c r="S5" s="47"/>
      <c r="T5" s="52">
        <v>596.6</v>
      </c>
      <c r="U5" s="53">
        <v>14.06</v>
      </c>
      <c r="V5" s="47"/>
      <c r="W5" s="47"/>
      <c r="X5" s="47">
        <v>3</v>
      </c>
      <c r="Y5" s="44">
        <v>0.90969999999999995</v>
      </c>
      <c r="Z5" s="46">
        <v>0.1749</v>
      </c>
      <c r="AA5" s="46">
        <v>5.8000000000000003E-2</v>
      </c>
      <c r="AB5" s="47"/>
      <c r="AC5" s="47"/>
      <c r="AD5" s="54"/>
      <c r="AE5" s="54"/>
      <c r="AF5" s="54">
        <f t="shared" si="0"/>
        <v>1.0137638062871708</v>
      </c>
      <c r="AG5" s="123"/>
      <c r="AI5" s="26">
        <v>13.162000000000001</v>
      </c>
      <c r="AJ5" s="27">
        <v>7.4300000000000006</v>
      </c>
      <c r="AK5" s="27">
        <v>7.1860000000000008</v>
      </c>
      <c r="AL5" s="27">
        <f>(C5-C14)/AJ5</f>
        <v>0.89286675639300139</v>
      </c>
      <c r="AM5" s="27">
        <v>7.1860000000000008</v>
      </c>
      <c r="AN5" s="27">
        <f t="shared" si="1"/>
        <v>0.88449763428889505</v>
      </c>
      <c r="AO5" s="27">
        <f t="shared" si="2"/>
        <v>0.98909454727363677</v>
      </c>
      <c r="AP5" s="27">
        <f t="shared" si="3"/>
        <v>8.5556678339169583</v>
      </c>
      <c r="AQ5" s="33">
        <f t="shared" si="4"/>
        <v>8.5513900000000014</v>
      </c>
      <c r="AR5" s="27">
        <f t="shared" si="5"/>
        <v>1</v>
      </c>
      <c r="AS5" s="27">
        <f t="shared" si="6"/>
        <v>545.21528999999998</v>
      </c>
      <c r="AT5" s="33">
        <f t="shared" si="7"/>
        <v>545.21528999999998</v>
      </c>
      <c r="AU5" s="33">
        <v>0.49959999999999999</v>
      </c>
      <c r="AV5" s="27">
        <v>12.814</v>
      </c>
      <c r="AW5" s="33">
        <f t="shared" si="8"/>
        <v>0.83593097689952678</v>
      </c>
      <c r="AX5" s="38">
        <v>0.57399999999999995</v>
      </c>
      <c r="AY5" s="33">
        <v>12.912000000000001</v>
      </c>
      <c r="AZ5" s="33">
        <f t="shared" si="9"/>
        <v>0.81911170928667576</v>
      </c>
      <c r="BA5" s="33">
        <f t="shared" si="10"/>
        <v>8.6456750000000007</v>
      </c>
      <c r="BB5" s="33">
        <v>547.9</v>
      </c>
      <c r="BC5" s="27">
        <v>0.54410000000000003</v>
      </c>
      <c r="BD5" s="27">
        <f t="shared" si="11"/>
        <v>8.6456750000000007</v>
      </c>
      <c r="BE5" s="27">
        <f t="shared" si="12"/>
        <v>545.21528999999998</v>
      </c>
    </row>
    <row r="6" spans="1:57" x14ac:dyDescent="0.2">
      <c r="A6" s="55"/>
      <c r="B6" s="44">
        <v>4</v>
      </c>
      <c r="C6" s="45">
        <v>12.901999999999999</v>
      </c>
      <c r="D6" s="45">
        <v>-2.93</v>
      </c>
      <c r="E6" s="46">
        <v>1.0041</v>
      </c>
      <c r="F6" s="44">
        <v>0.99509999999999998</v>
      </c>
      <c r="G6" s="45">
        <v>0.54400000000000004</v>
      </c>
      <c r="H6" s="47"/>
      <c r="I6" s="48">
        <v>581</v>
      </c>
      <c r="J6" s="49">
        <v>0</v>
      </c>
      <c r="K6" s="47"/>
      <c r="L6" s="54"/>
      <c r="M6" s="44">
        <v>4</v>
      </c>
      <c r="N6" s="47">
        <v>12.601000000000001</v>
      </c>
      <c r="O6" s="50">
        <v>-0.65200000000000002</v>
      </c>
      <c r="P6" s="51">
        <v>0.99490000000000001</v>
      </c>
      <c r="Q6" s="47">
        <v>0.99509999999999998</v>
      </c>
      <c r="R6" s="56">
        <v>0.58199999999999996</v>
      </c>
      <c r="S6" s="47"/>
      <c r="T6" s="52">
        <v>606.9</v>
      </c>
      <c r="U6" s="53">
        <v>13.36</v>
      </c>
      <c r="V6" s="47"/>
      <c r="W6" s="47"/>
      <c r="X6" s="47">
        <v>4</v>
      </c>
      <c r="Y6" s="44">
        <v>0.92349999999999999</v>
      </c>
      <c r="Z6" s="46">
        <v>0.1963</v>
      </c>
      <c r="AA6" s="46">
        <v>5.04E-2</v>
      </c>
      <c r="AB6" s="47"/>
      <c r="AC6" s="47"/>
      <c r="AD6" s="54"/>
      <c r="AE6" s="54"/>
      <c r="AF6" s="54">
        <f t="shared" si="0"/>
        <v>1.044578313253012</v>
      </c>
      <c r="AG6" s="123"/>
      <c r="AI6" s="26">
        <v>12.601000000000001</v>
      </c>
      <c r="AJ6" s="27">
        <v>7.4300000000000006</v>
      </c>
      <c r="AK6" s="27">
        <v>7.1860000000000008</v>
      </c>
      <c r="AL6" s="27">
        <f>(C6-C14)/AJ6</f>
        <v>0.81776581426648709</v>
      </c>
      <c r="AM6" s="27">
        <v>7.1860000000000008</v>
      </c>
      <c r="AN6" s="27">
        <f t="shared" si="1"/>
        <v>0.80642916782632901</v>
      </c>
      <c r="AO6" s="27">
        <f t="shared" si="2"/>
        <v>0.99083756597948414</v>
      </c>
      <c r="AP6" s="27">
        <f t="shared" si="3"/>
        <v>8.570744945722538</v>
      </c>
      <c r="AQ6" s="33">
        <f t="shared" si="4"/>
        <v>8.6058850000000007</v>
      </c>
      <c r="AR6" s="27">
        <f t="shared" si="5"/>
        <v>1</v>
      </c>
      <c r="AS6" s="27">
        <f t="shared" si="6"/>
        <v>545.21528999999998</v>
      </c>
      <c r="AT6" s="33">
        <f t="shared" si="7"/>
        <v>545.21528999999998</v>
      </c>
      <c r="AU6" s="33">
        <v>0.50139999999999996</v>
      </c>
      <c r="AV6" s="27">
        <v>12.316000000000001</v>
      </c>
      <c r="AW6" s="33">
        <f t="shared" si="8"/>
        <v>0.76662955747286399</v>
      </c>
      <c r="AX6" s="38">
        <v>0.58199999999999996</v>
      </c>
      <c r="AY6" s="33">
        <v>12.448</v>
      </c>
      <c r="AZ6" s="33">
        <f t="shared" si="9"/>
        <v>0.75666218034993271</v>
      </c>
      <c r="BA6" s="33">
        <f t="shared" si="10"/>
        <v>8.6854650000000007</v>
      </c>
      <c r="BB6" s="33">
        <v>547.9</v>
      </c>
      <c r="BC6" s="27">
        <v>0.53710000000000002</v>
      </c>
      <c r="BD6" s="27">
        <f t="shared" si="11"/>
        <v>8.6854650000000007</v>
      </c>
      <c r="BE6" s="27">
        <f t="shared" si="12"/>
        <v>545.21528999999998</v>
      </c>
    </row>
    <row r="7" spans="1:57" x14ac:dyDescent="0.2">
      <c r="A7" s="55"/>
      <c r="B7" s="44">
        <v>5</v>
      </c>
      <c r="C7" s="45">
        <v>12.313000000000001</v>
      </c>
      <c r="D7" s="45">
        <v>-2.8929999999999998</v>
      </c>
      <c r="E7" s="46">
        <v>1.0051000000000001</v>
      </c>
      <c r="F7" s="44">
        <v>0.99509999999999998</v>
      </c>
      <c r="G7" s="45">
        <v>0.53500000000000003</v>
      </c>
      <c r="H7" s="47"/>
      <c r="I7" s="48">
        <v>571.1</v>
      </c>
      <c r="J7" s="49">
        <v>0</v>
      </c>
      <c r="K7" s="47"/>
      <c r="L7" s="54"/>
      <c r="M7" s="44">
        <v>5</v>
      </c>
      <c r="N7" s="47">
        <v>12.021000000000001</v>
      </c>
      <c r="O7" s="50">
        <v>-0.68100000000000005</v>
      </c>
      <c r="P7" s="51">
        <v>0.997</v>
      </c>
      <c r="Q7" s="47">
        <v>0.99509999999999998</v>
      </c>
      <c r="R7" s="50">
        <v>0.58299999999999996</v>
      </c>
      <c r="S7" s="47"/>
      <c r="T7" s="52">
        <v>609.79999999999995</v>
      </c>
      <c r="U7" s="53">
        <v>12.63</v>
      </c>
      <c r="V7" s="47"/>
      <c r="W7" s="47"/>
      <c r="X7" s="47">
        <v>5</v>
      </c>
      <c r="Y7" s="44">
        <v>0.93969999999999998</v>
      </c>
      <c r="Z7" s="46">
        <v>0.20880000000000001</v>
      </c>
      <c r="AA7" s="46">
        <v>4.53E-2</v>
      </c>
      <c r="AB7" s="47"/>
      <c r="AC7" s="47"/>
      <c r="AD7" s="54"/>
      <c r="AE7" s="54"/>
      <c r="AF7" s="54">
        <f t="shared" si="0"/>
        <v>1.0677639642794605</v>
      </c>
      <c r="AG7" s="123"/>
      <c r="AI7" s="26">
        <v>12.021000000000001</v>
      </c>
      <c r="AJ7" s="27">
        <v>7.4300000000000006</v>
      </c>
      <c r="AK7" s="27">
        <v>7.1860000000000008</v>
      </c>
      <c r="AL7" s="27">
        <f>(C7-C14)/AJ7</f>
        <v>0.73849259757738905</v>
      </c>
      <c r="AM7" s="27">
        <v>7.1860000000000008</v>
      </c>
      <c r="AN7" s="27">
        <f t="shared" si="1"/>
        <v>0.72571667130531592</v>
      </c>
      <c r="AO7" s="27">
        <f t="shared" si="2"/>
        <v>0.99194110038802097</v>
      </c>
      <c r="AP7" s="27">
        <f t="shared" si="3"/>
        <v>8.5802905183563816</v>
      </c>
      <c r="AQ7" s="33">
        <f t="shared" si="4"/>
        <v>8.6240500000000004</v>
      </c>
      <c r="AR7" s="27">
        <f t="shared" si="5"/>
        <v>1</v>
      </c>
      <c r="AS7" s="27">
        <f t="shared" si="6"/>
        <v>545.21528999999998</v>
      </c>
      <c r="AT7" s="33">
        <f t="shared" si="7"/>
        <v>545.21528999999998</v>
      </c>
      <c r="AU7" s="33">
        <v>0.50280000000000002</v>
      </c>
      <c r="AV7" s="27">
        <v>11.798999999999999</v>
      </c>
      <c r="AW7" s="33">
        <f t="shared" si="8"/>
        <v>0.69468410798775382</v>
      </c>
      <c r="AX7" s="36">
        <v>0.58299999999999996</v>
      </c>
      <c r="AY7" s="33">
        <v>11.961</v>
      </c>
      <c r="AZ7" s="33">
        <f t="shared" si="9"/>
        <v>0.69111709286675638</v>
      </c>
      <c r="BA7" s="33">
        <f t="shared" si="10"/>
        <v>8.6941150000000018</v>
      </c>
      <c r="BB7" s="33">
        <v>547.9</v>
      </c>
      <c r="BC7" s="27">
        <v>0.52880000000000005</v>
      </c>
      <c r="BD7" s="27">
        <f t="shared" si="11"/>
        <v>8.6941150000000018</v>
      </c>
      <c r="BE7" s="27">
        <f t="shared" si="12"/>
        <v>545.21528999999998</v>
      </c>
    </row>
    <row r="8" spans="1:57" x14ac:dyDescent="0.2">
      <c r="A8" s="55">
        <f>(N3+N14)/2</f>
        <v>10.399000000000001</v>
      </c>
      <c r="B8" s="44">
        <v>6</v>
      </c>
      <c r="C8" s="45">
        <v>11.686999999999999</v>
      </c>
      <c r="D8" s="45">
        <v>-2.8540000000000001</v>
      </c>
      <c r="E8" s="46">
        <v>1.0048999999999999</v>
      </c>
      <c r="F8" s="44">
        <v>0.99590000000000001</v>
      </c>
      <c r="G8" s="45">
        <v>0.52400000000000002</v>
      </c>
      <c r="H8" s="47"/>
      <c r="I8" s="48">
        <v>561</v>
      </c>
      <c r="J8" s="49">
        <v>0</v>
      </c>
      <c r="K8" s="47"/>
      <c r="L8" s="54"/>
      <c r="M8" s="44">
        <v>6</v>
      </c>
      <c r="N8" s="47">
        <v>11.414</v>
      </c>
      <c r="O8" s="50">
        <v>-0.71099999999999997</v>
      </c>
      <c r="P8" s="51">
        <v>0.99780000000000002</v>
      </c>
      <c r="Q8" s="47">
        <v>0.99590000000000001</v>
      </c>
      <c r="R8" s="50">
        <v>0.57899999999999996</v>
      </c>
      <c r="S8" s="47"/>
      <c r="T8" s="52">
        <v>608.70000000000005</v>
      </c>
      <c r="U8" s="53">
        <v>11.88</v>
      </c>
      <c r="V8" s="47"/>
      <c r="W8" s="47"/>
      <c r="X8" s="47">
        <v>6</v>
      </c>
      <c r="Y8" s="44">
        <v>0.95679999999999998</v>
      </c>
      <c r="Z8" s="46">
        <v>0.2145</v>
      </c>
      <c r="AA8" s="46">
        <v>4.1300000000000003E-2</v>
      </c>
      <c r="AB8" s="47"/>
      <c r="AC8" s="47"/>
      <c r="AD8" s="54"/>
      <c r="AE8" s="54"/>
      <c r="AF8" s="54">
        <f t="shared" si="0"/>
        <v>1.0850267379679146</v>
      </c>
      <c r="AG8" s="123"/>
      <c r="AI8" s="26">
        <v>11.414</v>
      </c>
      <c r="AJ8" s="27">
        <v>7.4300000000000006</v>
      </c>
      <c r="AK8" s="27">
        <v>7.1860000000000008</v>
      </c>
      <c r="AL8" s="27">
        <f>(C8-C14)/AJ8</f>
        <v>0.65423956931359351</v>
      </c>
      <c r="AM8" s="27">
        <v>7.1860000000000008</v>
      </c>
      <c r="AN8" s="27">
        <f t="shared" si="1"/>
        <v>0.64124686891177274</v>
      </c>
      <c r="AO8" s="27">
        <f t="shared" si="2"/>
        <v>0.99293462036023494</v>
      </c>
      <c r="AP8" s="27">
        <f t="shared" si="3"/>
        <v>8.5888844661160331</v>
      </c>
      <c r="AQ8" s="33">
        <f t="shared" si="4"/>
        <v>8.6309700000000014</v>
      </c>
      <c r="AR8" s="27">
        <f t="shared" si="5"/>
        <v>1</v>
      </c>
      <c r="AS8" s="27">
        <f t="shared" si="6"/>
        <v>545.65360999999996</v>
      </c>
      <c r="AT8" s="33">
        <f t="shared" si="7"/>
        <v>545.65360999999996</v>
      </c>
      <c r="AU8" s="33">
        <v>0.504</v>
      </c>
      <c r="AV8" s="27">
        <v>11.259</v>
      </c>
      <c r="AW8" s="33">
        <f t="shared" si="8"/>
        <v>0.61953799053715553</v>
      </c>
      <c r="AX8" s="36">
        <v>0.57899999999999996</v>
      </c>
      <c r="AY8" s="33">
        <v>11.448</v>
      </c>
      <c r="AZ8" s="33">
        <f t="shared" si="9"/>
        <v>0.62207267833109026</v>
      </c>
      <c r="BA8" s="33">
        <f t="shared" si="10"/>
        <v>8.6923849999999998</v>
      </c>
      <c r="BB8" s="33">
        <v>547.9</v>
      </c>
      <c r="BC8" s="27">
        <v>0.52039999999999997</v>
      </c>
      <c r="BD8" s="27">
        <f t="shared" si="11"/>
        <v>8.6923849999999998</v>
      </c>
      <c r="BE8" s="27">
        <f t="shared" si="12"/>
        <v>545.65360999999996</v>
      </c>
    </row>
    <row r="9" spans="1:57" x14ac:dyDescent="0.2">
      <c r="A9" s="55">
        <f>PI()*(N3^2-N14^2)</f>
        <v>469.52493305126472</v>
      </c>
      <c r="B9" s="44">
        <v>7</v>
      </c>
      <c r="C9" s="45">
        <v>11.016</v>
      </c>
      <c r="D9" s="45">
        <v>-2.8130000000000002</v>
      </c>
      <c r="E9" s="46">
        <v>1.0048999999999999</v>
      </c>
      <c r="F9" s="44">
        <v>0.99709999999999999</v>
      </c>
      <c r="G9" s="45">
        <v>0.51400000000000001</v>
      </c>
      <c r="H9" s="47"/>
      <c r="I9" s="48">
        <v>551.1</v>
      </c>
      <c r="J9" s="49">
        <v>0</v>
      </c>
      <c r="K9" s="47"/>
      <c r="L9" s="54"/>
      <c r="M9" s="44">
        <v>7</v>
      </c>
      <c r="N9" s="47">
        <v>10.771000000000001</v>
      </c>
      <c r="O9" s="50">
        <v>-0.74399999999999999</v>
      </c>
      <c r="P9" s="51">
        <v>0.99839999999999995</v>
      </c>
      <c r="Q9" s="47">
        <v>0.99709999999999999</v>
      </c>
      <c r="R9" s="50">
        <v>0.57199999999999995</v>
      </c>
      <c r="S9" s="47"/>
      <c r="T9" s="52">
        <v>604.5</v>
      </c>
      <c r="U9" s="53">
        <v>11.03</v>
      </c>
      <c r="V9" s="47"/>
      <c r="W9" s="47"/>
      <c r="X9" s="47">
        <v>7</v>
      </c>
      <c r="Y9" s="44">
        <v>0.97760000000000002</v>
      </c>
      <c r="Z9" s="46">
        <v>0.21310000000000001</v>
      </c>
      <c r="AA9" s="46">
        <v>3.9300000000000002E-2</v>
      </c>
      <c r="AB9" s="47"/>
      <c r="AC9" s="47"/>
      <c r="AD9" s="54"/>
      <c r="AE9" s="54"/>
      <c r="AF9" s="54">
        <f t="shared" si="0"/>
        <v>1.0968971148611866</v>
      </c>
      <c r="AG9" s="123"/>
      <c r="AI9" s="26">
        <v>10.771000000000001</v>
      </c>
      <c r="AJ9" s="27">
        <v>7.4300000000000006</v>
      </c>
      <c r="AK9" s="27">
        <v>7.1860000000000008</v>
      </c>
      <c r="AL9" s="27">
        <f>(C9-C14)/AJ9</f>
        <v>0.56393001345895022</v>
      </c>
      <c r="AM9" s="27">
        <v>7.1860000000000008</v>
      </c>
      <c r="AN9" s="27">
        <f t="shared" si="1"/>
        <v>0.55176732535485673</v>
      </c>
      <c r="AO9" s="27">
        <f t="shared" si="2"/>
        <v>0.99353169469598968</v>
      </c>
      <c r="AP9" s="27">
        <f t="shared" si="3"/>
        <v>8.5940491591203116</v>
      </c>
      <c r="AQ9" s="33">
        <f t="shared" si="4"/>
        <v>8.6361600000000003</v>
      </c>
      <c r="AR9" s="27">
        <f t="shared" si="5"/>
        <v>1</v>
      </c>
      <c r="AS9" s="27">
        <f t="shared" si="6"/>
        <v>546.31108999999992</v>
      </c>
      <c r="AT9" s="33">
        <f t="shared" si="7"/>
        <v>546.31108999999992</v>
      </c>
      <c r="AU9" s="33">
        <v>0.50470000000000004</v>
      </c>
      <c r="AV9" s="27">
        <v>10.693</v>
      </c>
      <c r="AW9" s="33">
        <f t="shared" si="8"/>
        <v>0.54077372669078749</v>
      </c>
      <c r="AX9" s="36">
        <v>0.57199999999999995</v>
      </c>
      <c r="AY9" s="33">
        <v>10.904</v>
      </c>
      <c r="AZ9" s="33">
        <f t="shared" si="9"/>
        <v>0.54885598923283985</v>
      </c>
      <c r="BA9" s="33">
        <f t="shared" si="10"/>
        <v>8.6923849999999998</v>
      </c>
      <c r="BB9" s="33">
        <v>547.9</v>
      </c>
      <c r="BC9" s="27">
        <v>0.51219999999999999</v>
      </c>
      <c r="BD9" s="27">
        <f t="shared" si="11"/>
        <v>8.6923849999999998</v>
      </c>
      <c r="BE9" s="27">
        <f t="shared" si="12"/>
        <v>546.31108999999992</v>
      </c>
    </row>
    <row r="10" spans="1:57" x14ac:dyDescent="0.2">
      <c r="A10" s="55"/>
      <c r="B10" s="44">
        <v>8</v>
      </c>
      <c r="C10" s="45">
        <v>10.291</v>
      </c>
      <c r="D10" s="45">
        <v>-2.7690000000000001</v>
      </c>
      <c r="E10" s="46">
        <v>1.0051000000000001</v>
      </c>
      <c r="F10" s="44">
        <v>0.99960000000000004</v>
      </c>
      <c r="G10" s="45">
        <v>0.502</v>
      </c>
      <c r="H10" s="47"/>
      <c r="I10" s="48">
        <v>540.4</v>
      </c>
      <c r="J10" s="49">
        <v>0</v>
      </c>
      <c r="K10" s="47"/>
      <c r="L10" s="54"/>
      <c r="M10" s="44">
        <v>8</v>
      </c>
      <c r="N10" s="47">
        <v>10.083</v>
      </c>
      <c r="O10" s="50">
        <v>-0.78</v>
      </c>
      <c r="P10" s="51">
        <v>0.999</v>
      </c>
      <c r="Q10" s="47">
        <v>0.99960000000000004</v>
      </c>
      <c r="R10" s="50">
        <v>0.56000000000000005</v>
      </c>
      <c r="S10" s="47"/>
      <c r="T10" s="52">
        <v>596.70000000000005</v>
      </c>
      <c r="U10" s="53">
        <v>10.029999999999999</v>
      </c>
      <c r="V10" s="47"/>
      <c r="W10" s="47"/>
      <c r="X10" s="47">
        <v>8</v>
      </c>
      <c r="Y10" s="44">
        <v>1.0041</v>
      </c>
      <c r="Z10" s="46">
        <v>0.20530000000000001</v>
      </c>
      <c r="AA10" s="46">
        <v>3.8399999999999997E-2</v>
      </c>
      <c r="AB10" s="47"/>
      <c r="AC10" s="47"/>
      <c r="AD10" s="54"/>
      <c r="AE10" s="54"/>
      <c r="AF10" s="54">
        <f t="shared" si="0"/>
        <v>1.1041820873427093</v>
      </c>
      <c r="AG10" s="123"/>
      <c r="AI10" s="26">
        <v>10.083</v>
      </c>
      <c r="AJ10" s="27">
        <v>7.4300000000000006</v>
      </c>
      <c r="AK10" s="27">
        <v>7.1860000000000008</v>
      </c>
      <c r="AL10" s="27">
        <f>(C10-C14)/AJ10</f>
        <v>0.46635262449528941</v>
      </c>
      <c r="AM10" s="27">
        <v>7.1860000000000008</v>
      </c>
      <c r="AN10" s="27">
        <f t="shared" si="1"/>
        <v>0.45602560534372388</v>
      </c>
      <c r="AO10" s="27">
        <f t="shared" si="2"/>
        <v>0.99393095214406513</v>
      </c>
      <c r="AP10" s="27">
        <f t="shared" si="3"/>
        <v>8.5975027360461631</v>
      </c>
      <c r="AQ10" s="33">
        <f t="shared" si="4"/>
        <v>8.641350000000001</v>
      </c>
      <c r="AR10" s="27">
        <f t="shared" si="5"/>
        <v>1</v>
      </c>
      <c r="AS10" s="27">
        <f t="shared" si="6"/>
        <v>547.68083999999999</v>
      </c>
      <c r="AT10" s="33">
        <f t="shared" si="7"/>
        <v>547.68083999999999</v>
      </c>
      <c r="AU10" s="33">
        <v>0.50519999999999998</v>
      </c>
      <c r="AV10" s="27">
        <v>10.096</v>
      </c>
      <c r="AW10" s="33">
        <f t="shared" si="8"/>
        <v>0.45769551906484829</v>
      </c>
      <c r="AX10" s="36">
        <v>0.56000000000000005</v>
      </c>
      <c r="AY10" s="33">
        <v>10.324999999999999</v>
      </c>
      <c r="AZ10" s="33">
        <f t="shared" si="9"/>
        <v>0.47092866756392993</v>
      </c>
      <c r="BA10" s="33">
        <f t="shared" si="10"/>
        <v>8.6941150000000018</v>
      </c>
      <c r="BB10" s="33">
        <v>547.9</v>
      </c>
      <c r="BC10" s="27">
        <v>0.50260000000000005</v>
      </c>
      <c r="BD10" s="27">
        <f t="shared" si="11"/>
        <v>8.6941150000000018</v>
      </c>
      <c r="BE10" s="27">
        <f t="shared" si="12"/>
        <v>547.68083999999999</v>
      </c>
    </row>
    <row r="11" spans="1:57" x14ac:dyDescent="0.2">
      <c r="A11" s="55"/>
      <c r="B11" s="44">
        <v>9</v>
      </c>
      <c r="C11" s="45">
        <v>9.4949999999999992</v>
      </c>
      <c r="D11" s="45">
        <v>-2.722</v>
      </c>
      <c r="E11" s="46">
        <v>1.0041</v>
      </c>
      <c r="F11" s="44">
        <v>1.0031000000000001</v>
      </c>
      <c r="G11" s="45">
        <v>0.48499999999999999</v>
      </c>
      <c r="H11" s="47"/>
      <c r="I11" s="48">
        <v>525.4</v>
      </c>
      <c r="J11" s="49">
        <v>0</v>
      </c>
      <c r="K11" s="47"/>
      <c r="L11" s="54"/>
      <c r="M11" s="44">
        <v>9</v>
      </c>
      <c r="N11" s="47">
        <v>9.3320000000000007</v>
      </c>
      <c r="O11" s="50">
        <v>-0.82</v>
      </c>
      <c r="P11" s="51">
        <v>0.99829999999999997</v>
      </c>
      <c r="Q11" s="47">
        <v>1.0031000000000001</v>
      </c>
      <c r="R11" s="50">
        <v>0.54200000000000004</v>
      </c>
      <c r="S11" s="47"/>
      <c r="T11" s="52">
        <v>581.9</v>
      </c>
      <c r="U11" s="53">
        <v>8.7899999999999991</v>
      </c>
      <c r="V11" s="47"/>
      <c r="W11" s="47"/>
      <c r="X11" s="47">
        <v>9</v>
      </c>
      <c r="Y11" s="44">
        <v>1.0379</v>
      </c>
      <c r="Z11" s="46">
        <v>0.191</v>
      </c>
      <c r="AA11" s="46">
        <v>3.8699999999999998E-2</v>
      </c>
      <c r="AB11" s="47"/>
      <c r="AC11" s="47"/>
      <c r="AD11" s="54"/>
      <c r="AE11" s="54"/>
      <c r="AF11" s="54">
        <f t="shared" si="0"/>
        <v>1.1075371145793682</v>
      </c>
      <c r="AG11" s="123"/>
      <c r="AI11" s="26">
        <v>9.3320000000000007</v>
      </c>
      <c r="AJ11" s="27">
        <v>7.4300000000000006</v>
      </c>
      <c r="AK11" s="27">
        <v>7.1860000000000008</v>
      </c>
      <c r="AL11" s="27">
        <f>(C11-C14)/AJ11</f>
        <v>0.35921938088829064</v>
      </c>
      <c r="AM11" s="27">
        <v>7.1860000000000008</v>
      </c>
      <c r="AN11" s="27">
        <f t="shared" si="1"/>
        <v>0.35151683829668806</v>
      </c>
      <c r="AO11" s="27">
        <f t="shared" si="2"/>
        <v>0.99422368290010954</v>
      </c>
      <c r="AP11" s="27">
        <f t="shared" si="3"/>
        <v>8.6000348570859479</v>
      </c>
      <c r="AQ11" s="33">
        <f t="shared" si="4"/>
        <v>8.6352949999999993</v>
      </c>
      <c r="AR11" s="27">
        <f t="shared" si="5"/>
        <v>1</v>
      </c>
      <c r="AS11" s="27">
        <f t="shared" si="6"/>
        <v>549.59849000000008</v>
      </c>
      <c r="AT11" s="33">
        <f t="shared" si="7"/>
        <v>549.59849000000008</v>
      </c>
      <c r="AU11" s="33">
        <v>0.50570000000000004</v>
      </c>
      <c r="AV11" s="27">
        <v>9.4619999999999997</v>
      </c>
      <c r="AW11" s="33">
        <f t="shared" si="8"/>
        <v>0.36946841079877529</v>
      </c>
      <c r="AX11" s="36">
        <v>0.54200000000000004</v>
      </c>
      <c r="AY11" s="33">
        <v>9.6999999999999993</v>
      </c>
      <c r="AZ11" s="33">
        <f t="shared" si="9"/>
        <v>0.38681022880215338</v>
      </c>
      <c r="BA11" s="33">
        <f t="shared" si="10"/>
        <v>8.6854650000000007</v>
      </c>
      <c r="BB11" s="33">
        <v>547.9</v>
      </c>
      <c r="BC11" s="27">
        <v>0.4894</v>
      </c>
      <c r="BD11" s="27">
        <f t="shared" si="11"/>
        <v>8.6854650000000007</v>
      </c>
      <c r="BE11" s="27">
        <f t="shared" si="12"/>
        <v>549.59849000000008</v>
      </c>
    </row>
    <row r="12" spans="1:57" x14ac:dyDescent="0.2">
      <c r="A12" s="55"/>
      <c r="B12" s="44">
        <v>10</v>
      </c>
      <c r="C12" s="45">
        <v>8.5920000000000005</v>
      </c>
      <c r="D12" s="45">
        <v>-2.6709999999999998</v>
      </c>
      <c r="E12" s="46">
        <v>0.99950000000000006</v>
      </c>
      <c r="F12" s="44">
        <v>1.0081</v>
      </c>
      <c r="G12" s="45">
        <v>0.45800000000000002</v>
      </c>
      <c r="H12" s="47"/>
      <c r="I12" s="48">
        <v>499.1</v>
      </c>
      <c r="J12" s="49">
        <v>0</v>
      </c>
      <c r="K12" s="47"/>
      <c r="L12" s="54"/>
      <c r="M12" s="44">
        <v>10</v>
      </c>
      <c r="N12" s="47">
        <v>8.4849999999999994</v>
      </c>
      <c r="O12" s="50">
        <v>-0.86899999999999999</v>
      </c>
      <c r="P12" s="51">
        <v>0.99390000000000001</v>
      </c>
      <c r="Q12" s="47">
        <v>1.0081</v>
      </c>
      <c r="R12" s="50">
        <v>0.50900000000000001</v>
      </c>
      <c r="S12" s="47"/>
      <c r="T12" s="52">
        <v>552.20000000000005</v>
      </c>
      <c r="U12" s="53">
        <v>7.14</v>
      </c>
      <c r="V12" s="47"/>
      <c r="W12" s="47"/>
      <c r="X12" s="47">
        <v>10</v>
      </c>
      <c r="Y12" s="44">
        <v>1.0859000000000001</v>
      </c>
      <c r="Z12" s="46">
        <v>0.16930000000000001</v>
      </c>
      <c r="AA12" s="46">
        <v>4.1799999999999997E-2</v>
      </c>
      <c r="AB12" s="47"/>
      <c r="AC12" s="47"/>
      <c r="AD12" s="54"/>
      <c r="AE12" s="54"/>
      <c r="AF12" s="54">
        <f t="shared" si="0"/>
        <v>1.1063915047084754</v>
      </c>
      <c r="AG12" s="123"/>
      <c r="AI12" s="26">
        <v>8.4849999999999994</v>
      </c>
      <c r="AJ12" s="27">
        <v>7.4300000000000006</v>
      </c>
      <c r="AK12" s="27">
        <v>7.1860000000000008</v>
      </c>
      <c r="AL12" s="27">
        <f>(C12-C14)/AJ12</f>
        <v>0.23768506056527602</v>
      </c>
      <c r="AM12" s="27">
        <v>7.1860000000000008</v>
      </c>
      <c r="AN12" s="27">
        <f t="shared" si="1"/>
        <v>0.23364876148065672</v>
      </c>
      <c r="AO12" s="27">
        <f t="shared" si="2"/>
        <v>0.99439719859929965</v>
      </c>
      <c r="AP12" s="27">
        <f t="shared" si="3"/>
        <v>8.6015357678839415</v>
      </c>
      <c r="AQ12" s="33">
        <f t="shared" si="4"/>
        <v>8.5972349999999995</v>
      </c>
      <c r="AR12" s="27">
        <f t="shared" si="5"/>
        <v>1</v>
      </c>
      <c r="AS12" s="27">
        <f t="shared" si="6"/>
        <v>552.33798999999999</v>
      </c>
      <c r="AT12" s="33">
        <f t="shared" si="7"/>
        <v>552.33798999999999</v>
      </c>
      <c r="AU12" s="33">
        <v>0.50600000000000001</v>
      </c>
      <c r="AV12" s="27">
        <v>8.7829999999999995</v>
      </c>
      <c r="AW12" s="33">
        <f t="shared" si="8"/>
        <v>0.27497912607848585</v>
      </c>
      <c r="AX12" s="36">
        <v>0.50900000000000001</v>
      </c>
      <c r="AY12" s="33">
        <v>9.0150000000000006</v>
      </c>
      <c r="AZ12" s="33">
        <f t="shared" si="9"/>
        <v>0.29461641991924642</v>
      </c>
      <c r="BA12" s="33">
        <f t="shared" si="10"/>
        <v>8.6456750000000007</v>
      </c>
      <c r="BB12" s="33">
        <v>547.9</v>
      </c>
      <c r="BC12" s="27">
        <v>0.47070000000000001</v>
      </c>
      <c r="BD12" s="27">
        <f t="shared" si="11"/>
        <v>8.6456750000000007</v>
      </c>
      <c r="BE12" s="27">
        <f t="shared" si="12"/>
        <v>552.33798999999999</v>
      </c>
    </row>
    <row r="13" spans="1:57" x14ac:dyDescent="0.2">
      <c r="A13" s="55"/>
      <c r="B13" s="44">
        <v>11</v>
      </c>
      <c r="C13" s="45">
        <v>7.5</v>
      </c>
      <c r="D13" s="45">
        <v>-2.6120000000000001</v>
      </c>
      <c r="E13" s="46">
        <v>0.98839999999999995</v>
      </c>
      <c r="F13" s="44">
        <v>1.0150999999999999</v>
      </c>
      <c r="G13" s="45">
        <v>0.41</v>
      </c>
      <c r="H13" s="47"/>
      <c r="I13" s="48">
        <v>450.5</v>
      </c>
      <c r="J13" s="49">
        <v>0</v>
      </c>
      <c r="K13" s="47"/>
      <c r="L13" s="54"/>
      <c r="M13" s="44">
        <v>11</v>
      </c>
      <c r="N13" s="47">
        <v>7.4560000000000004</v>
      </c>
      <c r="O13" s="50">
        <v>-0.93</v>
      </c>
      <c r="P13" s="51">
        <v>0.98299999999999998</v>
      </c>
      <c r="Q13" s="47">
        <v>1.0150999999999999</v>
      </c>
      <c r="R13" s="50">
        <v>0.44400000000000001</v>
      </c>
      <c r="S13" s="47"/>
      <c r="T13" s="52">
        <v>487</v>
      </c>
      <c r="U13" s="53">
        <v>4.38</v>
      </c>
      <c r="V13" s="47"/>
      <c r="W13" s="47"/>
      <c r="X13" s="47">
        <v>11</v>
      </c>
      <c r="Y13" s="44">
        <v>1.1595</v>
      </c>
      <c r="Z13" s="46">
        <v>0.11559999999999999</v>
      </c>
      <c r="AA13" s="46">
        <v>4.99E-2</v>
      </c>
      <c r="AB13" s="47"/>
      <c r="AC13" s="47"/>
      <c r="AD13" s="54"/>
      <c r="AE13" s="54"/>
      <c r="AF13" s="54">
        <f t="shared" si="0"/>
        <v>1.0810210876803552</v>
      </c>
      <c r="AG13" s="123"/>
      <c r="AI13" s="26">
        <v>7.4560000000000004</v>
      </c>
      <c r="AJ13" s="27">
        <v>7.4300000000000006</v>
      </c>
      <c r="AK13" s="27">
        <v>7.1860000000000008</v>
      </c>
      <c r="AL13" s="27">
        <f>(C13-C14)/AJ13</f>
        <v>9.0713324360699912E-2</v>
      </c>
      <c r="AM13" s="27">
        <v>7.1860000000000008</v>
      </c>
      <c r="AN13" s="27">
        <f t="shared" si="1"/>
        <v>9.0453659894238841E-2</v>
      </c>
      <c r="AO13" s="27">
        <f t="shared" si="2"/>
        <v>0.99453662484823957</v>
      </c>
      <c r="AP13" s="27">
        <f t="shared" si="3"/>
        <v>8.6027418049372724</v>
      </c>
      <c r="AQ13" s="33">
        <f t="shared" si="4"/>
        <v>8.5029500000000002</v>
      </c>
      <c r="AR13" s="27">
        <f t="shared" si="5"/>
        <v>1</v>
      </c>
      <c r="AS13" s="27">
        <f t="shared" si="6"/>
        <v>556.17328999999995</v>
      </c>
      <c r="AT13" s="33">
        <f t="shared" si="7"/>
        <v>556.17328999999995</v>
      </c>
      <c r="AU13" s="33">
        <v>0.50619999999999998</v>
      </c>
      <c r="AV13" s="27">
        <v>8.0459999999999994</v>
      </c>
      <c r="AW13" s="33">
        <f t="shared" si="8"/>
        <v>0.17241859170609505</v>
      </c>
      <c r="AX13" s="36">
        <v>0.44400000000000001</v>
      </c>
      <c r="AY13" s="33">
        <v>8.2430000000000003</v>
      </c>
      <c r="AZ13" s="33">
        <f t="shared" si="9"/>
        <v>0.19071332436069993</v>
      </c>
      <c r="BA13" s="33">
        <f t="shared" si="10"/>
        <v>8.5496599999999994</v>
      </c>
      <c r="BB13" s="33">
        <v>547.9</v>
      </c>
      <c r="BC13" s="27">
        <v>0.44269999999999998</v>
      </c>
      <c r="BD13" s="27">
        <f t="shared" si="11"/>
        <v>8.5496599999999994</v>
      </c>
      <c r="BE13" s="27">
        <f t="shared" si="12"/>
        <v>556.17328999999995</v>
      </c>
    </row>
    <row r="14" spans="1:57" x14ac:dyDescent="0.2">
      <c r="A14" s="55"/>
      <c r="B14" s="44">
        <v>12</v>
      </c>
      <c r="C14" s="45">
        <v>6.8259999999999996</v>
      </c>
      <c r="D14" s="45">
        <v>-2.5760000000000001</v>
      </c>
      <c r="E14" s="46">
        <v>0.97989999999999999</v>
      </c>
      <c r="F14" s="44">
        <v>1.0201</v>
      </c>
      <c r="G14" s="45">
        <v>0.372</v>
      </c>
      <c r="H14" s="47"/>
      <c r="I14" s="48">
        <v>411.2</v>
      </c>
      <c r="J14" s="49">
        <v>0</v>
      </c>
      <c r="K14" s="47"/>
      <c r="L14" s="54"/>
      <c r="M14" s="44">
        <v>12</v>
      </c>
      <c r="N14" s="47">
        <v>6.806</v>
      </c>
      <c r="O14" s="50">
        <v>-0.97</v>
      </c>
      <c r="P14" s="51">
        <v>0.97450000000000003</v>
      </c>
      <c r="Q14" s="47">
        <v>1.0201</v>
      </c>
      <c r="R14" s="50">
        <v>0.38500000000000001</v>
      </c>
      <c r="S14" s="47"/>
      <c r="T14" s="52">
        <v>425.6</v>
      </c>
      <c r="U14" s="53">
        <v>2</v>
      </c>
      <c r="V14" s="47"/>
      <c r="W14" s="47"/>
      <c r="X14" s="47">
        <v>12</v>
      </c>
      <c r="Y14" s="44">
        <v>1.2125999999999999</v>
      </c>
      <c r="Z14" s="46">
        <v>4.99E-2</v>
      </c>
      <c r="AA14" s="46">
        <v>6.0999999999999999E-2</v>
      </c>
      <c r="AB14" s="47"/>
      <c r="AC14" s="47"/>
      <c r="AD14" s="54"/>
      <c r="AE14" s="54"/>
      <c r="AF14" s="54">
        <f t="shared" si="0"/>
        <v>1.0350194552529184</v>
      </c>
      <c r="AG14" s="123"/>
      <c r="AI14" s="26">
        <v>6.806</v>
      </c>
      <c r="AJ14" s="27">
        <v>7.4300000000000006</v>
      </c>
      <c r="AK14" s="27">
        <v>7.1860000000000008</v>
      </c>
      <c r="AL14" s="27">
        <f>(C14-C14)/AJ14</f>
        <v>0</v>
      </c>
      <c r="AM14" s="27">
        <v>7.1860000000000008</v>
      </c>
      <c r="AN14" s="27">
        <f t="shared" si="1"/>
        <v>0</v>
      </c>
      <c r="AO14" s="27">
        <f t="shared" si="2"/>
        <v>0.99448923359526487</v>
      </c>
      <c r="AP14" s="27">
        <f t="shared" si="3"/>
        <v>8.6023318705990413</v>
      </c>
      <c r="AQ14" s="33">
        <f t="shared" si="4"/>
        <v>8.4294250000000002</v>
      </c>
      <c r="AR14" s="27">
        <f t="shared" si="5"/>
        <v>1</v>
      </c>
      <c r="AS14" s="27">
        <f t="shared" si="6"/>
        <v>558.91278999999997</v>
      </c>
      <c r="AT14" s="33">
        <f t="shared" si="7"/>
        <v>558.91278999999997</v>
      </c>
      <c r="AU14" s="33">
        <v>0.50629999999999997</v>
      </c>
      <c r="AV14" s="27">
        <v>7.2350000000000003</v>
      </c>
      <c r="AW14" s="33">
        <f t="shared" si="8"/>
        <v>5.9560256053437233E-2</v>
      </c>
      <c r="AX14" s="36">
        <v>0.38500000000000001</v>
      </c>
      <c r="AY14" s="33">
        <v>7.3280000000000003</v>
      </c>
      <c r="AZ14" s="33">
        <f t="shared" si="9"/>
        <v>6.7563930013459034E-2</v>
      </c>
      <c r="BA14" s="33">
        <f t="shared" si="10"/>
        <v>8.4761350000000011</v>
      </c>
      <c r="BB14" s="33">
        <v>547.9</v>
      </c>
      <c r="BC14" s="27">
        <v>0.40029999999999999</v>
      </c>
      <c r="BD14" s="27">
        <f t="shared" si="11"/>
        <v>8.4761350000000011</v>
      </c>
      <c r="BE14" s="27">
        <f t="shared" si="12"/>
        <v>558.91278999999997</v>
      </c>
    </row>
    <row r="15" spans="1:57" x14ac:dyDescent="0.2">
      <c r="A15" s="43" t="s">
        <v>113</v>
      </c>
      <c r="B15" s="44"/>
      <c r="C15" s="45"/>
      <c r="D15" s="45"/>
      <c r="E15" s="46"/>
      <c r="F15" s="44"/>
      <c r="G15" s="45"/>
      <c r="H15" s="47"/>
      <c r="I15" s="48"/>
      <c r="J15" s="49"/>
      <c r="K15" s="47"/>
      <c r="L15" s="54"/>
      <c r="M15" s="44"/>
      <c r="N15" s="47"/>
      <c r="O15" s="50"/>
      <c r="P15" s="51"/>
      <c r="Q15" s="47"/>
      <c r="R15" s="50"/>
      <c r="S15" s="47"/>
      <c r="T15" s="52"/>
      <c r="U15" s="53"/>
      <c r="V15" s="47"/>
      <c r="W15" s="47"/>
      <c r="X15" s="47"/>
      <c r="Y15" s="44"/>
      <c r="Z15" s="46"/>
      <c r="AA15" s="46"/>
      <c r="AB15" s="47"/>
      <c r="AC15" s="47"/>
      <c r="AD15" s="54"/>
      <c r="AE15" s="54"/>
      <c r="AF15" s="54" t="e">
        <f t="shared" si="0"/>
        <v>#DIV/0!</v>
      </c>
      <c r="AG15" s="57"/>
      <c r="AX15" s="36"/>
      <c r="BA15" s="33">
        <f t="shared" si="10"/>
        <v>0</v>
      </c>
    </row>
    <row r="16" spans="1:57" x14ac:dyDescent="0.2">
      <c r="A16" s="43" t="s">
        <v>94</v>
      </c>
      <c r="B16" s="58">
        <v>1</v>
      </c>
      <c r="C16" s="58">
        <v>13.807</v>
      </c>
      <c r="D16" s="58">
        <v>0.82099999999999995</v>
      </c>
      <c r="E16" s="58">
        <v>0.96530000000000005</v>
      </c>
      <c r="F16" s="58">
        <v>0.99509999999999998</v>
      </c>
      <c r="G16" s="58">
        <v>0.57799999999999996</v>
      </c>
      <c r="H16" s="54">
        <v>1.353</v>
      </c>
      <c r="I16" s="58">
        <v>598.20000000000005</v>
      </c>
      <c r="J16" s="58">
        <v>65.760000000000005</v>
      </c>
      <c r="K16" s="54">
        <v>-8.19</v>
      </c>
      <c r="L16" s="47" t="s">
        <v>105</v>
      </c>
      <c r="M16" s="58">
        <v>1</v>
      </c>
      <c r="N16" s="54">
        <v>13.535</v>
      </c>
      <c r="O16" s="54">
        <v>2.7130000000000001</v>
      </c>
      <c r="P16" s="54">
        <v>1.6881999999999999</v>
      </c>
      <c r="Q16" s="54">
        <v>1.2273000000000001</v>
      </c>
      <c r="R16" s="54">
        <v>0.66</v>
      </c>
      <c r="S16" s="54">
        <v>0.76700000000000002</v>
      </c>
      <c r="T16" s="54">
        <v>430.9</v>
      </c>
      <c r="U16" s="54">
        <v>61.65</v>
      </c>
      <c r="V16" s="54">
        <v>-8.19</v>
      </c>
      <c r="W16" s="54"/>
      <c r="X16" s="54">
        <v>1</v>
      </c>
      <c r="Y16" s="58">
        <v>1.3194999999999999</v>
      </c>
      <c r="Z16" s="58">
        <v>0.50460000000000005</v>
      </c>
      <c r="AA16" s="58">
        <v>0.23180000000000001</v>
      </c>
      <c r="AB16" s="54">
        <v>3</v>
      </c>
      <c r="AC16" s="54">
        <v>8.69</v>
      </c>
      <c r="AD16" s="54"/>
      <c r="AE16" s="54"/>
      <c r="AF16" s="54">
        <f t="shared" si="0"/>
        <v>0.7203276496155131</v>
      </c>
      <c r="AG16" s="122">
        <v>28</v>
      </c>
      <c r="AI16" s="27">
        <v>13.535</v>
      </c>
      <c r="AJ16" s="29">
        <f>C16-C27</f>
        <v>6.8010000000000002</v>
      </c>
      <c r="AK16" s="29">
        <f>N16-N27</f>
        <v>5.5259999999999998</v>
      </c>
      <c r="AL16" s="27">
        <f t="shared" ref="AL16:AL27" si="13">(C16-C16)/AJ16</f>
        <v>0</v>
      </c>
      <c r="AM16" s="27">
        <v>7.1860000000000008</v>
      </c>
      <c r="AN16" s="27">
        <f t="shared" ref="AN16:AN27" si="14">(N16-6.806)/AM16</f>
        <v>0.93640411912051202</v>
      </c>
      <c r="AO16" s="32">
        <f t="shared" ref="AO16:AO27" si="15">P16/E16</f>
        <v>1.7488863565730859</v>
      </c>
      <c r="AP16" s="32">
        <f t="shared" ref="AP16:AP27" si="16">AO16*8.65</f>
        <v>15.127866984357194</v>
      </c>
      <c r="AQ16" s="33">
        <f t="shared" si="4"/>
        <v>14.602930000000001</v>
      </c>
      <c r="AR16" s="32">
        <f>Q16/F16</f>
        <v>1.2333433825746156</v>
      </c>
      <c r="AS16" s="27">
        <f t="shared" si="6"/>
        <v>545.21528999999998</v>
      </c>
      <c r="AT16" s="33">
        <f t="shared" si="7"/>
        <v>672.43767000000003</v>
      </c>
      <c r="AU16" s="33">
        <v>0.66</v>
      </c>
      <c r="AV16" s="27">
        <v>7.2350000000000003</v>
      </c>
      <c r="AW16" s="33">
        <f t="shared" ref="AW16:AW27" si="17">(AV16-6.807) / (13.993-6.807)</f>
        <v>5.9560256053437233E-2</v>
      </c>
      <c r="AX16" s="36">
        <v>0.38500000000000001</v>
      </c>
      <c r="AY16" s="33">
        <v>0</v>
      </c>
      <c r="AZ16" s="33">
        <f t="shared" ref="AZ16:AZ27" si="18">(AY16-6.826)/(14.256-6.826)</f>
        <v>-0.91870794078061901</v>
      </c>
      <c r="BA16" s="33">
        <f t="shared" si="10"/>
        <v>8.3498450000000002</v>
      </c>
      <c r="BB16" s="33">
        <f>F16*547.9</f>
        <v>545.21528999999998</v>
      </c>
      <c r="BC16" s="32">
        <v>0.57799999999999996</v>
      </c>
      <c r="BD16" s="32">
        <f t="shared" ref="BD16:BD27" si="19">E16*8.65</f>
        <v>8.3498450000000002</v>
      </c>
      <c r="BE16" s="32">
        <f t="shared" ref="BE16:BE27" si="20">F16*547.9</f>
        <v>545.21528999999998</v>
      </c>
    </row>
    <row r="17" spans="1:57" x14ac:dyDescent="0.2">
      <c r="A17" s="55"/>
      <c r="B17" s="58">
        <v>2</v>
      </c>
      <c r="C17" s="58">
        <v>13.409000000000001</v>
      </c>
      <c r="D17" s="58">
        <v>0.76600000000000001</v>
      </c>
      <c r="E17" s="58">
        <v>0.97919999999999996</v>
      </c>
      <c r="F17" s="58">
        <v>0.99509999999999998</v>
      </c>
      <c r="G17" s="58">
        <v>0.6</v>
      </c>
      <c r="H17" s="54">
        <v>1.3280000000000001</v>
      </c>
      <c r="I17" s="58">
        <v>621</v>
      </c>
      <c r="J17" s="58">
        <v>64.2</v>
      </c>
      <c r="K17" s="54">
        <v>-7.77</v>
      </c>
      <c r="L17" s="54"/>
      <c r="M17" s="58">
        <v>2</v>
      </c>
      <c r="N17" s="54">
        <v>13.122999999999999</v>
      </c>
      <c r="O17" s="54">
        <v>2.7730000000000001</v>
      </c>
      <c r="P17" s="54">
        <v>1.6929000000000001</v>
      </c>
      <c r="Q17" s="54">
        <v>1.1986000000000001</v>
      </c>
      <c r="R17" s="54">
        <v>0.67300000000000004</v>
      </c>
      <c r="S17" s="54">
        <v>0.80700000000000005</v>
      </c>
      <c r="T17" s="54">
        <v>496.2</v>
      </c>
      <c r="U17" s="54">
        <v>58.22</v>
      </c>
      <c r="V17" s="54">
        <v>-7.69</v>
      </c>
      <c r="W17" s="54"/>
      <c r="X17" s="54">
        <v>2</v>
      </c>
      <c r="Y17" s="58">
        <v>1.3597999999999999</v>
      </c>
      <c r="Z17" s="58">
        <v>0.45350000000000001</v>
      </c>
      <c r="AA17" s="58">
        <v>0.1439</v>
      </c>
      <c r="AB17" s="54">
        <v>3.2</v>
      </c>
      <c r="AC17" s="54">
        <v>4.2</v>
      </c>
      <c r="AD17" s="54"/>
      <c r="AE17" s="54"/>
      <c r="AF17" s="54">
        <f t="shared" si="0"/>
        <v>0.79903381642512072</v>
      </c>
      <c r="AG17" s="123"/>
      <c r="AI17" s="27">
        <v>13.122999999999999</v>
      </c>
      <c r="AJ17" s="27">
        <v>6.8010000000000002</v>
      </c>
      <c r="AK17" s="27">
        <v>5.5259999999999998</v>
      </c>
      <c r="AL17" s="27">
        <f t="shared" si="13"/>
        <v>0</v>
      </c>
      <c r="AM17" s="27">
        <v>7.1860000000000008</v>
      </c>
      <c r="AN17" s="27">
        <f t="shared" si="14"/>
        <v>0.8790704146952405</v>
      </c>
      <c r="AO17" s="32">
        <f t="shared" si="15"/>
        <v>1.7288602941176472</v>
      </c>
      <c r="AP17" s="32">
        <f t="shared" si="16"/>
        <v>14.954641544117649</v>
      </c>
      <c r="AQ17" s="33">
        <f t="shared" si="4"/>
        <v>14.643585000000002</v>
      </c>
      <c r="AR17" s="32">
        <f t="shared" ref="AR17:AR27" si="21">Q17/F17</f>
        <v>1.2045020600944629</v>
      </c>
      <c r="AS17" s="27">
        <f t="shared" si="6"/>
        <v>545.21528999999998</v>
      </c>
      <c r="AT17" s="33">
        <f t="shared" si="7"/>
        <v>656.71294</v>
      </c>
      <c r="AU17" s="33">
        <v>0.67300000000000004</v>
      </c>
      <c r="AV17" s="27">
        <v>7.2350000000000003</v>
      </c>
      <c r="AW17" s="33">
        <f t="shared" si="17"/>
        <v>5.9560256053437233E-2</v>
      </c>
      <c r="AX17" s="36">
        <v>0.38500000000000001</v>
      </c>
      <c r="AY17" s="33">
        <v>0</v>
      </c>
      <c r="AZ17" s="33">
        <f t="shared" si="18"/>
        <v>-0.91870794078061901</v>
      </c>
      <c r="BA17" s="33">
        <f t="shared" si="10"/>
        <v>8.4700799999999994</v>
      </c>
      <c r="BB17" s="33">
        <f t="shared" ref="BB17:BB27" si="22">F17*547.9</f>
        <v>545.21528999999998</v>
      </c>
      <c r="BC17" s="32">
        <v>0.6</v>
      </c>
      <c r="BD17" s="32">
        <f t="shared" si="19"/>
        <v>8.4700799999999994</v>
      </c>
      <c r="BE17" s="32">
        <f t="shared" si="20"/>
        <v>545.21528999999998</v>
      </c>
    </row>
    <row r="18" spans="1:57" x14ac:dyDescent="0.2">
      <c r="A18" s="55"/>
      <c r="B18" s="58">
        <v>3</v>
      </c>
      <c r="C18" s="58">
        <v>13.012</v>
      </c>
      <c r="D18" s="58">
        <v>0.71399999999999997</v>
      </c>
      <c r="E18" s="58">
        <v>0.98860000000000003</v>
      </c>
      <c r="F18" s="58">
        <v>0.99509999999999998</v>
      </c>
      <c r="G18" s="58">
        <v>0.61699999999999999</v>
      </c>
      <c r="H18" s="54">
        <v>1.304</v>
      </c>
      <c r="I18" s="58">
        <v>639.70000000000005</v>
      </c>
      <c r="J18" s="58">
        <v>62.77</v>
      </c>
      <c r="K18" s="54">
        <v>-7.12</v>
      </c>
      <c r="L18" s="54"/>
      <c r="M18" s="58">
        <v>3</v>
      </c>
      <c r="N18" s="54">
        <v>12.743</v>
      </c>
      <c r="O18" s="54">
        <v>2.839</v>
      </c>
      <c r="P18" s="54">
        <v>1.6976</v>
      </c>
      <c r="Q18" s="54">
        <v>1.1835</v>
      </c>
      <c r="R18" s="54">
        <v>0.67700000000000005</v>
      </c>
      <c r="S18" s="54">
        <v>0.81100000000000005</v>
      </c>
      <c r="T18" s="54">
        <v>522.5</v>
      </c>
      <c r="U18" s="54">
        <v>56.28</v>
      </c>
      <c r="V18" s="54">
        <v>-6.51</v>
      </c>
      <c r="W18" s="54"/>
      <c r="X18" s="54">
        <v>3</v>
      </c>
      <c r="Y18" s="58">
        <v>1.4008</v>
      </c>
      <c r="Z18" s="58">
        <v>0.43480000000000002</v>
      </c>
      <c r="AA18" s="58">
        <v>9.5100000000000004E-2</v>
      </c>
      <c r="AB18" s="54">
        <v>3.5</v>
      </c>
      <c r="AC18" s="54">
        <v>2.88</v>
      </c>
      <c r="AD18" s="54"/>
      <c r="AE18" s="54"/>
      <c r="AF18" s="54">
        <f t="shared" si="0"/>
        <v>0.81678911989995306</v>
      </c>
      <c r="AG18" s="123"/>
      <c r="AI18" s="27">
        <v>12.743</v>
      </c>
      <c r="AJ18" s="27">
        <v>6.8010000000000002</v>
      </c>
      <c r="AK18" s="27">
        <v>5.5259999999999998</v>
      </c>
      <c r="AL18" s="27">
        <f t="shared" si="13"/>
        <v>0</v>
      </c>
      <c r="AM18" s="27">
        <v>7.1860000000000008</v>
      </c>
      <c r="AN18" s="27">
        <f t="shared" si="14"/>
        <v>0.82618981352630105</v>
      </c>
      <c r="AO18" s="32">
        <f t="shared" si="15"/>
        <v>1.7171758041675096</v>
      </c>
      <c r="AP18" s="32">
        <f t="shared" si="16"/>
        <v>14.853570706048959</v>
      </c>
      <c r="AQ18" s="33">
        <f t="shared" si="4"/>
        <v>14.684240000000001</v>
      </c>
      <c r="AR18" s="32">
        <f t="shared" si="21"/>
        <v>1.1893277057582152</v>
      </c>
      <c r="AS18" s="27">
        <f t="shared" si="6"/>
        <v>545.21528999999998</v>
      </c>
      <c r="AT18" s="33">
        <f t="shared" si="7"/>
        <v>648.43964999999992</v>
      </c>
      <c r="AU18" s="33">
        <v>0.67700000000000005</v>
      </c>
      <c r="AV18" s="27">
        <v>7.2350000000000003</v>
      </c>
      <c r="AW18" s="33">
        <f t="shared" si="17"/>
        <v>5.9560256053437233E-2</v>
      </c>
      <c r="AX18" s="36">
        <v>0.38500000000000001</v>
      </c>
      <c r="AY18" s="33">
        <v>0</v>
      </c>
      <c r="AZ18" s="33">
        <f t="shared" si="18"/>
        <v>-0.91870794078061901</v>
      </c>
      <c r="BA18" s="33">
        <f t="shared" si="10"/>
        <v>8.5513900000000014</v>
      </c>
      <c r="BB18" s="33">
        <f t="shared" si="22"/>
        <v>545.21528999999998</v>
      </c>
      <c r="BC18" s="32">
        <v>0.61699999999999999</v>
      </c>
      <c r="BD18" s="32">
        <f t="shared" si="19"/>
        <v>8.5513900000000014</v>
      </c>
      <c r="BE18" s="32">
        <f t="shared" si="20"/>
        <v>545.21528999999998</v>
      </c>
    </row>
    <row r="19" spans="1:57" x14ac:dyDescent="0.2">
      <c r="A19" s="55"/>
      <c r="B19" s="58">
        <v>4</v>
      </c>
      <c r="C19" s="58">
        <v>12.477</v>
      </c>
      <c r="D19" s="58">
        <v>0.64600000000000002</v>
      </c>
      <c r="E19" s="58">
        <v>0.995</v>
      </c>
      <c r="F19" s="58">
        <v>0.99509999999999998</v>
      </c>
      <c r="G19" s="58">
        <v>0.63100000000000001</v>
      </c>
      <c r="H19" s="54">
        <v>1.27</v>
      </c>
      <c r="I19" s="58">
        <v>656.2</v>
      </c>
      <c r="J19" s="58">
        <v>61.16</v>
      </c>
      <c r="K19" s="54">
        <v>-6.15</v>
      </c>
      <c r="L19" s="54"/>
      <c r="M19" s="58">
        <v>4</v>
      </c>
      <c r="N19" s="54">
        <v>12.246</v>
      </c>
      <c r="O19" s="54">
        <v>2.9260000000000002</v>
      </c>
      <c r="P19" s="54">
        <v>1.7039</v>
      </c>
      <c r="Q19" s="54">
        <v>1.1761999999999999</v>
      </c>
      <c r="R19" s="54">
        <v>0.68400000000000005</v>
      </c>
      <c r="S19" s="54">
        <v>0.78800000000000003</v>
      </c>
      <c r="T19" s="54">
        <v>538.5</v>
      </c>
      <c r="U19" s="54">
        <v>53.79</v>
      </c>
      <c r="V19" s="54">
        <v>-4.8</v>
      </c>
      <c r="W19" s="54"/>
      <c r="X19" s="54">
        <v>4</v>
      </c>
      <c r="Y19" s="58">
        <v>1.4593</v>
      </c>
      <c r="Z19" s="58">
        <v>0.43680000000000002</v>
      </c>
      <c r="AA19" s="58">
        <v>7.0400000000000004E-2</v>
      </c>
      <c r="AB19" s="54">
        <v>3.8</v>
      </c>
      <c r="AC19" s="54">
        <v>2.81</v>
      </c>
      <c r="AD19" s="54"/>
      <c r="AE19" s="54"/>
      <c r="AF19" s="54">
        <f t="shared" si="0"/>
        <v>0.8206339530630905</v>
      </c>
      <c r="AG19" s="123"/>
      <c r="AI19" s="27">
        <v>12.246</v>
      </c>
      <c r="AJ19" s="27">
        <v>6.8010000000000002</v>
      </c>
      <c r="AK19" s="27">
        <v>5.5259999999999998</v>
      </c>
      <c r="AL19" s="27">
        <f t="shared" si="13"/>
        <v>0</v>
      </c>
      <c r="AM19" s="27">
        <v>7.1860000000000008</v>
      </c>
      <c r="AN19" s="27">
        <f t="shared" si="14"/>
        <v>0.7570275535763985</v>
      </c>
      <c r="AO19" s="32">
        <f t="shared" si="15"/>
        <v>1.7124623115577888</v>
      </c>
      <c r="AP19" s="32">
        <f t="shared" si="16"/>
        <v>14.812798994974875</v>
      </c>
      <c r="AQ19" s="33">
        <f t="shared" si="4"/>
        <v>14.738735</v>
      </c>
      <c r="AR19" s="32">
        <f t="shared" si="21"/>
        <v>1.1819917596221485</v>
      </c>
      <c r="AS19" s="27">
        <f t="shared" si="6"/>
        <v>545.21528999999998</v>
      </c>
      <c r="AT19" s="33">
        <f t="shared" si="7"/>
        <v>644.43997999999988</v>
      </c>
      <c r="AU19" s="33">
        <v>0.68400000000000005</v>
      </c>
      <c r="AV19" s="27">
        <v>7.2350000000000003</v>
      </c>
      <c r="AW19" s="33">
        <f t="shared" si="17"/>
        <v>5.9560256053437233E-2</v>
      </c>
      <c r="AX19" s="36">
        <v>0.38500000000000001</v>
      </c>
      <c r="AY19" s="33">
        <v>0</v>
      </c>
      <c r="AZ19" s="33">
        <f t="shared" si="18"/>
        <v>-0.91870794078061901</v>
      </c>
      <c r="BA19" s="33">
        <f t="shared" si="10"/>
        <v>8.6067499999999999</v>
      </c>
      <c r="BB19" s="33">
        <f t="shared" si="22"/>
        <v>545.21528999999998</v>
      </c>
      <c r="BC19" s="32">
        <v>0.63100000000000001</v>
      </c>
      <c r="BD19" s="32">
        <f t="shared" si="19"/>
        <v>8.6067499999999999</v>
      </c>
      <c r="BE19" s="32">
        <f t="shared" si="20"/>
        <v>545.21528999999998</v>
      </c>
    </row>
    <row r="20" spans="1:57" x14ac:dyDescent="0.2">
      <c r="A20" s="55"/>
      <c r="B20" s="58">
        <v>5</v>
      </c>
      <c r="C20" s="58">
        <v>11.926</v>
      </c>
      <c r="D20" s="58">
        <v>0.57899999999999996</v>
      </c>
      <c r="E20" s="58">
        <v>0.997</v>
      </c>
      <c r="F20" s="58">
        <v>0.99509999999999998</v>
      </c>
      <c r="G20" s="58">
        <v>0.63600000000000001</v>
      </c>
      <c r="H20" s="54">
        <v>1.2330000000000001</v>
      </c>
      <c r="I20" s="58">
        <v>664.8</v>
      </c>
      <c r="J20" s="58">
        <v>59.76</v>
      </c>
      <c r="K20" s="54">
        <v>-4.96</v>
      </c>
      <c r="L20" s="54"/>
      <c r="M20" s="58">
        <v>5</v>
      </c>
      <c r="N20" s="54">
        <v>11.746</v>
      </c>
      <c r="O20" s="54">
        <v>3.0139999999999998</v>
      </c>
      <c r="P20" s="54">
        <v>1.7101999999999999</v>
      </c>
      <c r="Q20" s="54">
        <v>1.1737</v>
      </c>
      <c r="R20" s="54">
        <v>0.69399999999999995</v>
      </c>
      <c r="S20" s="54">
        <v>0.75600000000000001</v>
      </c>
      <c r="T20" s="54">
        <v>549.4</v>
      </c>
      <c r="U20" s="54">
        <v>50.99</v>
      </c>
      <c r="V20" s="54">
        <v>-3.07</v>
      </c>
      <c r="W20" s="54"/>
      <c r="X20" s="54">
        <v>5</v>
      </c>
      <c r="Y20" s="58">
        <v>1.5241</v>
      </c>
      <c r="Z20" s="58">
        <v>0.44750000000000001</v>
      </c>
      <c r="AA20" s="58">
        <v>5.8900000000000001E-2</v>
      </c>
      <c r="AB20" s="54">
        <v>4</v>
      </c>
      <c r="AC20" s="54">
        <v>2.99</v>
      </c>
      <c r="AD20" s="54"/>
      <c r="AE20" s="54"/>
      <c r="AF20" s="54">
        <f t="shared" si="0"/>
        <v>0.82641395908543924</v>
      </c>
      <c r="AG20" s="123"/>
      <c r="AI20" s="27">
        <v>11.746</v>
      </c>
      <c r="AJ20" s="27">
        <v>6.8010000000000002</v>
      </c>
      <c r="AK20" s="27">
        <v>5.5259999999999998</v>
      </c>
      <c r="AL20" s="27">
        <f t="shared" si="13"/>
        <v>0</v>
      </c>
      <c r="AM20" s="27">
        <v>7.1860000000000008</v>
      </c>
      <c r="AN20" s="27">
        <f t="shared" si="14"/>
        <v>0.68744781519621478</v>
      </c>
      <c r="AO20" s="32">
        <f t="shared" si="15"/>
        <v>1.7153460381143431</v>
      </c>
      <c r="AP20" s="32">
        <f t="shared" si="16"/>
        <v>14.837743229689067</v>
      </c>
      <c r="AQ20" s="33">
        <f t="shared" si="4"/>
        <v>14.793229999999999</v>
      </c>
      <c r="AR20" s="32">
        <f t="shared" si="21"/>
        <v>1.1794794493015777</v>
      </c>
      <c r="AS20" s="27">
        <f t="shared" si="6"/>
        <v>545.21528999999998</v>
      </c>
      <c r="AT20" s="33">
        <f t="shared" si="7"/>
        <v>643.07022999999992</v>
      </c>
      <c r="AU20" s="33">
        <v>0.69399999999999995</v>
      </c>
      <c r="AV20" s="27">
        <v>7.2350000000000003</v>
      </c>
      <c r="AW20" s="33">
        <f t="shared" si="17"/>
        <v>5.9560256053437233E-2</v>
      </c>
      <c r="AX20" s="36">
        <v>0.38500000000000001</v>
      </c>
      <c r="AY20" s="33">
        <v>0</v>
      </c>
      <c r="AZ20" s="33">
        <f t="shared" si="18"/>
        <v>-0.91870794078061901</v>
      </c>
      <c r="BA20" s="33">
        <f t="shared" si="10"/>
        <v>8.6240500000000004</v>
      </c>
      <c r="BB20" s="33">
        <f t="shared" si="22"/>
        <v>545.21528999999998</v>
      </c>
      <c r="BC20" s="32">
        <v>0.63600000000000001</v>
      </c>
      <c r="BD20" s="32">
        <f t="shared" si="19"/>
        <v>8.6240500000000004</v>
      </c>
      <c r="BE20" s="32">
        <f t="shared" si="20"/>
        <v>545.21528999999998</v>
      </c>
    </row>
    <row r="21" spans="1:57" x14ac:dyDescent="0.2">
      <c r="A21" s="55">
        <f>(N16+N27)/2</f>
        <v>10.772</v>
      </c>
      <c r="B21" s="58">
        <v>6</v>
      </c>
      <c r="C21" s="58">
        <v>11.352</v>
      </c>
      <c r="D21" s="58">
        <v>0.50700000000000001</v>
      </c>
      <c r="E21" s="58">
        <v>0.99780000000000002</v>
      </c>
      <c r="F21" s="58">
        <v>0.99590000000000001</v>
      </c>
      <c r="G21" s="58">
        <v>0.63600000000000001</v>
      </c>
      <c r="H21" s="54">
        <v>1.1910000000000001</v>
      </c>
      <c r="I21" s="58">
        <v>668</v>
      </c>
      <c r="J21" s="58">
        <v>58.45</v>
      </c>
      <c r="K21" s="54">
        <v>-3.48</v>
      </c>
      <c r="L21" s="54"/>
      <c r="M21" s="58">
        <v>6</v>
      </c>
      <c r="N21" s="54">
        <v>11.234999999999999</v>
      </c>
      <c r="O21" s="54">
        <v>3.105</v>
      </c>
      <c r="P21" s="54">
        <v>1.7164999999999999</v>
      </c>
      <c r="Q21" s="54">
        <v>1.1735</v>
      </c>
      <c r="R21" s="54">
        <v>0.70499999999999996</v>
      </c>
      <c r="S21" s="54">
        <v>0.72099999999999997</v>
      </c>
      <c r="T21" s="54">
        <v>559.4</v>
      </c>
      <c r="U21" s="54">
        <v>47.76</v>
      </c>
      <c r="V21" s="54">
        <v>-1.28</v>
      </c>
      <c r="W21" s="54"/>
      <c r="X21" s="54">
        <v>6</v>
      </c>
      <c r="Y21" s="58">
        <v>1.5973999999999999</v>
      </c>
      <c r="Z21" s="58">
        <v>0.46010000000000001</v>
      </c>
      <c r="AA21" s="58">
        <v>5.16E-2</v>
      </c>
      <c r="AB21" s="54">
        <v>4.2</v>
      </c>
      <c r="AC21" s="54">
        <v>3.49</v>
      </c>
      <c r="AD21" s="54"/>
      <c r="AE21" s="54"/>
      <c r="AF21" s="54">
        <f t="shared" si="0"/>
        <v>0.83742514970059878</v>
      </c>
      <c r="AG21" s="123"/>
      <c r="AI21" s="27">
        <v>11.234999999999999</v>
      </c>
      <c r="AJ21" s="27">
        <v>6.8010000000000002</v>
      </c>
      <c r="AK21" s="27">
        <v>5.5259999999999998</v>
      </c>
      <c r="AL21" s="27">
        <f t="shared" si="13"/>
        <v>0</v>
      </c>
      <c r="AM21" s="27">
        <v>7.1860000000000008</v>
      </c>
      <c r="AN21" s="27">
        <f t="shared" si="14"/>
        <v>0.61633732257166696</v>
      </c>
      <c r="AO21" s="32">
        <f t="shared" si="15"/>
        <v>1.7202846261775906</v>
      </c>
      <c r="AP21" s="32">
        <f t="shared" si="16"/>
        <v>14.880462016436159</v>
      </c>
      <c r="AQ21" s="33">
        <f t="shared" si="4"/>
        <v>14.847725000000001</v>
      </c>
      <c r="AR21" s="32">
        <f t="shared" si="21"/>
        <v>1.1783311577467617</v>
      </c>
      <c r="AS21" s="27">
        <f t="shared" si="6"/>
        <v>545.65360999999996</v>
      </c>
      <c r="AT21" s="33">
        <f t="shared" si="7"/>
        <v>642.96064999999999</v>
      </c>
      <c r="AU21" s="33">
        <v>0.70499999999999996</v>
      </c>
      <c r="AV21" s="27">
        <v>7.2350000000000003</v>
      </c>
      <c r="AW21" s="33">
        <f t="shared" si="17"/>
        <v>5.9560256053437233E-2</v>
      </c>
      <c r="AX21" s="36">
        <v>0.38500000000000001</v>
      </c>
      <c r="AY21" s="33">
        <v>0</v>
      </c>
      <c r="AZ21" s="33">
        <f t="shared" si="18"/>
        <v>-0.91870794078061901</v>
      </c>
      <c r="BA21" s="33">
        <f t="shared" si="10"/>
        <v>8.6309700000000014</v>
      </c>
      <c r="BB21" s="33">
        <f t="shared" si="22"/>
        <v>545.65360999999996</v>
      </c>
      <c r="BC21" s="32">
        <v>0.63600000000000001</v>
      </c>
      <c r="BD21" s="32">
        <f t="shared" si="19"/>
        <v>8.6309700000000014</v>
      </c>
      <c r="BE21" s="32">
        <f t="shared" si="20"/>
        <v>545.65360999999996</v>
      </c>
    </row>
    <row r="22" spans="1:57" x14ac:dyDescent="0.2">
      <c r="A22" s="55">
        <f>PI()*(N16^2-N27^2)</f>
        <v>374.01334098451417</v>
      </c>
      <c r="B22" s="58">
        <v>7</v>
      </c>
      <c r="C22" s="58">
        <v>10.746</v>
      </c>
      <c r="D22" s="58">
        <v>0.42599999999999999</v>
      </c>
      <c r="E22" s="58">
        <v>0.99839999999999995</v>
      </c>
      <c r="F22" s="58">
        <v>0.99709999999999999</v>
      </c>
      <c r="G22" s="58">
        <v>0.629</v>
      </c>
      <c r="H22" s="54">
        <v>1.145</v>
      </c>
      <c r="I22" s="58">
        <v>664</v>
      </c>
      <c r="J22" s="58">
        <v>57.28</v>
      </c>
      <c r="K22" s="54">
        <v>-1.71</v>
      </c>
      <c r="L22" s="54"/>
      <c r="M22" s="58">
        <v>7</v>
      </c>
      <c r="N22" s="54">
        <v>10.711</v>
      </c>
      <c r="O22" s="54">
        <v>3.2</v>
      </c>
      <c r="P22" s="54">
        <v>1.7226999999999999</v>
      </c>
      <c r="Q22" s="54">
        <v>1.1745000000000001</v>
      </c>
      <c r="R22" s="54">
        <v>0.71799999999999997</v>
      </c>
      <c r="S22" s="54">
        <v>0.68700000000000006</v>
      </c>
      <c r="T22" s="54">
        <v>569</v>
      </c>
      <c r="U22" s="54">
        <v>44.02</v>
      </c>
      <c r="V22" s="54">
        <v>0.71</v>
      </c>
      <c r="W22" s="54"/>
      <c r="X22" s="54">
        <v>7</v>
      </c>
      <c r="Y22" s="58">
        <v>1.6815</v>
      </c>
      <c r="Z22" s="58">
        <v>0.47210000000000002</v>
      </c>
      <c r="AA22" s="58">
        <v>4.6899999999999997E-2</v>
      </c>
      <c r="AB22" s="54">
        <v>4.4000000000000004</v>
      </c>
      <c r="AC22" s="54">
        <v>4.18</v>
      </c>
      <c r="AD22" s="54"/>
      <c r="AE22" s="54"/>
      <c r="AF22" s="54">
        <f t="shared" si="0"/>
        <v>0.85692771084337349</v>
      </c>
      <c r="AG22" s="123"/>
      <c r="AI22" s="27">
        <v>10.711</v>
      </c>
      <c r="AJ22" s="27">
        <v>6.8010000000000002</v>
      </c>
      <c r="AK22" s="27">
        <v>5.5259999999999998</v>
      </c>
      <c r="AL22" s="27">
        <f t="shared" si="13"/>
        <v>0</v>
      </c>
      <c r="AM22" s="27">
        <v>7.1860000000000008</v>
      </c>
      <c r="AN22" s="27">
        <f t="shared" si="14"/>
        <v>0.54341775674923465</v>
      </c>
      <c r="AO22" s="32">
        <f t="shared" si="15"/>
        <v>1.7254607371794872</v>
      </c>
      <c r="AP22" s="32">
        <f t="shared" si="16"/>
        <v>14.925235376602565</v>
      </c>
      <c r="AQ22" s="33">
        <f t="shared" si="4"/>
        <v>14.901355000000001</v>
      </c>
      <c r="AR22" s="32">
        <f t="shared" si="21"/>
        <v>1.1779159562731925</v>
      </c>
      <c r="AS22" s="27">
        <f t="shared" si="6"/>
        <v>546.31108999999992</v>
      </c>
      <c r="AT22" s="33">
        <f t="shared" si="7"/>
        <v>643.50855000000001</v>
      </c>
      <c r="AU22" s="33">
        <v>0.71799999999999997</v>
      </c>
      <c r="AV22" s="27">
        <v>7.2350000000000003</v>
      </c>
      <c r="AW22" s="33">
        <f t="shared" si="17"/>
        <v>5.9560256053437233E-2</v>
      </c>
      <c r="AX22" s="36">
        <v>0.38500000000000001</v>
      </c>
      <c r="AY22" s="33">
        <v>0</v>
      </c>
      <c r="AZ22" s="33">
        <f t="shared" si="18"/>
        <v>-0.91870794078061901</v>
      </c>
      <c r="BA22" s="33">
        <f t="shared" si="10"/>
        <v>8.6361600000000003</v>
      </c>
      <c r="BB22" s="33">
        <f t="shared" si="22"/>
        <v>546.31108999999992</v>
      </c>
      <c r="BC22" s="32">
        <v>0.629</v>
      </c>
      <c r="BD22" s="32">
        <f t="shared" si="19"/>
        <v>8.6361600000000003</v>
      </c>
      <c r="BE22" s="32">
        <f t="shared" si="20"/>
        <v>546.31108999999992</v>
      </c>
    </row>
    <row r="23" spans="1:57" x14ac:dyDescent="0.2">
      <c r="A23" s="55"/>
      <c r="B23" s="58">
        <v>8</v>
      </c>
      <c r="C23" s="58">
        <v>10.096</v>
      </c>
      <c r="D23" s="58">
        <v>0.33300000000000002</v>
      </c>
      <c r="E23" s="58">
        <v>0.999</v>
      </c>
      <c r="F23" s="58">
        <v>0.99960000000000004</v>
      </c>
      <c r="G23" s="58">
        <v>0.61299999999999999</v>
      </c>
      <c r="H23" s="54">
        <v>1.091</v>
      </c>
      <c r="I23" s="58">
        <v>651.79999999999995</v>
      </c>
      <c r="J23" s="58">
        <v>56.3</v>
      </c>
      <c r="K23" s="54">
        <v>0.31</v>
      </c>
      <c r="L23" s="54"/>
      <c r="M23" s="58">
        <v>8</v>
      </c>
      <c r="N23" s="54">
        <v>10.167999999999999</v>
      </c>
      <c r="O23" s="54">
        <v>3.298</v>
      </c>
      <c r="P23" s="54">
        <v>1.7291000000000001</v>
      </c>
      <c r="Q23" s="54">
        <v>1.1775</v>
      </c>
      <c r="R23" s="54">
        <v>0.73199999999999998</v>
      </c>
      <c r="S23" s="54">
        <v>0.65200000000000002</v>
      </c>
      <c r="T23" s="54">
        <v>578.1</v>
      </c>
      <c r="U23" s="54">
        <v>39.619999999999997</v>
      </c>
      <c r="V23" s="54">
        <v>3.02</v>
      </c>
      <c r="W23" s="54"/>
      <c r="X23" s="54">
        <v>8</v>
      </c>
      <c r="Y23" s="58">
        <v>1.7805</v>
      </c>
      <c r="Z23" s="58">
        <v>0.48230000000000001</v>
      </c>
      <c r="AA23" s="58">
        <v>4.5199999999999997E-2</v>
      </c>
      <c r="AB23" s="54">
        <v>4.5999999999999996</v>
      </c>
      <c r="AC23" s="54">
        <v>4.9000000000000004</v>
      </c>
      <c r="AD23" s="54"/>
      <c r="AE23" s="54"/>
      <c r="AF23" s="54">
        <f t="shared" si="0"/>
        <v>0.88692850567658799</v>
      </c>
      <c r="AG23" s="123"/>
      <c r="AI23" s="27">
        <v>10.167999999999999</v>
      </c>
      <c r="AJ23" s="27">
        <v>6.8010000000000002</v>
      </c>
      <c r="AK23" s="27">
        <v>5.5259999999999998</v>
      </c>
      <c r="AL23" s="27">
        <f t="shared" si="13"/>
        <v>0</v>
      </c>
      <c r="AM23" s="27">
        <v>7.1860000000000008</v>
      </c>
      <c r="AN23" s="27">
        <f t="shared" si="14"/>
        <v>0.46785416086835496</v>
      </c>
      <c r="AO23" s="32">
        <f t="shared" si="15"/>
        <v>1.7308308308308309</v>
      </c>
      <c r="AP23" s="32">
        <f t="shared" si="16"/>
        <v>14.971686686686688</v>
      </c>
      <c r="AQ23" s="33">
        <f t="shared" si="4"/>
        <v>14.956715000000001</v>
      </c>
      <c r="AR23" s="32">
        <f t="shared" si="21"/>
        <v>1.1779711884753901</v>
      </c>
      <c r="AS23" s="27">
        <f t="shared" si="6"/>
        <v>547.68083999999999</v>
      </c>
      <c r="AT23" s="33">
        <f t="shared" si="7"/>
        <v>645.15224999999998</v>
      </c>
      <c r="AU23" s="33">
        <v>0.73199999999999998</v>
      </c>
      <c r="AV23" s="27">
        <v>7.2350000000000003</v>
      </c>
      <c r="AW23" s="33">
        <f t="shared" si="17"/>
        <v>5.9560256053437233E-2</v>
      </c>
      <c r="AX23" s="36">
        <v>0.38500000000000001</v>
      </c>
      <c r="AY23" s="33">
        <v>0</v>
      </c>
      <c r="AZ23" s="33">
        <f t="shared" si="18"/>
        <v>-0.91870794078061901</v>
      </c>
      <c r="BA23" s="33">
        <f t="shared" si="10"/>
        <v>8.641350000000001</v>
      </c>
      <c r="BB23" s="33">
        <f t="shared" si="22"/>
        <v>547.68083999999999</v>
      </c>
      <c r="BC23" s="32">
        <v>0.61299999999999999</v>
      </c>
      <c r="BD23" s="32">
        <f t="shared" si="19"/>
        <v>8.641350000000001</v>
      </c>
      <c r="BE23" s="32">
        <f t="shared" si="20"/>
        <v>547.68083999999999</v>
      </c>
    </row>
    <row r="24" spans="1:57" x14ac:dyDescent="0.2">
      <c r="A24" s="55"/>
      <c r="B24" s="58">
        <v>9</v>
      </c>
      <c r="C24" s="58">
        <v>9.3829999999999991</v>
      </c>
      <c r="D24" s="58">
        <v>0.22800000000000001</v>
      </c>
      <c r="E24" s="58">
        <v>0.99839999999999995</v>
      </c>
      <c r="F24" s="58">
        <v>1.0031000000000001</v>
      </c>
      <c r="G24" s="58">
        <v>0.58599999999999997</v>
      </c>
      <c r="H24" s="54">
        <v>1.0269999999999999</v>
      </c>
      <c r="I24" s="58">
        <v>627.1</v>
      </c>
      <c r="J24" s="58">
        <v>55.64</v>
      </c>
      <c r="K24" s="54">
        <v>2.58</v>
      </c>
      <c r="L24" s="54"/>
      <c r="M24" s="58">
        <v>9</v>
      </c>
      <c r="N24" s="54">
        <v>9.6029999999999998</v>
      </c>
      <c r="O24" s="54">
        <v>3.4020000000000001</v>
      </c>
      <c r="P24" s="54">
        <v>1.7353000000000001</v>
      </c>
      <c r="Q24" s="54">
        <v>1.1826000000000001</v>
      </c>
      <c r="R24" s="54">
        <v>0.75</v>
      </c>
      <c r="S24" s="54">
        <v>0.62</v>
      </c>
      <c r="T24" s="54">
        <v>587.29999999999995</v>
      </c>
      <c r="U24" s="54">
        <v>34.340000000000003</v>
      </c>
      <c r="V24" s="54">
        <v>5.85</v>
      </c>
      <c r="W24" s="54"/>
      <c r="X24" s="54">
        <v>9</v>
      </c>
      <c r="Y24" s="58">
        <v>1.9003000000000001</v>
      </c>
      <c r="Z24" s="58">
        <v>0.48759999999999998</v>
      </c>
      <c r="AA24" s="58">
        <v>4.65E-2</v>
      </c>
      <c r="AB24" s="54">
        <v>4.8</v>
      </c>
      <c r="AC24" s="54">
        <v>5.9</v>
      </c>
      <c r="AD24" s="54"/>
      <c r="AE24" s="54"/>
      <c r="AF24" s="54">
        <f t="shared" si="0"/>
        <v>0.93653324828575979</v>
      </c>
      <c r="AG24" s="123"/>
      <c r="AI24" s="27">
        <v>9.6029999999999998</v>
      </c>
      <c r="AJ24" s="27">
        <v>6.8010000000000002</v>
      </c>
      <c r="AK24" s="27">
        <v>5.5259999999999998</v>
      </c>
      <c r="AL24" s="27">
        <f t="shared" si="13"/>
        <v>0</v>
      </c>
      <c r="AM24" s="27">
        <v>7.1860000000000008</v>
      </c>
      <c r="AN24" s="27">
        <f t="shared" si="14"/>
        <v>0.38922905649874751</v>
      </c>
      <c r="AO24" s="32">
        <f t="shared" si="15"/>
        <v>1.7380809294871797</v>
      </c>
      <c r="AP24" s="32">
        <f t="shared" si="16"/>
        <v>15.034400040064105</v>
      </c>
      <c r="AQ24" s="33">
        <f t="shared" si="4"/>
        <v>15.010345000000001</v>
      </c>
      <c r="AR24" s="32">
        <f t="shared" si="21"/>
        <v>1.1789452696640415</v>
      </c>
      <c r="AS24" s="27">
        <f t="shared" si="6"/>
        <v>549.59849000000008</v>
      </c>
      <c r="AT24" s="33">
        <f t="shared" si="7"/>
        <v>647.94654000000003</v>
      </c>
      <c r="AU24" s="33">
        <v>0.75</v>
      </c>
      <c r="AV24" s="27">
        <v>7.2350000000000003</v>
      </c>
      <c r="AW24" s="33">
        <f t="shared" si="17"/>
        <v>5.9560256053437233E-2</v>
      </c>
      <c r="AX24" s="36">
        <v>0.38500000000000001</v>
      </c>
      <c r="AY24" s="33">
        <v>0</v>
      </c>
      <c r="AZ24" s="33">
        <f t="shared" si="18"/>
        <v>-0.91870794078061901</v>
      </c>
      <c r="BA24" s="33">
        <f t="shared" si="10"/>
        <v>8.6361600000000003</v>
      </c>
      <c r="BB24" s="33">
        <f t="shared" si="22"/>
        <v>549.59849000000008</v>
      </c>
      <c r="BC24" s="32">
        <v>0.58599999999999997</v>
      </c>
      <c r="BD24" s="32">
        <f t="shared" si="19"/>
        <v>8.6361600000000003</v>
      </c>
      <c r="BE24" s="32">
        <f t="shared" si="20"/>
        <v>549.59849000000008</v>
      </c>
    </row>
    <row r="25" spans="1:57" x14ac:dyDescent="0.2">
      <c r="A25" s="55"/>
      <c r="B25" s="58">
        <v>10</v>
      </c>
      <c r="C25" s="58">
        <v>8.5749999999999993</v>
      </c>
      <c r="D25" s="58">
        <v>0.124</v>
      </c>
      <c r="E25" s="58">
        <v>0.99390000000000001</v>
      </c>
      <c r="F25" s="58">
        <v>1.0081</v>
      </c>
      <c r="G25" s="58">
        <v>0.54700000000000004</v>
      </c>
      <c r="H25" s="54">
        <v>0.95199999999999996</v>
      </c>
      <c r="I25" s="58">
        <v>589.1</v>
      </c>
      <c r="J25" s="58">
        <v>55.34</v>
      </c>
      <c r="K25" s="54">
        <v>5.39</v>
      </c>
      <c r="L25" s="54"/>
      <c r="M25" s="58">
        <v>10</v>
      </c>
      <c r="N25" s="54">
        <v>9.0060000000000002</v>
      </c>
      <c r="O25" s="54">
        <v>3.5049999999999999</v>
      </c>
      <c r="P25" s="54">
        <v>1.7416</v>
      </c>
      <c r="Q25" s="54">
        <v>1.1918</v>
      </c>
      <c r="R25" s="54">
        <v>0.77400000000000002</v>
      </c>
      <c r="S25" s="54">
        <v>0.58799999999999997</v>
      </c>
      <c r="T25" s="54">
        <v>594.6</v>
      </c>
      <c r="U25" s="54">
        <v>27.54</v>
      </c>
      <c r="V25" s="54">
        <v>9.3000000000000007</v>
      </c>
      <c r="W25" s="54"/>
      <c r="X25" s="54">
        <v>10</v>
      </c>
      <c r="Y25" s="58">
        <v>2.0520999999999998</v>
      </c>
      <c r="Z25" s="58">
        <v>0.48899999999999999</v>
      </c>
      <c r="AA25" s="58">
        <v>5.6599999999999998E-2</v>
      </c>
      <c r="AB25" s="54">
        <v>4.7</v>
      </c>
      <c r="AC25" s="54">
        <v>6.91</v>
      </c>
      <c r="AD25" s="54"/>
      <c r="AE25" s="54"/>
      <c r="AF25" s="54">
        <f t="shared" si="0"/>
        <v>1.0093362756747581</v>
      </c>
      <c r="AG25" s="123"/>
      <c r="AI25" s="27">
        <v>9.0060000000000002</v>
      </c>
      <c r="AJ25" s="27">
        <v>6.8010000000000002</v>
      </c>
      <c r="AK25" s="27">
        <v>5.5259999999999998</v>
      </c>
      <c r="AL25" s="27">
        <f t="shared" si="13"/>
        <v>0</v>
      </c>
      <c r="AM25" s="27">
        <v>7.1860000000000008</v>
      </c>
      <c r="AN25" s="27">
        <f t="shared" si="14"/>
        <v>0.30615084887280825</v>
      </c>
      <c r="AO25" s="32">
        <f t="shared" si="15"/>
        <v>1.7522889626723011</v>
      </c>
      <c r="AP25" s="32">
        <f t="shared" si="16"/>
        <v>15.157299527115406</v>
      </c>
      <c r="AQ25" s="33">
        <f t="shared" si="4"/>
        <v>15.06484</v>
      </c>
      <c r="AR25" s="32">
        <f t="shared" si="21"/>
        <v>1.1822239857157029</v>
      </c>
      <c r="AS25" s="27">
        <f t="shared" si="6"/>
        <v>552.33798999999999</v>
      </c>
      <c r="AT25" s="33">
        <f t="shared" si="7"/>
        <v>652.98721999999998</v>
      </c>
      <c r="AU25" s="33">
        <v>0.77400000000000002</v>
      </c>
      <c r="AV25" s="27">
        <v>7.2350000000000003</v>
      </c>
      <c r="AW25" s="33">
        <f t="shared" si="17"/>
        <v>5.9560256053437233E-2</v>
      </c>
      <c r="AX25" s="36">
        <v>0.38500000000000001</v>
      </c>
      <c r="AY25" s="33">
        <v>0</v>
      </c>
      <c r="AZ25" s="33">
        <f t="shared" si="18"/>
        <v>-0.91870794078061901</v>
      </c>
      <c r="BA25" s="33">
        <f t="shared" si="10"/>
        <v>8.5972349999999995</v>
      </c>
      <c r="BB25" s="33">
        <f t="shared" si="22"/>
        <v>552.33798999999999</v>
      </c>
      <c r="BC25" s="32">
        <v>0.54700000000000004</v>
      </c>
      <c r="BD25" s="32">
        <f t="shared" si="19"/>
        <v>8.5972349999999995</v>
      </c>
      <c r="BE25" s="32">
        <f t="shared" si="20"/>
        <v>552.33798999999999</v>
      </c>
    </row>
    <row r="26" spans="1:57" x14ac:dyDescent="0.2">
      <c r="A26" s="55"/>
      <c r="B26" s="58">
        <v>11</v>
      </c>
      <c r="C26" s="58">
        <v>7.601</v>
      </c>
      <c r="D26" s="58">
        <v>3.5000000000000003E-2</v>
      </c>
      <c r="E26" s="58">
        <v>0.98299999999999998</v>
      </c>
      <c r="F26" s="58">
        <v>1.0150999999999999</v>
      </c>
      <c r="G26" s="58">
        <v>0.48399999999999999</v>
      </c>
      <c r="H26" s="54">
        <v>0.85699999999999998</v>
      </c>
      <c r="I26" s="58">
        <v>522.4</v>
      </c>
      <c r="J26" s="58">
        <v>56.17</v>
      </c>
      <c r="K26" s="54">
        <v>10.199999999999999</v>
      </c>
      <c r="L26" s="54"/>
      <c r="M26" s="58">
        <v>11</v>
      </c>
      <c r="N26" s="54">
        <v>8.359</v>
      </c>
      <c r="O26" s="54">
        <v>3.6019999999999999</v>
      </c>
      <c r="P26" s="54">
        <v>1.7479</v>
      </c>
      <c r="Q26" s="54">
        <v>1.2074</v>
      </c>
      <c r="R26" s="54">
        <v>0.80900000000000005</v>
      </c>
      <c r="S26" s="54">
        <v>0.56100000000000005</v>
      </c>
      <c r="T26" s="54">
        <v>600</v>
      </c>
      <c r="U26" s="54">
        <v>18.190000000000001</v>
      </c>
      <c r="V26" s="54">
        <v>13.41</v>
      </c>
      <c r="W26" s="54"/>
      <c r="X26" s="54">
        <v>11</v>
      </c>
      <c r="Y26" s="58">
        <v>2.2606000000000002</v>
      </c>
      <c r="Z26" s="58">
        <v>0.47720000000000001</v>
      </c>
      <c r="AA26" s="58">
        <v>8.6199999999999999E-2</v>
      </c>
      <c r="AB26" s="54">
        <v>4.3</v>
      </c>
      <c r="AC26" s="54">
        <v>7.6</v>
      </c>
      <c r="AD26" s="54"/>
      <c r="AE26" s="54"/>
      <c r="AF26" s="54">
        <f t="shared" si="0"/>
        <v>1.1485451761102603</v>
      </c>
      <c r="AG26" s="123"/>
      <c r="AI26" s="27">
        <v>8.359</v>
      </c>
      <c r="AJ26" s="27">
        <v>6.8010000000000002</v>
      </c>
      <c r="AK26" s="27">
        <v>5.5259999999999998</v>
      </c>
      <c r="AL26" s="27">
        <f t="shared" si="13"/>
        <v>0</v>
      </c>
      <c r="AM26" s="27">
        <v>7.1860000000000008</v>
      </c>
      <c r="AN26" s="27">
        <f t="shared" si="14"/>
        <v>0.21611466740885052</v>
      </c>
      <c r="AO26" s="32">
        <f t="shared" si="15"/>
        <v>1.7781281790437438</v>
      </c>
      <c r="AP26" s="32">
        <f t="shared" si="16"/>
        <v>15.380808748728384</v>
      </c>
      <c r="AQ26" s="33">
        <f t="shared" si="4"/>
        <v>15.119335000000001</v>
      </c>
      <c r="AR26" s="32">
        <f t="shared" si="21"/>
        <v>1.1894394640922079</v>
      </c>
      <c r="AS26" s="27">
        <f t="shared" si="6"/>
        <v>556.17328999999995</v>
      </c>
      <c r="AT26" s="33">
        <f t="shared" si="7"/>
        <v>661.53445999999997</v>
      </c>
      <c r="AU26" s="33">
        <v>0.80900000000000005</v>
      </c>
      <c r="AV26" s="27">
        <v>7.2350000000000003</v>
      </c>
      <c r="AW26" s="33">
        <f t="shared" si="17"/>
        <v>5.9560256053437233E-2</v>
      </c>
      <c r="AX26" s="36">
        <v>0.38500000000000001</v>
      </c>
      <c r="AY26" s="33">
        <v>0</v>
      </c>
      <c r="AZ26" s="33">
        <f t="shared" si="18"/>
        <v>-0.91870794078061901</v>
      </c>
      <c r="BA26" s="33">
        <f t="shared" si="10"/>
        <v>8.5029500000000002</v>
      </c>
      <c r="BB26" s="33">
        <f t="shared" si="22"/>
        <v>556.17328999999995</v>
      </c>
      <c r="BC26" s="32">
        <v>0.48399999999999999</v>
      </c>
      <c r="BD26" s="32">
        <f t="shared" si="19"/>
        <v>8.5029500000000002</v>
      </c>
      <c r="BE26" s="32">
        <f t="shared" si="20"/>
        <v>556.17328999999995</v>
      </c>
    </row>
    <row r="27" spans="1:57" x14ac:dyDescent="0.2">
      <c r="A27" s="55"/>
      <c r="B27" s="58">
        <v>12</v>
      </c>
      <c r="C27" s="58">
        <v>7.0060000000000002</v>
      </c>
      <c r="D27" s="58">
        <v>0</v>
      </c>
      <c r="E27" s="58">
        <v>0.97450000000000003</v>
      </c>
      <c r="F27" s="58">
        <v>1.0201</v>
      </c>
      <c r="G27" s="58">
        <v>0.44800000000000001</v>
      </c>
      <c r="H27" s="54">
        <v>0.80400000000000005</v>
      </c>
      <c r="I27" s="58">
        <v>477.9</v>
      </c>
      <c r="J27" s="58">
        <v>57.08</v>
      </c>
      <c r="K27" s="54">
        <v>15.39</v>
      </c>
      <c r="L27" s="54"/>
      <c r="M27" s="58">
        <v>12</v>
      </c>
      <c r="N27" s="54">
        <v>8.0090000000000003</v>
      </c>
      <c r="O27" s="54">
        <v>3.6429999999999998</v>
      </c>
      <c r="P27" s="54">
        <v>1.7509999999999999</v>
      </c>
      <c r="Q27" s="54">
        <v>1.2190000000000001</v>
      </c>
      <c r="R27" s="54">
        <v>0.83499999999999996</v>
      </c>
      <c r="S27" s="54">
        <v>0.55400000000000005</v>
      </c>
      <c r="T27" s="54">
        <v>604.29999999999995</v>
      </c>
      <c r="U27" s="54">
        <v>11.9</v>
      </c>
      <c r="V27" s="54">
        <v>15.39</v>
      </c>
      <c r="W27" s="54"/>
      <c r="X27" s="54">
        <v>12</v>
      </c>
      <c r="Y27" s="58">
        <v>2.4028999999999998</v>
      </c>
      <c r="Z27" s="58">
        <v>0.46060000000000001</v>
      </c>
      <c r="AA27" s="58">
        <v>0.1142</v>
      </c>
      <c r="AB27" s="54">
        <v>4</v>
      </c>
      <c r="AC27" s="54">
        <v>7.8</v>
      </c>
      <c r="AD27" s="54"/>
      <c r="AE27" s="54"/>
      <c r="AF27" s="54">
        <f t="shared" si="0"/>
        <v>1.2644904791797447</v>
      </c>
      <c r="AG27" s="123"/>
      <c r="AI27" s="27">
        <v>8.0090000000000003</v>
      </c>
      <c r="AJ27" s="27">
        <v>6.8010000000000002</v>
      </c>
      <c r="AK27" s="27">
        <v>5.5259999999999998</v>
      </c>
      <c r="AL27" s="27">
        <f t="shared" si="13"/>
        <v>0</v>
      </c>
      <c r="AM27" s="27">
        <v>7.1860000000000008</v>
      </c>
      <c r="AN27" s="27">
        <f t="shared" si="14"/>
        <v>0.16740885054272198</v>
      </c>
      <c r="AO27" s="32">
        <f t="shared" si="15"/>
        <v>1.7968188814776807</v>
      </c>
      <c r="AP27" s="32">
        <f t="shared" si="16"/>
        <v>15.542483324781939</v>
      </c>
      <c r="AQ27" s="33">
        <f t="shared" si="4"/>
        <v>15.14615</v>
      </c>
      <c r="AR27" s="32">
        <f t="shared" si="21"/>
        <v>1.1949808842270366</v>
      </c>
      <c r="AS27" s="27">
        <f t="shared" si="6"/>
        <v>558.91278999999997</v>
      </c>
      <c r="AT27" s="33">
        <f t="shared" si="7"/>
        <v>667.89009999999996</v>
      </c>
      <c r="AU27" s="33">
        <v>0.83499999999999996</v>
      </c>
      <c r="AV27" s="27">
        <v>7.2350000000000003</v>
      </c>
      <c r="AW27" s="33">
        <f t="shared" si="17"/>
        <v>5.9560256053437233E-2</v>
      </c>
      <c r="AX27" s="36">
        <v>0.38500000000000001</v>
      </c>
      <c r="AY27" s="33">
        <v>0</v>
      </c>
      <c r="AZ27" s="33">
        <f t="shared" si="18"/>
        <v>-0.91870794078061901</v>
      </c>
      <c r="BA27" s="33">
        <f t="shared" si="10"/>
        <v>8.4294250000000002</v>
      </c>
      <c r="BB27" s="33">
        <f t="shared" si="22"/>
        <v>558.91278999999997</v>
      </c>
      <c r="BC27" s="32">
        <v>0.44800000000000001</v>
      </c>
      <c r="BD27" s="32">
        <f t="shared" si="19"/>
        <v>8.4294250000000002</v>
      </c>
      <c r="BE27" s="32">
        <f t="shared" si="20"/>
        <v>558.91278999999997</v>
      </c>
    </row>
    <row r="28" spans="1:57" x14ac:dyDescent="0.2">
      <c r="A28" s="43" t="s">
        <v>114</v>
      </c>
      <c r="B28" s="58"/>
      <c r="C28" s="58"/>
      <c r="D28" s="58"/>
      <c r="E28" s="58"/>
      <c r="F28" s="58"/>
      <c r="G28" s="58"/>
      <c r="H28" s="54"/>
      <c r="I28" s="58"/>
      <c r="J28" s="58"/>
      <c r="K28" s="54"/>
      <c r="L28" s="54"/>
      <c r="M28" s="58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8"/>
      <c r="Z28" s="58"/>
      <c r="AA28" s="58"/>
      <c r="AB28" s="54"/>
      <c r="AC28" s="54"/>
      <c r="AD28" s="54"/>
      <c r="AE28" s="54"/>
      <c r="AF28" s="54" t="e">
        <f t="shared" si="0"/>
        <v>#DIV/0!</v>
      </c>
      <c r="AG28" s="57"/>
    </row>
    <row r="29" spans="1:57" x14ac:dyDescent="0.2">
      <c r="A29" s="55"/>
      <c r="B29" s="58">
        <v>1</v>
      </c>
      <c r="C29" s="45">
        <v>13.426</v>
      </c>
      <c r="D29" s="59">
        <v>3.8010740990528689</v>
      </c>
      <c r="E29" s="58">
        <v>1.6881999999999999</v>
      </c>
      <c r="F29" s="58">
        <v>1.2273000000000001</v>
      </c>
      <c r="G29" s="58">
        <v>0.66100000000000003</v>
      </c>
      <c r="H29" s="54">
        <v>0</v>
      </c>
      <c r="I29" s="58">
        <v>129.69999999999999</v>
      </c>
      <c r="J29" s="58">
        <v>57.08</v>
      </c>
      <c r="K29" s="54">
        <v>-4.3099999999999996</v>
      </c>
      <c r="L29" s="54"/>
      <c r="M29" s="58">
        <v>1</v>
      </c>
      <c r="N29" s="60">
        <v>13.3082867782893</v>
      </c>
      <c r="O29" s="60">
        <v>5.3659906753071578</v>
      </c>
      <c r="P29" s="54">
        <v>1.6483000000000001</v>
      </c>
      <c r="Q29" s="54">
        <v>1.2273000000000001</v>
      </c>
      <c r="R29" s="54">
        <v>0.45</v>
      </c>
      <c r="S29" s="54">
        <v>0</v>
      </c>
      <c r="T29" s="54">
        <v>150.5</v>
      </c>
      <c r="U29" s="54">
        <v>24.9</v>
      </c>
      <c r="V29" s="54">
        <v>-4.3099999999999996</v>
      </c>
      <c r="W29" s="54">
        <v>50</v>
      </c>
      <c r="X29" s="54">
        <v>1</v>
      </c>
      <c r="Y29" s="58">
        <v>1.1062000000000001</v>
      </c>
      <c r="Z29" s="58">
        <v>0.55279999999999996</v>
      </c>
      <c r="AA29" s="58">
        <v>9.2999999999999999E-2</v>
      </c>
      <c r="AB29" s="54">
        <v>1.35</v>
      </c>
      <c r="AC29" s="54">
        <v>12.26</v>
      </c>
      <c r="AD29" s="54"/>
      <c r="AE29" s="54"/>
      <c r="AF29" s="54">
        <f t="shared" si="0"/>
        <v>1.1603700848111027</v>
      </c>
      <c r="AG29" s="122">
        <v>50</v>
      </c>
      <c r="AQ29" s="33">
        <f t="shared" si="4"/>
        <v>14.257795000000002</v>
      </c>
      <c r="AS29" s="27">
        <f t="shared" si="6"/>
        <v>672.43767000000003</v>
      </c>
      <c r="AT29" s="33">
        <f t="shared" si="7"/>
        <v>672.43767000000003</v>
      </c>
      <c r="BA29" s="33">
        <f t="shared" si="10"/>
        <v>14.602930000000001</v>
      </c>
    </row>
    <row r="30" spans="1:57" x14ac:dyDescent="0.2">
      <c r="A30" s="55"/>
      <c r="B30" s="58">
        <v>2</v>
      </c>
      <c r="C30" s="59">
        <v>13.018137465912089</v>
      </c>
      <c r="D30" s="59">
        <v>3.8180027563557459</v>
      </c>
      <c r="E30" s="58">
        <v>1.6929000000000001</v>
      </c>
      <c r="F30" s="58">
        <v>1.1983999999999999</v>
      </c>
      <c r="G30" s="58">
        <v>0.67700000000000005</v>
      </c>
      <c r="H30" s="54">
        <v>0</v>
      </c>
      <c r="I30" s="58">
        <v>153.6</v>
      </c>
      <c r="J30" s="58">
        <v>50.44</v>
      </c>
      <c r="K30" s="54">
        <v>-3.14</v>
      </c>
      <c r="L30" s="54"/>
      <c r="M30" s="58">
        <v>2</v>
      </c>
      <c r="N30" s="60">
        <v>12.95908401020438</v>
      </c>
      <c r="O30" s="60">
        <v>5.4376422015658443</v>
      </c>
      <c r="P30" s="54">
        <v>1.6559999999999999</v>
      </c>
      <c r="Q30" s="54">
        <v>1.1983999999999999</v>
      </c>
      <c r="R30" s="54">
        <v>0.46500000000000002</v>
      </c>
      <c r="S30" s="54">
        <v>0</v>
      </c>
      <c r="T30" s="54">
        <v>159.30000000000001</v>
      </c>
      <c r="U30" s="54">
        <v>19.96</v>
      </c>
      <c r="V30" s="54">
        <v>-2.52</v>
      </c>
      <c r="W30" s="54">
        <v>50</v>
      </c>
      <c r="X30" s="54">
        <v>2</v>
      </c>
      <c r="Y30" s="58">
        <v>1.1375</v>
      </c>
      <c r="Z30" s="58">
        <v>0.53129999999999999</v>
      </c>
      <c r="AA30" s="58">
        <v>8.2400000000000001E-2</v>
      </c>
      <c r="AB30" s="54">
        <v>0.15</v>
      </c>
      <c r="AC30" s="54">
        <v>9.67</v>
      </c>
      <c r="AD30" s="54"/>
      <c r="AE30" s="54"/>
      <c r="AF30" s="54">
        <f t="shared" si="0"/>
        <v>1.0371093750000002</v>
      </c>
      <c r="AG30" s="123"/>
      <c r="AQ30" s="33">
        <f t="shared" si="4"/>
        <v>14.324400000000001</v>
      </c>
      <c r="AS30" s="27">
        <f t="shared" si="6"/>
        <v>656.60335999999995</v>
      </c>
      <c r="AT30" s="33">
        <f t="shared" si="7"/>
        <v>656.60335999999995</v>
      </c>
      <c r="BA30" s="33">
        <f t="shared" si="10"/>
        <v>14.643585000000002</v>
      </c>
    </row>
    <row r="31" spans="1:57" x14ac:dyDescent="0.2">
      <c r="A31" s="55"/>
      <c r="B31" s="58">
        <v>3</v>
      </c>
      <c r="C31" s="59">
        <v>12.650431281705421</v>
      </c>
      <c r="D31" s="59">
        <v>3.8349314136586226</v>
      </c>
      <c r="E31" s="58">
        <v>1.6976</v>
      </c>
      <c r="F31" s="58">
        <v>1.1834</v>
      </c>
      <c r="G31" s="58">
        <v>0.68799999999999994</v>
      </c>
      <c r="H31" s="54">
        <v>0</v>
      </c>
      <c r="I31" s="58">
        <v>164.9</v>
      </c>
      <c r="J31" s="58">
        <v>47.32</v>
      </c>
      <c r="K31" s="54">
        <v>-2.06</v>
      </c>
      <c r="L31" s="54"/>
      <c r="M31" s="58">
        <v>3</v>
      </c>
      <c r="N31" s="60">
        <v>12.626022520012901</v>
      </c>
      <c r="O31" s="60">
        <v>5.4789796205612404</v>
      </c>
      <c r="P31" s="54">
        <v>1.6639999999999999</v>
      </c>
      <c r="Q31" s="54">
        <v>1.1834</v>
      </c>
      <c r="R31" s="54">
        <v>0.47899999999999998</v>
      </c>
      <c r="S31" s="54">
        <v>0</v>
      </c>
      <c r="T31" s="54">
        <v>165.7</v>
      </c>
      <c r="U31" s="54">
        <v>17.12</v>
      </c>
      <c r="V31" s="54">
        <v>-1.36</v>
      </c>
      <c r="W31" s="54">
        <v>50</v>
      </c>
      <c r="X31" s="54">
        <v>3</v>
      </c>
      <c r="Y31" s="58">
        <v>1.17</v>
      </c>
      <c r="Z31" s="58">
        <v>0.51229999999999998</v>
      </c>
      <c r="AA31" s="58">
        <v>7.2999999999999995E-2</v>
      </c>
      <c r="AB31" s="54">
        <v>0</v>
      </c>
      <c r="AC31" s="54">
        <v>7.62</v>
      </c>
      <c r="AD31" s="54"/>
      <c r="AE31" s="54"/>
      <c r="AF31" s="54">
        <f t="shared" si="0"/>
        <v>1.0048514251061249</v>
      </c>
      <c r="AG31" s="123"/>
      <c r="AQ31" s="33">
        <f t="shared" si="4"/>
        <v>14.393599999999999</v>
      </c>
      <c r="AS31" s="27">
        <f t="shared" si="6"/>
        <v>648.38486</v>
      </c>
      <c r="AT31" s="33">
        <f t="shared" si="7"/>
        <v>648.38486</v>
      </c>
      <c r="BA31" s="33">
        <f t="shared" si="10"/>
        <v>14.684240000000001</v>
      </c>
    </row>
    <row r="32" spans="1:57" x14ac:dyDescent="0.2">
      <c r="A32" s="55"/>
      <c r="B32" s="58">
        <v>4</v>
      </c>
      <c r="C32" s="59">
        <v>12.174854118406005</v>
      </c>
      <c r="D32" s="59">
        <v>3.8577654165322697</v>
      </c>
      <c r="E32" s="58">
        <v>1.7039</v>
      </c>
      <c r="F32" s="58">
        <v>1.1760999999999999</v>
      </c>
      <c r="G32" s="58">
        <v>0.70099999999999996</v>
      </c>
      <c r="H32" s="54">
        <v>0</v>
      </c>
      <c r="I32" s="58">
        <v>172.2</v>
      </c>
      <c r="J32" s="58">
        <v>45.75</v>
      </c>
      <c r="K32" s="54">
        <v>-0.72</v>
      </c>
      <c r="L32" s="54"/>
      <c r="M32" s="58">
        <v>4</v>
      </c>
      <c r="N32" s="60">
        <v>12.190601706594727</v>
      </c>
      <c r="O32" s="60">
        <v>5.5128369351669937</v>
      </c>
      <c r="P32" s="54">
        <v>1.673</v>
      </c>
      <c r="Q32" s="54">
        <v>1.1760999999999999</v>
      </c>
      <c r="R32" s="54">
        <v>0.495</v>
      </c>
      <c r="S32" s="54">
        <v>0</v>
      </c>
      <c r="T32" s="54">
        <v>171.8</v>
      </c>
      <c r="U32" s="54">
        <v>15.45</v>
      </c>
      <c r="V32" s="54">
        <v>0.06</v>
      </c>
      <c r="W32" s="54">
        <v>50</v>
      </c>
      <c r="X32" s="54">
        <v>4</v>
      </c>
      <c r="Y32" s="58">
        <v>1.2130000000000001</v>
      </c>
      <c r="Z32" s="58">
        <v>0.49320000000000003</v>
      </c>
      <c r="AA32" s="58">
        <v>6.4899999999999999E-2</v>
      </c>
      <c r="AB32" s="54">
        <v>0</v>
      </c>
      <c r="AC32" s="54">
        <v>6.08</v>
      </c>
      <c r="AD32" s="54"/>
      <c r="AE32" s="54"/>
      <c r="AF32" s="54">
        <f t="shared" si="0"/>
        <v>0.99767711962833927</v>
      </c>
      <c r="AG32" s="123"/>
      <c r="AQ32" s="33">
        <f t="shared" si="4"/>
        <v>14.471450000000001</v>
      </c>
      <c r="AS32" s="27">
        <f t="shared" si="6"/>
        <v>644.38518999999997</v>
      </c>
      <c r="AT32" s="33">
        <f t="shared" si="7"/>
        <v>644.38518999999997</v>
      </c>
      <c r="BA32" s="33">
        <f t="shared" si="10"/>
        <v>14.738735</v>
      </c>
    </row>
    <row r="33" spans="1:53" x14ac:dyDescent="0.2">
      <c r="A33" s="55"/>
      <c r="B33" s="58">
        <v>5</v>
      </c>
      <c r="C33" s="59">
        <v>11.697308506582999</v>
      </c>
      <c r="D33" s="59">
        <v>3.8809931091106353</v>
      </c>
      <c r="E33" s="58">
        <v>1.7101999999999999</v>
      </c>
      <c r="F33" s="58">
        <v>1.1736</v>
      </c>
      <c r="G33" s="58">
        <v>0.71299999999999997</v>
      </c>
      <c r="H33" s="54">
        <v>0</v>
      </c>
      <c r="I33" s="58">
        <v>176.8</v>
      </c>
      <c r="J33" s="58">
        <v>45.12</v>
      </c>
      <c r="K33" s="54">
        <v>0.75</v>
      </c>
      <c r="L33" s="54"/>
      <c r="M33" s="58">
        <v>5</v>
      </c>
      <c r="N33" s="60">
        <v>11.754393513767116</v>
      </c>
      <c r="O33" s="60">
        <v>5.5368520071547955</v>
      </c>
      <c r="P33" s="54">
        <v>1.6794</v>
      </c>
      <c r="Q33" s="54">
        <v>1.1736</v>
      </c>
      <c r="R33" s="54">
        <v>0.50700000000000001</v>
      </c>
      <c r="S33" s="54">
        <v>0</v>
      </c>
      <c r="T33" s="54">
        <v>176.3</v>
      </c>
      <c r="U33" s="54">
        <v>14.8</v>
      </c>
      <c r="V33" s="54">
        <v>1.56</v>
      </c>
      <c r="W33" s="54">
        <v>50</v>
      </c>
      <c r="X33" s="54">
        <v>5</v>
      </c>
      <c r="Y33" s="58">
        <v>1.2579</v>
      </c>
      <c r="Z33" s="58">
        <v>0.4793</v>
      </c>
      <c r="AA33" s="58">
        <v>6.2600000000000003E-2</v>
      </c>
      <c r="AB33" s="54">
        <v>0</v>
      </c>
      <c r="AC33" s="54">
        <v>5.73</v>
      </c>
      <c r="AD33" s="54"/>
      <c r="AE33" s="54"/>
      <c r="AF33" s="54">
        <f t="shared" si="0"/>
        <v>0.99717194570135748</v>
      </c>
      <c r="AG33" s="123"/>
      <c r="AQ33" s="33">
        <f t="shared" si="4"/>
        <v>14.526810000000001</v>
      </c>
      <c r="AS33" s="27">
        <f t="shared" si="6"/>
        <v>643.01544000000001</v>
      </c>
      <c r="AT33" s="33">
        <f t="shared" si="7"/>
        <v>643.01544000000001</v>
      </c>
      <c r="BA33" s="33">
        <f t="shared" si="10"/>
        <v>14.793229999999999</v>
      </c>
    </row>
    <row r="34" spans="1:53" x14ac:dyDescent="0.2">
      <c r="A34" s="55">
        <f>(N29+N40)/2</f>
        <v>10.924298771369088</v>
      </c>
      <c r="B34" s="58">
        <v>6</v>
      </c>
      <c r="C34" s="59">
        <v>11.210314341846759</v>
      </c>
      <c r="D34" s="59">
        <v>3.9038271119842829</v>
      </c>
      <c r="E34" s="58">
        <v>1.7164999999999999</v>
      </c>
      <c r="F34" s="58">
        <v>1.1735</v>
      </c>
      <c r="G34" s="58">
        <v>0.72699999999999998</v>
      </c>
      <c r="H34" s="54">
        <v>0</v>
      </c>
      <c r="I34" s="58">
        <v>180.7</v>
      </c>
      <c r="J34" s="58">
        <v>44.83</v>
      </c>
      <c r="K34" s="54">
        <v>2.37</v>
      </c>
      <c r="L34" s="54"/>
      <c r="M34" s="58">
        <v>6</v>
      </c>
      <c r="N34" s="60">
        <v>11.312279975368735</v>
      </c>
      <c r="O34" s="60">
        <v>5.5183485910330461</v>
      </c>
      <c r="P34" s="54">
        <v>1.6850000000000001</v>
      </c>
      <c r="Q34" s="54">
        <v>1.1735</v>
      </c>
      <c r="R34" s="54">
        <v>0.51800000000000002</v>
      </c>
      <c r="S34" s="54">
        <v>0</v>
      </c>
      <c r="T34" s="54">
        <v>180.1</v>
      </c>
      <c r="U34" s="54">
        <v>14.16</v>
      </c>
      <c r="V34" s="54">
        <v>3.19</v>
      </c>
      <c r="W34" s="54">
        <v>50</v>
      </c>
      <c r="X34" s="54">
        <v>6</v>
      </c>
      <c r="Y34" s="58">
        <v>1.3018000000000001</v>
      </c>
      <c r="Z34" s="58">
        <v>0.47089999999999999</v>
      </c>
      <c r="AA34" s="58">
        <v>6.1699999999999998E-2</v>
      </c>
      <c r="AB34" s="54">
        <v>0</v>
      </c>
      <c r="AC34" s="54">
        <v>5.37</v>
      </c>
      <c r="AD34" s="54"/>
      <c r="AE34" s="54"/>
      <c r="AF34" s="54">
        <f t="shared" si="0"/>
        <v>0.99667957941339236</v>
      </c>
      <c r="AG34" s="123"/>
      <c r="AQ34" s="33">
        <f t="shared" si="4"/>
        <v>14.57525</v>
      </c>
      <c r="AS34" s="27">
        <f t="shared" si="6"/>
        <v>642.96064999999999</v>
      </c>
      <c r="AT34" s="33">
        <f t="shared" si="7"/>
        <v>642.96064999999999</v>
      </c>
      <c r="BA34" s="33">
        <f t="shared" si="10"/>
        <v>14.847725000000001</v>
      </c>
    </row>
    <row r="35" spans="1:53" x14ac:dyDescent="0.2">
      <c r="A35" s="55">
        <f>PI()*(N29^2-N40^2)</f>
        <v>327.27098196277547</v>
      </c>
      <c r="B35" s="58">
        <v>7</v>
      </c>
      <c r="C35" s="59">
        <v>10.709934727150104</v>
      </c>
      <c r="D35" s="59">
        <v>3.9278421839720843</v>
      </c>
      <c r="E35" s="58">
        <v>1.7228000000000001</v>
      </c>
      <c r="F35" s="58">
        <v>1.1744000000000001</v>
      </c>
      <c r="G35" s="58">
        <v>0.74199999999999999</v>
      </c>
      <c r="H35" s="54">
        <v>0</v>
      </c>
      <c r="I35" s="58">
        <v>184.5</v>
      </c>
      <c r="J35" s="58">
        <v>44.66</v>
      </c>
      <c r="K35" s="54">
        <v>4.18</v>
      </c>
      <c r="L35" s="54"/>
      <c r="M35" s="58">
        <v>7</v>
      </c>
      <c r="N35" s="60">
        <v>10.86071788405712</v>
      </c>
      <c r="O35" s="60">
        <v>5.563622907075624</v>
      </c>
      <c r="P35" s="54">
        <v>1.6904999999999999</v>
      </c>
      <c r="Q35" s="54">
        <v>1.1744000000000001</v>
      </c>
      <c r="R35" s="54">
        <v>0.52800000000000002</v>
      </c>
      <c r="S35" s="54">
        <v>0</v>
      </c>
      <c r="T35" s="54">
        <v>183.5</v>
      </c>
      <c r="U35" s="54">
        <v>13.51</v>
      </c>
      <c r="V35" s="54">
        <v>4.9400000000000004</v>
      </c>
      <c r="W35" s="54">
        <v>50</v>
      </c>
      <c r="X35" s="54">
        <v>7</v>
      </c>
      <c r="Y35" s="58">
        <v>1.3466</v>
      </c>
      <c r="Z35" s="58">
        <v>0.4662</v>
      </c>
      <c r="AA35" s="58">
        <v>6.1100000000000002E-2</v>
      </c>
      <c r="AB35" s="54">
        <v>0</v>
      </c>
      <c r="AC35" s="54">
        <v>5</v>
      </c>
      <c r="AD35" s="54"/>
      <c r="AE35" s="54"/>
      <c r="AF35" s="54">
        <f t="shared" si="0"/>
        <v>0.99457994579945797</v>
      </c>
      <c r="AG35" s="123"/>
      <c r="AQ35" s="33">
        <f t="shared" si="4"/>
        <v>14.622824999999999</v>
      </c>
      <c r="AS35" s="27">
        <f t="shared" si="6"/>
        <v>643.45375999999999</v>
      </c>
      <c r="AT35" s="33">
        <f t="shared" si="7"/>
        <v>643.45375999999999</v>
      </c>
      <c r="BA35" s="33">
        <f t="shared" si="10"/>
        <v>14.902220000000002</v>
      </c>
    </row>
    <row r="36" spans="1:53" x14ac:dyDescent="0.2">
      <c r="A36" s="55"/>
      <c r="B36" s="58">
        <v>8</v>
      </c>
      <c r="C36" s="59">
        <v>10.191839075741138</v>
      </c>
      <c r="D36" s="59">
        <v>3.9530383250740408</v>
      </c>
      <c r="E36" s="58">
        <v>1.7291000000000001</v>
      </c>
      <c r="F36" s="58">
        <v>1.1776</v>
      </c>
      <c r="G36" s="58">
        <v>0.75900000000000001</v>
      </c>
      <c r="H36" s="54">
        <v>0</v>
      </c>
      <c r="I36" s="58">
        <v>188.1</v>
      </c>
      <c r="J36" s="58">
        <v>44.69</v>
      </c>
      <c r="K36" s="54">
        <v>6.2</v>
      </c>
      <c r="L36" s="54"/>
      <c r="M36" s="58">
        <v>8</v>
      </c>
      <c r="N36" s="60">
        <v>10.395376653080374</v>
      </c>
      <c r="O36" s="60">
        <v>5.5651976658944955</v>
      </c>
      <c r="P36" s="54">
        <v>1.6950000000000001</v>
      </c>
      <c r="Q36" s="54">
        <v>1.1776</v>
      </c>
      <c r="R36" s="54">
        <v>0.53500000000000003</v>
      </c>
      <c r="S36" s="54">
        <v>0</v>
      </c>
      <c r="T36" s="54">
        <v>186.1</v>
      </c>
      <c r="U36" s="54">
        <v>12.92</v>
      </c>
      <c r="V36" s="54">
        <v>6.86</v>
      </c>
      <c r="W36" s="54">
        <v>50</v>
      </c>
      <c r="X36" s="54">
        <v>8</v>
      </c>
      <c r="Y36" s="58">
        <v>1.3911</v>
      </c>
      <c r="Z36" s="58">
        <v>0.46650000000000003</v>
      </c>
      <c r="AA36" s="58">
        <v>6.2E-2</v>
      </c>
      <c r="AB36" s="54">
        <v>0</v>
      </c>
      <c r="AC36" s="54">
        <v>4.76</v>
      </c>
      <c r="AD36" s="54"/>
      <c r="AE36" s="54"/>
      <c r="AF36" s="54">
        <f t="shared" si="0"/>
        <v>0.98936735778841045</v>
      </c>
      <c r="AG36" s="123"/>
      <c r="AQ36" s="33">
        <f t="shared" si="4"/>
        <v>14.661750000000001</v>
      </c>
      <c r="AS36" s="27">
        <f t="shared" si="6"/>
        <v>645.20704000000001</v>
      </c>
      <c r="AT36" s="33">
        <f t="shared" si="7"/>
        <v>645.20704000000001</v>
      </c>
      <c r="BA36" s="33">
        <f t="shared" si="10"/>
        <v>14.956715000000001</v>
      </c>
    </row>
    <row r="37" spans="1:53" x14ac:dyDescent="0.2">
      <c r="A37" s="55"/>
      <c r="B37" s="58">
        <v>9</v>
      </c>
      <c r="C37" s="59">
        <v>9.6509094214585218</v>
      </c>
      <c r="D37" s="59">
        <v>3.9790218455854323</v>
      </c>
      <c r="E37" s="58">
        <v>1.7353000000000001</v>
      </c>
      <c r="F37" s="58">
        <v>1.1825000000000001</v>
      </c>
      <c r="G37" s="58">
        <v>0.77800000000000002</v>
      </c>
      <c r="H37" s="54">
        <v>0</v>
      </c>
      <c r="I37" s="58">
        <v>191.7</v>
      </c>
      <c r="J37" s="58">
        <v>44.86</v>
      </c>
      <c r="K37" s="54">
        <v>8.4600000000000009</v>
      </c>
      <c r="L37" s="54"/>
      <c r="M37" s="58">
        <v>9</v>
      </c>
      <c r="N37" s="60">
        <v>9.910744626572443</v>
      </c>
      <c r="O37" s="60">
        <v>5.5585049409142888</v>
      </c>
      <c r="P37" s="54">
        <v>1.6994</v>
      </c>
      <c r="Q37" s="54">
        <v>1.1825000000000001</v>
      </c>
      <c r="R37" s="54">
        <v>0.54200000000000004</v>
      </c>
      <c r="S37" s="54">
        <v>0</v>
      </c>
      <c r="T37" s="54">
        <v>188.1</v>
      </c>
      <c r="U37" s="54">
        <v>12.47</v>
      </c>
      <c r="V37" s="54">
        <v>8.9600000000000009</v>
      </c>
      <c r="W37" s="54">
        <v>50</v>
      </c>
      <c r="X37" s="54">
        <v>9</v>
      </c>
      <c r="Y37" s="58">
        <v>1.4366000000000001</v>
      </c>
      <c r="Z37" s="58">
        <v>0.4703</v>
      </c>
      <c r="AA37" s="58">
        <v>6.3299999999999995E-2</v>
      </c>
      <c r="AB37" s="54">
        <v>0.2</v>
      </c>
      <c r="AC37" s="54">
        <v>4.54</v>
      </c>
      <c r="AD37" s="54"/>
      <c r="AE37" s="54"/>
      <c r="AF37" s="54">
        <f t="shared" si="0"/>
        <v>0.98122065727699537</v>
      </c>
      <c r="AG37" s="123"/>
      <c r="AQ37" s="33">
        <f t="shared" si="4"/>
        <v>14.699810000000001</v>
      </c>
      <c r="AS37" s="27">
        <f t="shared" si="6"/>
        <v>647.89175</v>
      </c>
      <c r="AT37" s="33">
        <f t="shared" si="7"/>
        <v>647.89175</v>
      </c>
      <c r="BA37" s="33">
        <f t="shared" si="10"/>
        <v>15.010345000000001</v>
      </c>
    </row>
    <row r="38" spans="1:53" x14ac:dyDescent="0.2">
      <c r="A38" s="55"/>
      <c r="B38" s="58">
        <v>10</v>
      </c>
      <c r="C38" s="59">
        <v>12.62208562296572</v>
      </c>
      <c r="D38" s="59">
        <v>4.006973814620415</v>
      </c>
      <c r="E38" s="58">
        <v>1.7416</v>
      </c>
      <c r="F38" s="58">
        <v>1.1918</v>
      </c>
      <c r="G38" s="58">
        <v>0.80200000000000005</v>
      </c>
      <c r="H38" s="54">
        <v>0</v>
      </c>
      <c r="I38" s="58">
        <v>194.4</v>
      </c>
      <c r="J38" s="58">
        <v>45.56</v>
      </c>
      <c r="K38" s="54">
        <v>11.03</v>
      </c>
      <c r="L38" s="54"/>
      <c r="M38" s="58">
        <v>10</v>
      </c>
      <c r="N38" s="60">
        <v>9.3993417001436814</v>
      </c>
      <c r="O38" s="60">
        <v>5.5463005600680289</v>
      </c>
      <c r="P38" s="54">
        <v>1.6994</v>
      </c>
      <c r="Q38" s="54">
        <v>1.1918</v>
      </c>
      <c r="R38" s="54">
        <v>0.54500000000000004</v>
      </c>
      <c r="S38" s="54">
        <v>0</v>
      </c>
      <c r="T38" s="54">
        <v>188.4</v>
      </c>
      <c r="U38" s="54">
        <v>12.71</v>
      </c>
      <c r="V38" s="54">
        <v>11.34</v>
      </c>
      <c r="W38" s="54">
        <v>50</v>
      </c>
      <c r="X38" s="54">
        <v>10</v>
      </c>
      <c r="Y38" s="58">
        <v>1.4856</v>
      </c>
      <c r="Z38" s="58">
        <v>0.48060000000000003</v>
      </c>
      <c r="AA38" s="58">
        <v>7.0300000000000001E-2</v>
      </c>
      <c r="AB38" s="54">
        <v>0.5</v>
      </c>
      <c r="AC38" s="54">
        <v>5.23</v>
      </c>
      <c r="AD38" s="54"/>
      <c r="AE38" s="54"/>
      <c r="AF38" s="54">
        <f t="shared" si="0"/>
        <v>0.96913580246913578</v>
      </c>
      <c r="AG38" s="123"/>
      <c r="AQ38" s="33">
        <f t="shared" si="4"/>
        <v>14.699810000000001</v>
      </c>
      <c r="AS38" s="27">
        <f t="shared" si="6"/>
        <v>652.98721999999998</v>
      </c>
      <c r="AT38" s="33">
        <f t="shared" si="7"/>
        <v>652.98721999999998</v>
      </c>
      <c r="BA38" s="33">
        <f t="shared" si="10"/>
        <v>15.06484</v>
      </c>
    </row>
    <row r="39" spans="1:53" x14ac:dyDescent="0.2">
      <c r="A39" s="55"/>
      <c r="B39" s="58">
        <v>11</v>
      </c>
      <c r="C39" s="59">
        <v>8.4599980646863919</v>
      </c>
      <c r="D39" s="59">
        <v>4.0388626807025778</v>
      </c>
      <c r="E39" s="58">
        <v>1.7479</v>
      </c>
      <c r="F39" s="58">
        <v>1.2074</v>
      </c>
      <c r="G39" s="58">
        <v>0.83299999999999996</v>
      </c>
      <c r="H39" s="54">
        <v>0</v>
      </c>
      <c r="I39" s="58">
        <v>195.8</v>
      </c>
      <c r="J39" s="58">
        <v>47.13</v>
      </c>
      <c r="K39" s="54">
        <v>14.09</v>
      </c>
      <c r="L39" s="54"/>
      <c r="M39" s="58">
        <v>11</v>
      </c>
      <c r="N39" s="60">
        <v>8.8438455267864988</v>
      </c>
      <c r="O39" s="60">
        <v>5.5234665571943813</v>
      </c>
      <c r="P39" s="54">
        <v>1.6916</v>
      </c>
      <c r="Q39" s="54">
        <v>1.2074</v>
      </c>
      <c r="R39" s="54">
        <v>0.54100000000000004</v>
      </c>
      <c r="S39" s="54">
        <v>0</v>
      </c>
      <c r="T39" s="54">
        <v>185.1</v>
      </c>
      <c r="U39" s="54">
        <v>14.31</v>
      </c>
      <c r="V39" s="54">
        <v>13.95</v>
      </c>
      <c r="W39" s="54">
        <v>50</v>
      </c>
      <c r="X39" s="54">
        <v>11</v>
      </c>
      <c r="Y39" s="58">
        <v>1.5379</v>
      </c>
      <c r="Z39" s="58">
        <v>0.50290000000000001</v>
      </c>
      <c r="AA39" s="58">
        <v>8.8099999999999998E-2</v>
      </c>
      <c r="AB39" s="54">
        <v>1.7</v>
      </c>
      <c r="AC39" s="54">
        <v>7.05</v>
      </c>
      <c r="AD39" s="54"/>
      <c r="AE39" s="54"/>
      <c r="AF39" s="54">
        <f t="shared" si="0"/>
        <v>0.94535240040858015</v>
      </c>
      <c r="AG39" s="123"/>
      <c r="AQ39" s="33">
        <f t="shared" si="4"/>
        <v>14.632340000000001</v>
      </c>
      <c r="AS39" s="27">
        <f t="shared" si="6"/>
        <v>661.53445999999997</v>
      </c>
      <c r="AT39" s="33">
        <f t="shared" si="7"/>
        <v>661.53445999999997</v>
      </c>
      <c r="BA39" s="33">
        <f t="shared" si="10"/>
        <v>15.119335000000001</v>
      </c>
    </row>
    <row r="40" spans="1:53" x14ac:dyDescent="0.2">
      <c r="A40" s="55"/>
      <c r="B40" s="58">
        <v>12</v>
      </c>
      <c r="C40" s="59">
        <v>8.1261491950854747</v>
      </c>
      <c r="D40" s="59">
        <v>4.0577597865290445</v>
      </c>
      <c r="E40" s="58">
        <v>1.7511000000000001</v>
      </c>
      <c r="F40" s="58">
        <v>1.2190000000000001</v>
      </c>
      <c r="G40" s="58">
        <v>0.85499999999999998</v>
      </c>
      <c r="H40" s="54">
        <v>0</v>
      </c>
      <c r="I40" s="58">
        <v>196</v>
      </c>
      <c r="J40" s="58">
        <v>48.32</v>
      </c>
      <c r="K40" s="54">
        <v>15.96</v>
      </c>
      <c r="L40" s="54"/>
      <c r="M40" s="58">
        <v>12</v>
      </c>
      <c r="N40" s="60">
        <v>8.5403107644488756</v>
      </c>
      <c r="O40" s="60">
        <v>5.5053568307773508</v>
      </c>
      <c r="P40" s="54">
        <v>1.6846000000000001</v>
      </c>
      <c r="Q40" s="54">
        <v>1.2190000000000001</v>
      </c>
      <c r="R40" s="54">
        <v>0.53200000000000003</v>
      </c>
      <c r="S40" s="54">
        <v>0</v>
      </c>
      <c r="T40" s="54">
        <v>180.3</v>
      </c>
      <c r="U40" s="54">
        <v>16</v>
      </c>
      <c r="V40" s="54">
        <v>15.88</v>
      </c>
      <c r="W40" s="54">
        <v>50</v>
      </c>
      <c r="X40" s="54">
        <v>12</v>
      </c>
      <c r="Y40" s="58">
        <v>1.5682</v>
      </c>
      <c r="Z40" s="58">
        <v>0.52349999999999997</v>
      </c>
      <c r="AA40" s="58">
        <v>0.1</v>
      </c>
      <c r="AB40" s="54">
        <v>2.6</v>
      </c>
      <c r="AC40" s="54">
        <v>8.2899999999999991</v>
      </c>
      <c r="AD40" s="54"/>
      <c r="AE40" s="54"/>
      <c r="AF40" s="54">
        <f t="shared" si="0"/>
        <v>0.91989795918367356</v>
      </c>
      <c r="AG40" s="123"/>
      <c r="AQ40" s="33">
        <f t="shared" si="4"/>
        <v>14.571790000000002</v>
      </c>
      <c r="AS40" s="27">
        <f t="shared" si="6"/>
        <v>667.89009999999996</v>
      </c>
      <c r="AT40" s="33">
        <f t="shared" si="7"/>
        <v>667.89009999999996</v>
      </c>
      <c r="BA40" s="33">
        <f t="shared" si="10"/>
        <v>15.147015000000001</v>
      </c>
    </row>
    <row r="41" spans="1:53" x14ac:dyDescent="0.2">
      <c r="A41" s="43" t="s">
        <v>115</v>
      </c>
      <c r="B41" s="58"/>
      <c r="C41" s="58"/>
      <c r="D41" s="58"/>
      <c r="E41" s="58"/>
      <c r="F41" s="58"/>
      <c r="G41" s="58"/>
      <c r="H41" s="54"/>
      <c r="I41" s="58"/>
      <c r="J41" s="58"/>
      <c r="K41" s="54"/>
      <c r="L41" s="54"/>
      <c r="M41" s="58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8"/>
      <c r="Z41" s="58"/>
      <c r="AA41" s="58"/>
      <c r="AB41" s="54"/>
      <c r="AC41" s="54"/>
      <c r="AD41" s="54"/>
      <c r="AE41" s="54"/>
      <c r="AF41" s="54" t="e">
        <f t="shared" si="0"/>
        <v>#DIV/0!</v>
      </c>
      <c r="AG41" s="57"/>
    </row>
    <row r="42" spans="1:53" x14ac:dyDescent="0.2">
      <c r="A42" s="55"/>
      <c r="B42" s="58">
        <v>1</v>
      </c>
      <c r="C42" s="58">
        <v>13.224</v>
      </c>
      <c r="D42" s="58">
        <v>6.4640000000000004</v>
      </c>
      <c r="E42" s="58">
        <v>1.6480999999999999</v>
      </c>
      <c r="F42" s="58">
        <v>1.2273000000000001</v>
      </c>
      <c r="G42" s="58">
        <v>0.495</v>
      </c>
      <c r="H42" s="54">
        <v>1.0820000000000001</v>
      </c>
      <c r="I42" s="58">
        <v>548.6</v>
      </c>
      <c r="J42" s="58">
        <v>65.17</v>
      </c>
      <c r="K42" s="54">
        <v>-4.5199999999999996</v>
      </c>
      <c r="L42" s="54"/>
      <c r="M42" s="58">
        <v>1</v>
      </c>
      <c r="N42" s="54">
        <v>13.117000000000001</v>
      </c>
      <c r="O42" s="54">
        <v>7.8209999999999997</v>
      </c>
      <c r="P42" s="54">
        <v>2.6497999999999999</v>
      </c>
      <c r="Q42" s="54">
        <v>1.4272</v>
      </c>
      <c r="R42" s="54">
        <v>0.61399999999999999</v>
      </c>
      <c r="S42" s="54">
        <v>0.64500000000000002</v>
      </c>
      <c r="T42" s="54">
        <v>396.5</v>
      </c>
      <c r="U42" s="54">
        <v>61.4</v>
      </c>
      <c r="V42" s="54">
        <v>-4.5199999999999996</v>
      </c>
      <c r="W42" s="54"/>
      <c r="X42" s="54">
        <v>1</v>
      </c>
      <c r="Y42" s="58">
        <v>1.2728999999999999</v>
      </c>
      <c r="Z42" s="58">
        <v>0.49890000000000001</v>
      </c>
      <c r="AA42" s="58">
        <v>0.10349999999999999</v>
      </c>
      <c r="AB42" s="54">
        <v>2</v>
      </c>
      <c r="AC42" s="54">
        <v>10.51</v>
      </c>
      <c r="AD42" s="54"/>
      <c r="AE42" s="54"/>
      <c r="AF42" s="54">
        <f t="shared" si="0"/>
        <v>0.72274881516587675</v>
      </c>
      <c r="AG42" s="122">
        <v>38</v>
      </c>
      <c r="AQ42" s="33">
        <f t="shared" si="4"/>
        <v>22.920770000000001</v>
      </c>
      <c r="AS42" s="27">
        <f t="shared" si="6"/>
        <v>672.43767000000003</v>
      </c>
      <c r="AT42" s="33">
        <f t="shared" si="7"/>
        <v>781.96287999999993</v>
      </c>
      <c r="BA42" s="33">
        <f t="shared" si="10"/>
        <v>14.256065</v>
      </c>
    </row>
    <row r="43" spans="1:53" x14ac:dyDescent="0.2">
      <c r="A43" s="55"/>
      <c r="B43" s="58">
        <v>2</v>
      </c>
      <c r="C43" s="58">
        <v>12.904999999999999</v>
      </c>
      <c r="D43" s="58">
        <v>6.4390000000000001</v>
      </c>
      <c r="E43" s="58">
        <v>1.6556999999999999</v>
      </c>
      <c r="F43" s="58">
        <v>1.1986000000000001</v>
      </c>
      <c r="G43" s="58">
        <v>0.50600000000000001</v>
      </c>
      <c r="H43" s="54">
        <v>1.1080000000000001</v>
      </c>
      <c r="I43" s="58">
        <v>569.70000000000005</v>
      </c>
      <c r="J43" s="58">
        <v>64.430000000000007</v>
      </c>
      <c r="K43" s="54">
        <v>-3.85</v>
      </c>
      <c r="L43" s="54"/>
      <c r="M43" s="58">
        <v>2</v>
      </c>
      <c r="N43" s="54">
        <v>12.792999999999999</v>
      </c>
      <c r="O43" s="54">
        <v>7.8449999999999998</v>
      </c>
      <c r="P43" s="54">
        <v>2.6568999999999998</v>
      </c>
      <c r="Q43" s="54">
        <v>1.3894</v>
      </c>
      <c r="R43" s="54">
        <v>0.623</v>
      </c>
      <c r="S43" s="54">
        <v>0.69499999999999995</v>
      </c>
      <c r="T43" s="54">
        <v>472.9</v>
      </c>
      <c r="U43" s="54">
        <v>57.49</v>
      </c>
      <c r="V43" s="54">
        <v>-4.12</v>
      </c>
      <c r="W43" s="54"/>
      <c r="X43" s="54">
        <v>2</v>
      </c>
      <c r="Y43" s="58">
        <v>1.3</v>
      </c>
      <c r="Z43" s="58">
        <v>0.4592</v>
      </c>
      <c r="AA43" s="58">
        <v>8.3400000000000002E-2</v>
      </c>
      <c r="AB43" s="54">
        <v>2.15</v>
      </c>
      <c r="AC43" s="54">
        <v>4.9800000000000004</v>
      </c>
      <c r="AD43" s="54"/>
      <c r="AE43" s="54"/>
      <c r="AF43" s="54">
        <f t="shared" si="0"/>
        <v>0.83008601018079675</v>
      </c>
      <c r="AG43" s="123"/>
      <c r="AQ43" s="33">
        <f t="shared" si="4"/>
        <v>22.982184999999998</v>
      </c>
      <c r="AS43" s="27">
        <f t="shared" si="6"/>
        <v>656.71294</v>
      </c>
      <c r="AT43" s="33">
        <f t="shared" si="7"/>
        <v>761.25225999999998</v>
      </c>
      <c r="BA43" s="33">
        <f t="shared" si="10"/>
        <v>14.321804999999999</v>
      </c>
    </row>
    <row r="44" spans="1:53" x14ac:dyDescent="0.2">
      <c r="A44" s="55"/>
      <c r="B44" s="58">
        <v>3</v>
      </c>
      <c r="C44" s="58">
        <v>12.595000000000001</v>
      </c>
      <c r="D44" s="58">
        <v>6.4139999999999997</v>
      </c>
      <c r="E44" s="58">
        <v>1.6635</v>
      </c>
      <c r="F44" s="58">
        <v>1.1835</v>
      </c>
      <c r="G44" s="58">
        <v>0.52</v>
      </c>
      <c r="H44" s="54">
        <v>1.1160000000000001</v>
      </c>
      <c r="I44" s="58">
        <v>589.79999999999995</v>
      </c>
      <c r="J44" s="58">
        <v>63.47</v>
      </c>
      <c r="K44" s="54">
        <v>-2.84</v>
      </c>
      <c r="L44" s="54"/>
      <c r="M44" s="58">
        <v>3</v>
      </c>
      <c r="N44" s="54">
        <v>12.506</v>
      </c>
      <c r="O44" s="54">
        <v>7.8789999999999996</v>
      </c>
      <c r="P44" s="54">
        <v>2.6640999999999999</v>
      </c>
      <c r="Q44" s="54">
        <v>1.369</v>
      </c>
      <c r="R44" s="54">
        <v>0.63</v>
      </c>
      <c r="S44" s="54">
        <v>0.71399999999999997</v>
      </c>
      <c r="T44" s="54">
        <v>510.2</v>
      </c>
      <c r="U44" s="54">
        <v>55.36</v>
      </c>
      <c r="V44" s="54">
        <v>-2.83</v>
      </c>
      <c r="W44" s="54"/>
      <c r="X44" s="54">
        <v>3</v>
      </c>
      <c r="Y44" s="58">
        <v>1.3262</v>
      </c>
      <c r="Z44" s="58">
        <v>0.443</v>
      </c>
      <c r="AA44" s="58">
        <v>7.2499999999999995E-2</v>
      </c>
      <c r="AB44" s="54">
        <v>2.2999999999999998</v>
      </c>
      <c r="AC44" s="54">
        <v>4</v>
      </c>
      <c r="AD44" s="54"/>
      <c r="AE44" s="54"/>
      <c r="AF44" s="54">
        <f t="shared" si="0"/>
        <v>0.86503899626992209</v>
      </c>
      <c r="AG44" s="123"/>
      <c r="AQ44" s="33">
        <f t="shared" si="4"/>
        <v>23.044464999999999</v>
      </c>
      <c r="AS44" s="27">
        <f t="shared" si="6"/>
        <v>648.43964999999992</v>
      </c>
      <c r="AT44" s="33">
        <f t="shared" si="7"/>
        <v>750.07510000000002</v>
      </c>
      <c r="BA44" s="33">
        <f t="shared" si="10"/>
        <v>14.389275</v>
      </c>
    </row>
    <row r="45" spans="1:53" x14ac:dyDescent="0.2">
      <c r="A45" s="55"/>
      <c r="B45" s="58">
        <v>4</v>
      </c>
      <c r="C45" s="58">
        <v>12.186</v>
      </c>
      <c r="D45" s="58">
        <v>6.38</v>
      </c>
      <c r="E45" s="58">
        <v>1.6726000000000001</v>
      </c>
      <c r="F45" s="58">
        <v>1.1761999999999999</v>
      </c>
      <c r="G45" s="58">
        <v>0.53600000000000003</v>
      </c>
      <c r="H45" s="54">
        <v>1.1060000000000001</v>
      </c>
      <c r="I45" s="58">
        <v>610.79999999999995</v>
      </c>
      <c r="J45" s="58">
        <v>62.04</v>
      </c>
      <c r="K45" s="54">
        <v>-1.23</v>
      </c>
      <c r="L45" s="54"/>
      <c r="M45" s="58">
        <v>4</v>
      </c>
      <c r="N45" s="54">
        <v>12.141</v>
      </c>
      <c r="O45" s="54">
        <v>7.9290000000000003</v>
      </c>
      <c r="P45" s="54">
        <v>2.6735000000000002</v>
      </c>
      <c r="Q45" s="54">
        <v>1.3575999999999999</v>
      </c>
      <c r="R45" s="54">
        <v>0.63900000000000001</v>
      </c>
      <c r="S45" s="54">
        <v>0.71099999999999997</v>
      </c>
      <c r="T45" s="54">
        <v>534.79999999999995</v>
      </c>
      <c r="U45" s="54">
        <v>53.02</v>
      </c>
      <c r="V45" s="54">
        <v>-0.94</v>
      </c>
      <c r="W45" s="54"/>
      <c r="X45" s="54">
        <v>4</v>
      </c>
      <c r="Y45" s="58">
        <v>1.3625</v>
      </c>
      <c r="Z45" s="58">
        <v>0.43990000000000001</v>
      </c>
      <c r="AA45" s="58">
        <v>6.3399999999999998E-2</v>
      </c>
      <c r="AB45" s="54">
        <v>2.5</v>
      </c>
      <c r="AC45" s="54">
        <v>3.9</v>
      </c>
      <c r="AD45" s="54"/>
      <c r="AE45" s="54"/>
      <c r="AF45" s="54">
        <f t="shared" si="0"/>
        <v>0.87557301899148654</v>
      </c>
      <c r="AG45" s="123"/>
      <c r="AQ45" s="33">
        <f t="shared" si="4"/>
        <v>23.125775000000004</v>
      </c>
      <c r="AS45" s="27">
        <f t="shared" si="6"/>
        <v>644.43997999999988</v>
      </c>
      <c r="AT45" s="33">
        <f t="shared" si="7"/>
        <v>743.82903999999996</v>
      </c>
      <c r="BA45" s="33">
        <f t="shared" si="10"/>
        <v>14.467990000000002</v>
      </c>
    </row>
    <row r="46" spans="1:53" x14ac:dyDescent="0.2">
      <c r="A46" s="55"/>
      <c r="B46" s="58">
        <v>5</v>
      </c>
      <c r="C46" s="58">
        <v>11.775</v>
      </c>
      <c r="D46" s="58">
        <v>6.3479999999999999</v>
      </c>
      <c r="E46" s="58">
        <v>1.6792</v>
      </c>
      <c r="F46" s="58">
        <v>1.1737</v>
      </c>
      <c r="G46" s="58">
        <v>0.54800000000000004</v>
      </c>
      <c r="H46" s="54">
        <v>1.085</v>
      </c>
      <c r="I46" s="58">
        <v>625.20000000000005</v>
      </c>
      <c r="J46" s="58">
        <v>60.63</v>
      </c>
      <c r="K46" s="54">
        <v>0.52</v>
      </c>
      <c r="L46" s="54"/>
      <c r="M46" s="58">
        <v>5</v>
      </c>
      <c r="N46" s="54">
        <v>11.78</v>
      </c>
      <c r="O46" s="54">
        <v>7.9779999999999998</v>
      </c>
      <c r="P46" s="54">
        <v>2.6831</v>
      </c>
      <c r="Q46" s="54">
        <v>1.3535999999999999</v>
      </c>
      <c r="R46" s="54">
        <v>0.65</v>
      </c>
      <c r="S46" s="54">
        <v>0.69199999999999995</v>
      </c>
      <c r="T46" s="54">
        <v>547</v>
      </c>
      <c r="U46" s="54">
        <v>50.65</v>
      </c>
      <c r="V46" s="54">
        <v>0.94</v>
      </c>
      <c r="W46" s="54"/>
      <c r="X46" s="54">
        <v>5</v>
      </c>
      <c r="Y46" s="58">
        <v>1.401</v>
      </c>
      <c r="Z46" s="58">
        <v>0.44779999999999998</v>
      </c>
      <c r="AA46" s="58">
        <v>6.0299999999999999E-2</v>
      </c>
      <c r="AB46" s="54">
        <v>2.7</v>
      </c>
      <c r="AC46" s="54">
        <v>3.9</v>
      </c>
      <c r="AD46" s="54"/>
      <c r="AE46" s="54"/>
      <c r="AF46" s="54">
        <f t="shared" si="0"/>
        <v>0.87492002559181059</v>
      </c>
      <c r="AG46" s="123"/>
      <c r="AQ46" s="33">
        <f t="shared" si="4"/>
        <v>23.208815000000001</v>
      </c>
      <c r="AS46" s="27">
        <f t="shared" si="6"/>
        <v>643.07022999999992</v>
      </c>
      <c r="AT46" s="33">
        <f t="shared" si="7"/>
        <v>741.63743999999997</v>
      </c>
      <c r="BA46" s="33">
        <f t="shared" si="10"/>
        <v>14.525080000000001</v>
      </c>
    </row>
    <row r="47" spans="1:53" x14ac:dyDescent="0.2">
      <c r="A47" s="55">
        <f>(N42+N53)/2</f>
        <v>11.209</v>
      </c>
      <c r="B47" s="58">
        <v>6</v>
      </c>
      <c r="C47" s="58">
        <v>11.356999999999999</v>
      </c>
      <c r="D47" s="58">
        <v>6.3150000000000004</v>
      </c>
      <c r="E47" s="58">
        <v>1.6848000000000001</v>
      </c>
      <c r="F47" s="58">
        <v>1.1735</v>
      </c>
      <c r="G47" s="58">
        <v>0.55800000000000005</v>
      </c>
      <c r="H47" s="54">
        <v>1.0620000000000001</v>
      </c>
      <c r="I47" s="58">
        <v>637.1</v>
      </c>
      <c r="J47" s="58">
        <v>59.25</v>
      </c>
      <c r="K47" s="54">
        <v>2.38</v>
      </c>
      <c r="L47" s="54"/>
      <c r="M47" s="58">
        <v>6</v>
      </c>
      <c r="N47" s="54">
        <v>11.417999999999999</v>
      </c>
      <c r="O47" s="54">
        <v>8.0289999999999999</v>
      </c>
      <c r="P47" s="54">
        <v>2.6926999999999999</v>
      </c>
      <c r="Q47" s="54">
        <v>1.3528</v>
      </c>
      <c r="R47" s="54">
        <v>0.66300000000000003</v>
      </c>
      <c r="S47" s="54">
        <v>0.67200000000000004</v>
      </c>
      <c r="T47" s="54">
        <v>560.1</v>
      </c>
      <c r="U47" s="54">
        <v>47.95</v>
      </c>
      <c r="V47" s="54">
        <v>2.78</v>
      </c>
      <c r="W47" s="54"/>
      <c r="X47" s="54">
        <v>6</v>
      </c>
      <c r="Y47" s="58">
        <v>1.4421999999999999</v>
      </c>
      <c r="Z47" s="58">
        <v>0.45619999999999999</v>
      </c>
      <c r="AA47" s="58">
        <v>5.9200000000000003E-2</v>
      </c>
      <c r="AB47" s="54">
        <v>2.9</v>
      </c>
      <c r="AC47" s="54">
        <v>3.91</v>
      </c>
      <c r="AD47" s="54"/>
      <c r="AE47" s="54"/>
      <c r="AF47" s="54">
        <f t="shared" si="0"/>
        <v>0.87913985245644322</v>
      </c>
      <c r="AG47" s="123"/>
      <c r="AQ47" s="33">
        <f t="shared" si="4"/>
        <v>23.291854999999998</v>
      </c>
      <c r="AS47" s="27">
        <f t="shared" si="6"/>
        <v>642.96064999999999</v>
      </c>
      <c r="AT47" s="33">
        <f t="shared" si="7"/>
        <v>741.19911999999999</v>
      </c>
      <c r="BA47" s="33">
        <f t="shared" si="10"/>
        <v>14.573520000000002</v>
      </c>
    </row>
    <row r="48" spans="1:53" x14ac:dyDescent="0.2">
      <c r="A48" s="55">
        <f>PI()*(N42^2-N53^2)</f>
        <v>268.75410319679963</v>
      </c>
      <c r="B48" s="58">
        <v>7</v>
      </c>
      <c r="C48" s="58">
        <v>10.928000000000001</v>
      </c>
      <c r="D48" s="58">
        <v>6.2809999999999997</v>
      </c>
      <c r="E48" s="58">
        <v>1.6903999999999999</v>
      </c>
      <c r="F48" s="58">
        <v>1.1745000000000001</v>
      </c>
      <c r="G48" s="58">
        <v>0.56699999999999995</v>
      </c>
      <c r="H48" s="54">
        <v>1.038</v>
      </c>
      <c r="I48" s="58">
        <v>647</v>
      </c>
      <c r="J48" s="58">
        <v>57.86</v>
      </c>
      <c r="K48" s="54">
        <v>4.38</v>
      </c>
      <c r="L48" s="54"/>
      <c r="M48" s="58">
        <v>7</v>
      </c>
      <c r="N48" s="54">
        <v>11.054</v>
      </c>
      <c r="O48" s="54">
        <v>8.0820000000000007</v>
      </c>
      <c r="P48" s="54">
        <v>2.7021999999999999</v>
      </c>
      <c r="Q48" s="54">
        <v>1.3533999999999999</v>
      </c>
      <c r="R48" s="54">
        <v>0.67800000000000005</v>
      </c>
      <c r="S48" s="54">
        <v>0.65500000000000003</v>
      </c>
      <c r="T48" s="54">
        <v>575.1</v>
      </c>
      <c r="U48" s="54">
        <v>44.93</v>
      </c>
      <c r="V48" s="54">
        <v>4.66</v>
      </c>
      <c r="W48" s="54"/>
      <c r="X48" s="54">
        <v>7</v>
      </c>
      <c r="Y48" s="58">
        <v>1.4874000000000001</v>
      </c>
      <c r="Z48" s="58">
        <v>0.46239999999999998</v>
      </c>
      <c r="AA48" s="58">
        <v>5.8099999999999999E-2</v>
      </c>
      <c r="AB48" s="54">
        <v>3.1</v>
      </c>
      <c r="AC48" s="54">
        <v>3.81</v>
      </c>
      <c r="AD48" s="54"/>
      <c r="AE48" s="54"/>
      <c r="AF48" s="54">
        <f t="shared" si="0"/>
        <v>0.88887171561051004</v>
      </c>
      <c r="AG48" s="123"/>
      <c r="AQ48" s="33">
        <f t="shared" si="4"/>
        <v>23.374030000000001</v>
      </c>
      <c r="AS48" s="27">
        <f t="shared" si="6"/>
        <v>643.50855000000001</v>
      </c>
      <c r="AT48" s="33">
        <f t="shared" si="7"/>
        <v>741.52785999999992</v>
      </c>
      <c r="BA48" s="33">
        <f t="shared" si="10"/>
        <v>14.62196</v>
      </c>
    </row>
    <row r="49" spans="1:53" x14ac:dyDescent="0.2">
      <c r="A49" s="55"/>
      <c r="B49" s="58">
        <v>8</v>
      </c>
      <c r="C49" s="58">
        <v>10.484</v>
      </c>
      <c r="D49" s="58">
        <v>6.2389999999999999</v>
      </c>
      <c r="E49" s="58">
        <v>1.6949000000000001</v>
      </c>
      <c r="F49" s="58">
        <v>1.1775</v>
      </c>
      <c r="G49" s="58">
        <v>0.57299999999999995</v>
      </c>
      <c r="H49" s="54">
        <v>1.0109999999999999</v>
      </c>
      <c r="I49" s="58">
        <v>654.4</v>
      </c>
      <c r="J49" s="58">
        <v>56.47</v>
      </c>
      <c r="K49" s="54">
        <v>6.54</v>
      </c>
      <c r="L49" s="54"/>
      <c r="M49" s="58">
        <v>8</v>
      </c>
      <c r="N49" s="54">
        <v>10.686</v>
      </c>
      <c r="O49" s="54">
        <v>8.1359999999999992</v>
      </c>
      <c r="P49" s="54">
        <v>2.7117</v>
      </c>
      <c r="Q49" s="54">
        <v>1.3571</v>
      </c>
      <c r="R49" s="54">
        <v>0.69499999999999995</v>
      </c>
      <c r="S49" s="54">
        <v>0.63700000000000001</v>
      </c>
      <c r="T49" s="54">
        <v>590.6</v>
      </c>
      <c r="U49" s="54">
        <v>41.5</v>
      </c>
      <c r="V49" s="54">
        <v>6.57</v>
      </c>
      <c r="W49" s="54"/>
      <c r="X49" s="54">
        <v>8</v>
      </c>
      <c r="Y49" s="58">
        <v>1.5370999999999999</v>
      </c>
      <c r="Z49" s="58">
        <v>0.46850000000000003</v>
      </c>
      <c r="AA49" s="58">
        <v>5.9400000000000001E-2</v>
      </c>
      <c r="AB49" s="54">
        <v>3.3</v>
      </c>
      <c r="AC49" s="54">
        <v>3.8</v>
      </c>
      <c r="AD49" s="54"/>
      <c r="AE49" s="54"/>
      <c r="AF49" s="54">
        <f t="shared" si="0"/>
        <v>0.90250611246943768</v>
      </c>
      <c r="AG49" s="123"/>
      <c r="AQ49" s="33">
        <f t="shared" si="4"/>
        <v>23.456205000000001</v>
      </c>
      <c r="AS49" s="27">
        <f t="shared" si="6"/>
        <v>645.15224999999998</v>
      </c>
      <c r="AT49" s="33">
        <f t="shared" si="7"/>
        <v>743.55508999999995</v>
      </c>
      <c r="BA49" s="33">
        <f t="shared" si="10"/>
        <v>14.660885</v>
      </c>
    </row>
    <row r="50" spans="1:53" x14ac:dyDescent="0.2">
      <c r="A50" s="55"/>
      <c r="B50" s="58">
        <v>9</v>
      </c>
      <c r="C50" s="58">
        <v>10.02</v>
      </c>
      <c r="D50" s="58">
        <v>6.1870000000000003</v>
      </c>
      <c r="E50" s="58">
        <v>1.6990000000000001</v>
      </c>
      <c r="F50" s="58">
        <v>1.1826000000000001</v>
      </c>
      <c r="G50" s="58">
        <v>0.57699999999999996</v>
      </c>
      <c r="H50" s="54">
        <v>0.98</v>
      </c>
      <c r="I50" s="58">
        <v>656.3</v>
      </c>
      <c r="J50" s="58">
        <v>55.13</v>
      </c>
      <c r="K50" s="54">
        <v>9.0399999999999991</v>
      </c>
      <c r="L50" s="54"/>
      <c r="M50" s="58">
        <v>9</v>
      </c>
      <c r="N50" s="54">
        <v>10.311</v>
      </c>
      <c r="O50" s="54">
        <v>8.1880000000000006</v>
      </c>
      <c r="P50" s="54">
        <v>2.7212999999999998</v>
      </c>
      <c r="Q50" s="54">
        <v>1.3632</v>
      </c>
      <c r="R50" s="54">
        <v>0.71399999999999997</v>
      </c>
      <c r="S50" s="54">
        <v>0.621</v>
      </c>
      <c r="T50" s="54">
        <v>606.5</v>
      </c>
      <c r="U50" s="54">
        <v>37.58</v>
      </c>
      <c r="V50" s="54">
        <v>8.48</v>
      </c>
      <c r="W50" s="54"/>
      <c r="X50" s="54">
        <v>9</v>
      </c>
      <c r="Y50" s="58">
        <v>1.5904</v>
      </c>
      <c r="Z50" s="58">
        <v>0.47260000000000002</v>
      </c>
      <c r="AA50" s="58">
        <v>6.2399999999999997E-2</v>
      </c>
      <c r="AB50" s="54">
        <v>3.5</v>
      </c>
      <c r="AC50" s="54">
        <v>4.01</v>
      </c>
      <c r="AD50" s="54"/>
      <c r="AE50" s="54"/>
      <c r="AF50" s="54">
        <f t="shared" si="0"/>
        <v>0.92412006704251115</v>
      </c>
      <c r="AG50" s="123"/>
      <c r="AQ50" s="33">
        <f t="shared" si="4"/>
        <v>23.539245000000001</v>
      </c>
      <c r="AS50" s="27">
        <f t="shared" si="6"/>
        <v>647.94654000000003</v>
      </c>
      <c r="AT50" s="33">
        <f t="shared" si="7"/>
        <v>746.89727999999991</v>
      </c>
      <c r="BA50" s="33">
        <f t="shared" si="10"/>
        <v>14.696350000000001</v>
      </c>
    </row>
    <row r="51" spans="1:53" x14ac:dyDescent="0.2">
      <c r="A51" s="55"/>
      <c r="B51" s="58">
        <v>10</v>
      </c>
      <c r="C51" s="58">
        <v>9.5269999999999992</v>
      </c>
      <c r="D51" s="58">
        <v>6.133</v>
      </c>
      <c r="E51" s="58">
        <v>1.6994</v>
      </c>
      <c r="F51" s="58">
        <v>1.1918</v>
      </c>
      <c r="G51" s="58">
        <v>0.57199999999999995</v>
      </c>
      <c r="H51" s="54">
        <v>0.93700000000000006</v>
      </c>
      <c r="I51" s="58">
        <v>647.6</v>
      </c>
      <c r="J51" s="58">
        <v>53.86</v>
      </c>
      <c r="K51" s="54">
        <v>11.76</v>
      </c>
      <c r="L51" s="54"/>
      <c r="M51" s="58">
        <v>10</v>
      </c>
      <c r="N51" s="54">
        <v>9.9269999999999996</v>
      </c>
      <c r="O51" s="54">
        <v>8.2420000000000009</v>
      </c>
      <c r="P51" s="54">
        <v>2.7307999999999999</v>
      </c>
      <c r="Q51" s="54">
        <v>1.3755999999999999</v>
      </c>
      <c r="R51" s="54">
        <v>0.73799999999999999</v>
      </c>
      <c r="S51" s="54">
        <v>0.59599999999999997</v>
      </c>
      <c r="T51" s="54">
        <v>615.5</v>
      </c>
      <c r="U51" s="54">
        <v>32.74</v>
      </c>
      <c r="V51" s="54">
        <v>10.49</v>
      </c>
      <c r="W51" s="54"/>
      <c r="X51" s="54">
        <v>10</v>
      </c>
      <c r="Y51" s="58">
        <v>1.6466000000000001</v>
      </c>
      <c r="Z51" s="58">
        <v>0.48159999999999997</v>
      </c>
      <c r="AA51" s="58">
        <v>6.9599999999999995E-2</v>
      </c>
      <c r="AB51" s="54">
        <v>3.7</v>
      </c>
      <c r="AC51" s="54">
        <v>4.42</v>
      </c>
      <c r="AD51" s="54"/>
      <c r="AE51" s="54"/>
      <c r="AF51" s="54">
        <f t="shared" si="0"/>
        <v>0.95043236565781342</v>
      </c>
      <c r="AG51" s="123"/>
      <c r="AQ51" s="33">
        <f t="shared" si="4"/>
        <v>23.621420000000001</v>
      </c>
      <c r="AS51" s="27">
        <f t="shared" si="6"/>
        <v>652.98721999999998</v>
      </c>
      <c r="AT51" s="33">
        <f t="shared" si="7"/>
        <v>753.69123999999988</v>
      </c>
      <c r="BA51" s="33">
        <f t="shared" si="10"/>
        <v>14.699810000000001</v>
      </c>
    </row>
    <row r="52" spans="1:53" x14ac:dyDescent="0.2">
      <c r="A52" s="55"/>
      <c r="B52" s="58">
        <v>11</v>
      </c>
      <c r="C52" s="58">
        <v>8.9909999999999997</v>
      </c>
      <c r="D52" s="58">
        <v>6.1</v>
      </c>
      <c r="E52" s="58">
        <v>1.6914</v>
      </c>
      <c r="F52" s="58">
        <v>1.2074</v>
      </c>
      <c r="G52" s="58">
        <v>0.55600000000000005</v>
      </c>
      <c r="H52" s="54">
        <v>0.872</v>
      </c>
      <c r="I52" s="58">
        <v>625</v>
      </c>
      <c r="J52" s="58">
        <v>52.48</v>
      </c>
      <c r="K52" s="54">
        <v>14.21</v>
      </c>
      <c r="L52" s="54"/>
      <c r="M52" s="58">
        <v>11</v>
      </c>
      <c r="N52" s="54">
        <v>9.5190000000000001</v>
      </c>
      <c r="O52" s="54">
        <v>8.3019999999999996</v>
      </c>
      <c r="P52" s="54">
        <v>2.7403</v>
      </c>
      <c r="Q52" s="54">
        <v>1.3975</v>
      </c>
      <c r="R52" s="54">
        <v>0.76800000000000002</v>
      </c>
      <c r="S52" s="54">
        <v>0.55600000000000005</v>
      </c>
      <c r="T52" s="54">
        <v>610.79999999999995</v>
      </c>
      <c r="U52" s="54">
        <v>25.92</v>
      </c>
      <c r="V52" s="54">
        <v>12.92</v>
      </c>
      <c r="W52" s="54"/>
      <c r="X52" s="54">
        <v>11</v>
      </c>
      <c r="Y52" s="58">
        <v>1.7068000000000001</v>
      </c>
      <c r="Z52" s="58">
        <v>0.50109999999999999</v>
      </c>
      <c r="AA52" s="58">
        <v>8.3199999999999996E-2</v>
      </c>
      <c r="AB52" s="54">
        <v>3.9</v>
      </c>
      <c r="AC52" s="54">
        <v>5.56</v>
      </c>
      <c r="AD52" s="54"/>
      <c r="AE52" s="54"/>
      <c r="AF52" s="54">
        <f t="shared" si="0"/>
        <v>0.97727999999999993</v>
      </c>
      <c r="AG52" s="123"/>
      <c r="AQ52" s="33">
        <f t="shared" si="4"/>
        <v>23.703595</v>
      </c>
      <c r="AS52" s="27">
        <f t="shared" si="6"/>
        <v>661.53445999999997</v>
      </c>
      <c r="AT52" s="33">
        <f t="shared" si="7"/>
        <v>765.69024999999999</v>
      </c>
      <c r="BA52" s="33">
        <f t="shared" si="10"/>
        <v>14.630610000000001</v>
      </c>
    </row>
    <row r="53" spans="1:53" x14ac:dyDescent="0.2">
      <c r="A53" s="55"/>
      <c r="B53" s="58">
        <v>12</v>
      </c>
      <c r="C53" s="58">
        <v>8.7010000000000005</v>
      </c>
      <c r="D53" s="58">
        <v>6.0880000000000001</v>
      </c>
      <c r="E53" s="58">
        <v>1.6841999999999999</v>
      </c>
      <c r="F53" s="58">
        <v>1.2190000000000001</v>
      </c>
      <c r="G53" s="58">
        <v>0.54600000000000004</v>
      </c>
      <c r="H53" s="54">
        <v>0.83</v>
      </c>
      <c r="I53" s="58">
        <v>610.4</v>
      </c>
      <c r="J53" s="58">
        <v>51.52</v>
      </c>
      <c r="K53" s="54">
        <v>14.96</v>
      </c>
      <c r="L53" s="54"/>
      <c r="M53" s="58">
        <v>12</v>
      </c>
      <c r="N53" s="54">
        <v>9.3010000000000002</v>
      </c>
      <c r="O53" s="54">
        <v>8.3339999999999996</v>
      </c>
      <c r="P53" s="54">
        <v>2.7450999999999999</v>
      </c>
      <c r="Q53" s="54">
        <v>1.4135</v>
      </c>
      <c r="R53" s="54">
        <v>0.78500000000000003</v>
      </c>
      <c r="S53" s="54">
        <v>0.52600000000000002</v>
      </c>
      <c r="T53" s="54">
        <v>595</v>
      </c>
      <c r="U53" s="54">
        <v>21.37</v>
      </c>
      <c r="V53" s="54">
        <v>14.96</v>
      </c>
      <c r="W53" s="54"/>
      <c r="X53" s="54">
        <v>12</v>
      </c>
      <c r="Y53" s="58">
        <v>1.7363999999999999</v>
      </c>
      <c r="Z53" s="58">
        <v>0.52039999999999997</v>
      </c>
      <c r="AA53" s="58">
        <v>9.1999999999999998E-2</v>
      </c>
      <c r="AB53" s="54">
        <v>4</v>
      </c>
      <c r="AC53" s="54">
        <v>7.21</v>
      </c>
      <c r="AD53" s="54"/>
      <c r="AE53" s="54"/>
      <c r="AF53" s="54">
        <f t="shared" si="0"/>
        <v>0.97477064220183485</v>
      </c>
      <c r="AG53" s="123"/>
      <c r="AQ53" s="33">
        <f t="shared" si="4"/>
        <v>23.745114999999998</v>
      </c>
      <c r="AS53" s="27">
        <f t="shared" si="6"/>
        <v>667.89009999999996</v>
      </c>
      <c r="AT53" s="33">
        <f t="shared" si="7"/>
        <v>774.45664999999997</v>
      </c>
      <c r="BA53" s="33">
        <f t="shared" si="10"/>
        <v>14.56833</v>
      </c>
    </row>
    <row r="54" spans="1:53" x14ac:dyDescent="0.2">
      <c r="A54" s="43" t="s">
        <v>116</v>
      </c>
      <c r="B54" s="58"/>
      <c r="C54" s="58"/>
      <c r="D54" s="58"/>
      <c r="E54" s="58"/>
      <c r="F54" s="58"/>
      <c r="G54" s="58"/>
      <c r="H54" s="54"/>
      <c r="I54" s="58"/>
      <c r="J54" s="58"/>
      <c r="K54" s="54"/>
      <c r="L54" s="54"/>
      <c r="M54" s="58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8"/>
      <c r="Z54" s="58"/>
      <c r="AA54" s="58"/>
      <c r="AB54" s="54"/>
      <c r="AC54" s="54"/>
      <c r="AD54" s="54"/>
      <c r="AE54" s="54"/>
      <c r="AF54" s="54" t="e">
        <f t="shared" si="0"/>
        <v>#DIV/0!</v>
      </c>
      <c r="AG54" s="57"/>
    </row>
    <row r="55" spans="1:53" x14ac:dyDescent="0.2">
      <c r="A55" s="55"/>
      <c r="B55" s="58">
        <v>1</v>
      </c>
      <c r="C55" s="59">
        <v>13.0594</v>
      </c>
      <c r="D55" s="59">
        <v>8.6509999999999998</v>
      </c>
      <c r="E55" s="58">
        <v>2.6497999999999999</v>
      </c>
      <c r="F55" s="58">
        <v>1.4273</v>
      </c>
      <c r="G55" s="58">
        <v>0.624</v>
      </c>
      <c r="H55" s="54">
        <v>0</v>
      </c>
      <c r="I55" s="61">
        <v>421.2</v>
      </c>
      <c r="J55" s="58">
        <v>58.25</v>
      </c>
      <c r="K55" s="54">
        <v>-3.77</v>
      </c>
      <c r="L55" s="54"/>
      <c r="M55" s="58">
        <v>1</v>
      </c>
      <c r="N55" s="60">
        <v>12.981</v>
      </c>
      <c r="O55" s="60">
        <v>9.8460000000000001</v>
      </c>
      <c r="P55" s="54">
        <v>2.5966999999999998</v>
      </c>
      <c r="Q55" s="54">
        <v>1.4273</v>
      </c>
      <c r="R55" s="54">
        <v>0.42499999999999999</v>
      </c>
      <c r="S55" s="54"/>
      <c r="T55" s="62">
        <v>489.8</v>
      </c>
      <c r="U55" s="54">
        <v>28</v>
      </c>
      <c r="V55" s="54">
        <v>-3.77</v>
      </c>
      <c r="W55" s="54"/>
      <c r="X55" s="54">
        <v>1</v>
      </c>
      <c r="Y55" s="58">
        <v>1.246</v>
      </c>
      <c r="Z55" s="58">
        <v>0.51819999999999999</v>
      </c>
      <c r="AA55" s="58">
        <v>8.6999999999999994E-2</v>
      </c>
      <c r="AB55" s="54">
        <v>-1.94</v>
      </c>
      <c r="AC55" s="54">
        <v>10.38</v>
      </c>
      <c r="AD55" s="54"/>
      <c r="AE55" s="54"/>
      <c r="AF55" s="54">
        <f t="shared" si="0"/>
        <v>1.1628679962013295</v>
      </c>
      <c r="AG55" s="122">
        <v>68</v>
      </c>
      <c r="AQ55" s="33">
        <f t="shared" si="4"/>
        <v>22.461455000000001</v>
      </c>
      <c r="AS55" s="27">
        <f t="shared" si="6"/>
        <v>782.01766999999995</v>
      </c>
      <c r="AT55" s="33">
        <f t="shared" si="7"/>
        <v>782.01766999999995</v>
      </c>
      <c r="BA55" s="33">
        <f t="shared" si="10"/>
        <v>22.920770000000001</v>
      </c>
    </row>
    <row r="56" spans="1:53" x14ac:dyDescent="0.2">
      <c r="A56" s="55"/>
      <c r="B56" s="58">
        <v>2</v>
      </c>
      <c r="C56" s="59">
        <v>12.755000000000001</v>
      </c>
      <c r="D56" s="59">
        <v>8.6199999999999992</v>
      </c>
      <c r="E56" s="58">
        <v>2.6568999999999998</v>
      </c>
      <c r="F56" s="58">
        <v>1.3895</v>
      </c>
      <c r="G56" s="58">
        <v>0.63700000000000001</v>
      </c>
      <c r="H56" s="54">
        <v>0</v>
      </c>
      <c r="I56" s="61">
        <v>502.3</v>
      </c>
      <c r="J56" s="58">
        <v>51.41</v>
      </c>
      <c r="K56" s="54">
        <v>-1.88</v>
      </c>
      <c r="L56" s="54"/>
      <c r="M56" s="58">
        <v>2</v>
      </c>
      <c r="N56" s="60">
        <v>12.721</v>
      </c>
      <c r="O56" s="60">
        <v>9.8759999999999994</v>
      </c>
      <c r="P56" s="54">
        <v>2.6089000000000002</v>
      </c>
      <c r="Q56" s="54">
        <v>1.3895</v>
      </c>
      <c r="R56" s="54">
        <v>0.437</v>
      </c>
      <c r="S56" s="54"/>
      <c r="T56" s="62">
        <v>525.5</v>
      </c>
      <c r="U56" s="54">
        <v>21.3</v>
      </c>
      <c r="V56" s="54">
        <v>-2.2999999999999998</v>
      </c>
      <c r="W56" s="54"/>
      <c r="X56" s="54">
        <v>2</v>
      </c>
      <c r="Y56" s="58">
        <v>1.246</v>
      </c>
      <c r="Z56" s="58">
        <v>0.51139999999999997</v>
      </c>
      <c r="AA56" s="58">
        <v>7.5800000000000006E-2</v>
      </c>
      <c r="AB56" s="54">
        <v>-1.1200000000000001</v>
      </c>
      <c r="AC56" s="54">
        <v>8.17</v>
      </c>
      <c r="AD56" s="54"/>
      <c r="AE56" s="54"/>
      <c r="AF56" s="54">
        <f t="shared" si="0"/>
        <v>1.0461875373282898</v>
      </c>
      <c r="AG56" s="123"/>
      <c r="AQ56" s="33">
        <f t="shared" si="4"/>
        <v>22.566985000000003</v>
      </c>
      <c r="AS56" s="27">
        <f t="shared" si="6"/>
        <v>761.30704999999989</v>
      </c>
      <c r="AT56" s="33">
        <f t="shared" si="7"/>
        <v>761.30704999999989</v>
      </c>
      <c r="BA56" s="33">
        <f t="shared" si="10"/>
        <v>22.982184999999998</v>
      </c>
    </row>
    <row r="57" spans="1:53" x14ac:dyDescent="0.2">
      <c r="A57" s="55"/>
      <c r="B57" s="58">
        <v>3</v>
      </c>
      <c r="C57" s="59">
        <v>12.483000000000001</v>
      </c>
      <c r="D57" s="59">
        <v>8.6137795275590552</v>
      </c>
      <c r="E57" s="58">
        <v>2.6640999999999999</v>
      </c>
      <c r="F57" s="58">
        <v>1.3689</v>
      </c>
      <c r="G57" s="58">
        <v>0.64700000000000002</v>
      </c>
      <c r="H57" s="54">
        <v>0</v>
      </c>
      <c r="I57" s="61">
        <v>543.6</v>
      </c>
      <c r="J57" s="58">
        <v>47.93</v>
      </c>
      <c r="K57" s="54">
        <v>-0.72</v>
      </c>
      <c r="L57" s="54"/>
      <c r="M57" s="58">
        <v>3</v>
      </c>
      <c r="N57" s="60">
        <v>12.477</v>
      </c>
      <c r="O57" s="60">
        <v>9.8810000000000002</v>
      </c>
      <c r="P57" s="54">
        <v>2.6208999999999998</v>
      </c>
      <c r="Q57" s="54">
        <v>1.3689</v>
      </c>
      <c r="R57" s="54">
        <v>0.45</v>
      </c>
      <c r="S57" s="54"/>
      <c r="T57" s="62">
        <v>547.9</v>
      </c>
      <c r="U57" s="54">
        <v>17.88</v>
      </c>
      <c r="V57" s="54">
        <v>-1.2</v>
      </c>
      <c r="W57" s="54"/>
      <c r="X57" s="54">
        <v>3</v>
      </c>
      <c r="Y57" s="58">
        <v>1.246</v>
      </c>
      <c r="Z57" s="58">
        <v>0.50080000000000002</v>
      </c>
      <c r="AA57" s="58">
        <v>6.5100000000000005E-2</v>
      </c>
      <c r="AB57" s="54">
        <v>-0.3</v>
      </c>
      <c r="AC57" s="54">
        <v>6.42</v>
      </c>
      <c r="AD57" s="54"/>
      <c r="AE57" s="54"/>
      <c r="AF57" s="54">
        <f t="shared" si="0"/>
        <v>1.0079102281089036</v>
      </c>
      <c r="AG57" s="123"/>
      <c r="AQ57" s="33">
        <f t="shared" si="4"/>
        <v>22.670784999999999</v>
      </c>
      <c r="AS57" s="27">
        <f t="shared" si="6"/>
        <v>750.02030999999999</v>
      </c>
      <c r="AT57" s="33">
        <f t="shared" si="7"/>
        <v>750.02030999999999</v>
      </c>
      <c r="BA57" s="33">
        <f t="shared" si="10"/>
        <v>23.044464999999999</v>
      </c>
    </row>
    <row r="58" spans="1:53" x14ac:dyDescent="0.2">
      <c r="A58" s="55"/>
      <c r="B58" s="58">
        <v>4</v>
      </c>
      <c r="C58" s="59">
        <v>12.138999999999999</v>
      </c>
      <c r="D58" s="59">
        <v>8.6259999999999994</v>
      </c>
      <c r="E58" s="58">
        <v>2.6776</v>
      </c>
      <c r="F58" s="58">
        <v>1.3577999999999999</v>
      </c>
      <c r="G58" s="58">
        <v>0.65900000000000003</v>
      </c>
      <c r="H58" s="54">
        <v>0</v>
      </c>
      <c r="I58" s="61">
        <v>570.52008860613319</v>
      </c>
      <c r="J58" s="58">
        <v>46.06</v>
      </c>
      <c r="K58" s="54">
        <v>0.65</v>
      </c>
      <c r="L58" s="54"/>
      <c r="M58" s="58">
        <v>4</v>
      </c>
      <c r="N58" s="60">
        <v>12.16</v>
      </c>
      <c r="O58" s="60">
        <v>9.875</v>
      </c>
      <c r="P58" s="54">
        <v>2.6341000000000001</v>
      </c>
      <c r="Q58" s="54">
        <v>1.3575999999999999</v>
      </c>
      <c r="R58" s="54">
        <v>0.46400000000000002</v>
      </c>
      <c r="S58" s="54"/>
      <c r="T58" s="62">
        <v>567.20000000000005</v>
      </c>
      <c r="U58" s="54">
        <v>16.23</v>
      </c>
      <c r="V58" s="54">
        <v>0.13</v>
      </c>
      <c r="W58" s="54"/>
      <c r="X58" s="54">
        <v>4</v>
      </c>
      <c r="Y58" s="58">
        <v>1.2459</v>
      </c>
      <c r="Z58" s="58">
        <v>0.48959999999999998</v>
      </c>
      <c r="AA58" s="58">
        <v>5.8400000000000001E-2</v>
      </c>
      <c r="AB58" s="54">
        <v>0.04</v>
      </c>
      <c r="AC58" s="54">
        <v>5.03</v>
      </c>
      <c r="AD58" s="54"/>
      <c r="AE58" s="54"/>
      <c r="AF58" s="54">
        <f t="shared" si="0"/>
        <v>0.99418059298447381</v>
      </c>
      <c r="AG58" s="123"/>
      <c r="AQ58" s="33">
        <f t="shared" si="4"/>
        <v>22.784965000000003</v>
      </c>
      <c r="AS58" s="27">
        <f t="shared" si="6"/>
        <v>743.9386199999999</v>
      </c>
      <c r="AT58" s="33">
        <f t="shared" si="7"/>
        <v>743.82903999999996</v>
      </c>
      <c r="BA58" s="33">
        <f t="shared" si="10"/>
        <v>23.161239999999999</v>
      </c>
    </row>
    <row r="59" spans="1:53" x14ac:dyDescent="0.2">
      <c r="A59" s="55"/>
      <c r="B59" s="58">
        <v>5</v>
      </c>
      <c r="C59" s="59">
        <v>11.797000000000001</v>
      </c>
      <c r="D59" s="59">
        <v>8.6449999999999996</v>
      </c>
      <c r="E59" s="58">
        <v>2.6831</v>
      </c>
      <c r="F59" s="58">
        <v>1.3534999999999999</v>
      </c>
      <c r="G59" s="58">
        <v>0.67200000000000004</v>
      </c>
      <c r="H59" s="54">
        <v>0</v>
      </c>
      <c r="I59" s="61">
        <v>584.6</v>
      </c>
      <c r="J59" s="58">
        <v>45.56</v>
      </c>
      <c r="K59" s="54">
        <v>2.04</v>
      </c>
      <c r="L59" s="54"/>
      <c r="M59" s="58">
        <v>5</v>
      </c>
      <c r="N59" s="60">
        <v>11.846</v>
      </c>
      <c r="O59" s="60">
        <v>9.8650000000000002</v>
      </c>
      <c r="P59" s="54">
        <v>2.6436999999999999</v>
      </c>
      <c r="Q59" s="54">
        <v>1.3534999999999999</v>
      </c>
      <c r="R59" s="54">
        <v>0.47499999999999998</v>
      </c>
      <c r="S59" s="54"/>
      <c r="T59" s="62">
        <v>580.20000000000005</v>
      </c>
      <c r="U59" s="54">
        <v>15.87</v>
      </c>
      <c r="V59" s="54">
        <v>1.49</v>
      </c>
      <c r="W59" s="54"/>
      <c r="X59" s="54">
        <v>5</v>
      </c>
      <c r="Y59" s="58">
        <v>1.2458</v>
      </c>
      <c r="Z59" s="58">
        <v>0.48409999999999997</v>
      </c>
      <c r="AA59" s="58">
        <v>5.6399999999999999E-2</v>
      </c>
      <c r="AB59" s="54">
        <v>0.46</v>
      </c>
      <c r="AC59" s="54">
        <v>4.55</v>
      </c>
      <c r="AD59" s="54"/>
      <c r="AE59" s="54"/>
      <c r="AF59" s="54">
        <f t="shared" si="0"/>
        <v>0.99247348614437225</v>
      </c>
      <c r="AG59" s="123"/>
      <c r="AQ59" s="33">
        <f t="shared" si="4"/>
        <v>22.868005</v>
      </c>
      <c r="AS59" s="27">
        <f t="shared" si="6"/>
        <v>741.58264999999994</v>
      </c>
      <c r="AT59" s="33">
        <f t="shared" si="7"/>
        <v>741.58264999999994</v>
      </c>
      <c r="BA59" s="33">
        <f t="shared" si="10"/>
        <v>23.208815000000001</v>
      </c>
    </row>
    <row r="60" spans="1:53" x14ac:dyDescent="0.2">
      <c r="A60" s="55">
        <f>(N55+N66)/2</f>
        <v>11.320499999999999</v>
      </c>
      <c r="B60" s="58">
        <v>6</v>
      </c>
      <c r="C60" s="59">
        <v>11.454000000000001</v>
      </c>
      <c r="D60" s="59">
        <v>8.6639999999999997</v>
      </c>
      <c r="E60" s="58">
        <v>2.6926999999999999</v>
      </c>
      <c r="F60" s="58">
        <v>1.3527</v>
      </c>
      <c r="G60" s="58">
        <v>0.68500000000000005</v>
      </c>
      <c r="H60" s="54">
        <v>0</v>
      </c>
      <c r="I60" s="61">
        <v>598.20000000000005</v>
      </c>
      <c r="J60" s="58">
        <v>45.23</v>
      </c>
      <c r="K60" s="54">
        <v>3.52</v>
      </c>
      <c r="L60" s="54"/>
      <c r="M60" s="58">
        <v>6</v>
      </c>
      <c r="N60" s="60">
        <v>11.53</v>
      </c>
      <c r="O60" s="60">
        <v>9.8550000000000004</v>
      </c>
      <c r="P60" s="54">
        <v>2.6524000000000001</v>
      </c>
      <c r="Q60" s="54">
        <v>1.3527</v>
      </c>
      <c r="R60" s="54">
        <v>0.48499999999999999</v>
      </c>
      <c r="S60" s="54"/>
      <c r="T60" s="62">
        <v>591.20000000000005</v>
      </c>
      <c r="U60" s="54">
        <v>15.79</v>
      </c>
      <c r="V60" s="54">
        <v>2.91</v>
      </c>
      <c r="W60" s="54"/>
      <c r="X60" s="54">
        <v>6</v>
      </c>
      <c r="Y60" s="58">
        <v>1.2497</v>
      </c>
      <c r="Z60" s="58">
        <v>0.47989999999999999</v>
      </c>
      <c r="AA60" s="58">
        <v>5.5500000000000001E-2</v>
      </c>
      <c r="AB60" s="54">
        <v>0.56000000000000005</v>
      </c>
      <c r="AC60" s="54">
        <v>4.3099999999999996</v>
      </c>
      <c r="AD60" s="54"/>
      <c r="AE60" s="54"/>
      <c r="AF60" s="54">
        <f t="shared" si="0"/>
        <v>0.98829822801738554</v>
      </c>
      <c r="AG60" s="123"/>
      <c r="AQ60" s="33">
        <f t="shared" si="4"/>
        <v>22.943260000000002</v>
      </c>
      <c r="AS60" s="27">
        <f t="shared" si="6"/>
        <v>741.14432999999997</v>
      </c>
      <c r="AT60" s="33">
        <f t="shared" si="7"/>
        <v>741.14432999999997</v>
      </c>
      <c r="BA60" s="33">
        <f t="shared" si="10"/>
        <v>23.291854999999998</v>
      </c>
    </row>
    <row r="61" spans="1:53" x14ac:dyDescent="0.2">
      <c r="A61" s="55">
        <f>PI()*(N55^2-N66^2)</f>
        <v>236.2187423754259</v>
      </c>
      <c r="B61" s="58">
        <v>7</v>
      </c>
      <c r="C61" s="59">
        <v>11.106999999999999</v>
      </c>
      <c r="D61" s="59">
        <v>8.6809999999999992</v>
      </c>
      <c r="E61" s="58">
        <v>2.7021999999999999</v>
      </c>
      <c r="F61" s="58">
        <v>1.3533999999999999</v>
      </c>
      <c r="G61" s="58">
        <v>0.69899999999999995</v>
      </c>
      <c r="H61" s="54">
        <v>0</v>
      </c>
      <c r="I61" s="61">
        <v>612</v>
      </c>
      <c r="J61" s="58">
        <v>44.94</v>
      </c>
      <c r="K61" s="54">
        <v>5.05</v>
      </c>
      <c r="L61" s="54"/>
      <c r="M61" s="58">
        <v>7</v>
      </c>
      <c r="N61" s="60">
        <v>11.21</v>
      </c>
      <c r="O61" s="60">
        <v>9.8520000000000003</v>
      </c>
      <c r="P61" s="54">
        <v>2.6606999999999998</v>
      </c>
      <c r="Q61" s="54">
        <v>1.3533999999999999</v>
      </c>
      <c r="R61" s="54">
        <v>0.495</v>
      </c>
      <c r="S61" s="54"/>
      <c r="T61" s="62">
        <v>601.79999999999995</v>
      </c>
      <c r="U61" s="54">
        <v>15.79</v>
      </c>
      <c r="V61" s="54">
        <v>4.3600000000000003</v>
      </c>
      <c r="W61" s="54"/>
      <c r="X61" s="54">
        <v>7</v>
      </c>
      <c r="Y61" s="58">
        <v>1.2665</v>
      </c>
      <c r="Z61" s="58">
        <v>0.4753</v>
      </c>
      <c r="AA61" s="58">
        <v>5.5199999999999999E-2</v>
      </c>
      <c r="AB61" s="54">
        <v>0.47</v>
      </c>
      <c r="AC61" s="54">
        <v>4.2</v>
      </c>
      <c r="AD61" s="54"/>
      <c r="AE61" s="54"/>
      <c r="AF61" s="54">
        <f t="shared" si="0"/>
        <v>0.98333333333333328</v>
      </c>
      <c r="AG61" s="123"/>
      <c r="AQ61" s="33">
        <f t="shared" si="4"/>
        <v>23.015055</v>
      </c>
      <c r="AS61" s="27">
        <f t="shared" si="6"/>
        <v>741.52785999999992</v>
      </c>
      <c r="AT61" s="33">
        <f t="shared" si="7"/>
        <v>741.52785999999992</v>
      </c>
      <c r="BA61" s="33">
        <f t="shared" si="10"/>
        <v>23.374030000000001</v>
      </c>
    </row>
    <row r="62" spans="1:53" x14ac:dyDescent="0.2">
      <c r="A62" s="55"/>
      <c r="B62" s="58">
        <v>8</v>
      </c>
      <c r="C62" s="59">
        <v>10.754</v>
      </c>
      <c r="D62" s="59">
        <v>8.6950000000000003</v>
      </c>
      <c r="E62" s="58">
        <v>2.7117</v>
      </c>
      <c r="F62" s="58">
        <v>1.3571</v>
      </c>
      <c r="G62" s="58">
        <v>0.71399999999999997</v>
      </c>
      <c r="H62" s="54">
        <v>0</v>
      </c>
      <c r="I62" s="61">
        <v>625.6</v>
      </c>
      <c r="J62" s="58">
        <v>44.82</v>
      </c>
      <c r="K62" s="54">
        <v>6.65</v>
      </c>
      <c r="L62" s="54"/>
      <c r="M62" s="58">
        <v>8</v>
      </c>
      <c r="N62" s="60">
        <v>10.887</v>
      </c>
      <c r="O62" s="60">
        <v>9.8569999999999993</v>
      </c>
      <c r="P62" s="54">
        <v>2.6678999999999999</v>
      </c>
      <c r="Q62" s="54">
        <v>1.3571</v>
      </c>
      <c r="R62" s="54">
        <v>0.504</v>
      </c>
      <c r="S62" s="54"/>
      <c r="T62" s="62">
        <v>611.70000000000005</v>
      </c>
      <c r="U62" s="54">
        <v>15.78</v>
      </c>
      <c r="V62" s="54">
        <v>5.83</v>
      </c>
      <c r="W62" s="54"/>
      <c r="X62" s="54">
        <v>8</v>
      </c>
      <c r="Y62" s="58">
        <v>1.2997000000000001</v>
      </c>
      <c r="Z62" s="58">
        <v>0.47120000000000001</v>
      </c>
      <c r="AA62" s="58">
        <v>5.6099999999999997E-2</v>
      </c>
      <c r="AB62" s="54">
        <v>0.5</v>
      </c>
      <c r="AC62" s="54">
        <v>3.77</v>
      </c>
      <c r="AD62" s="54"/>
      <c r="AE62" s="54"/>
      <c r="AF62" s="54">
        <f t="shared" si="0"/>
        <v>0.97778132992327371</v>
      </c>
      <c r="AG62" s="123"/>
      <c r="AQ62" s="33">
        <f t="shared" si="4"/>
        <v>23.077335000000001</v>
      </c>
      <c r="AS62" s="27">
        <f t="shared" si="6"/>
        <v>743.55508999999995</v>
      </c>
      <c r="AT62" s="33">
        <f t="shared" si="7"/>
        <v>743.55508999999995</v>
      </c>
      <c r="BA62" s="33">
        <f t="shared" si="10"/>
        <v>23.456205000000001</v>
      </c>
    </row>
    <row r="63" spans="1:53" x14ac:dyDescent="0.2">
      <c r="A63" s="55"/>
      <c r="B63" s="58">
        <v>9</v>
      </c>
      <c r="C63" s="59">
        <v>10.393000000000001</v>
      </c>
      <c r="D63" s="59">
        <v>8.7089999999999996</v>
      </c>
      <c r="E63" s="58">
        <v>2.7212999999999998</v>
      </c>
      <c r="F63" s="58">
        <v>1.3631</v>
      </c>
      <c r="G63" s="58">
        <v>0.73099999999999998</v>
      </c>
      <c r="H63" s="54">
        <v>0</v>
      </c>
      <c r="I63" s="61">
        <v>638.20000000000005</v>
      </c>
      <c r="J63" s="58">
        <v>44.91</v>
      </c>
      <c r="K63" s="54">
        <v>8.32</v>
      </c>
      <c r="L63" s="54"/>
      <c r="M63" s="58">
        <v>9</v>
      </c>
      <c r="N63" s="60">
        <v>10.557</v>
      </c>
      <c r="O63" s="60">
        <v>9.8670000000000009</v>
      </c>
      <c r="P63" s="54">
        <v>2.6741999999999999</v>
      </c>
      <c r="Q63" s="54">
        <v>1.3631</v>
      </c>
      <c r="R63" s="54">
        <v>0.51200000000000001</v>
      </c>
      <c r="S63" s="54"/>
      <c r="T63" s="62">
        <v>620.4</v>
      </c>
      <c r="U63" s="54">
        <v>16.04</v>
      </c>
      <c r="V63" s="54">
        <v>7.32</v>
      </c>
      <c r="W63" s="54"/>
      <c r="X63" s="54">
        <v>9</v>
      </c>
      <c r="Y63" s="58">
        <v>1.3431</v>
      </c>
      <c r="Z63" s="58">
        <v>0.46760000000000002</v>
      </c>
      <c r="AA63" s="58">
        <v>5.7799999999999997E-2</v>
      </c>
      <c r="AB63" s="54">
        <v>0.43</v>
      </c>
      <c r="AC63" s="54">
        <v>4.21</v>
      </c>
      <c r="AD63" s="54"/>
      <c r="AE63" s="54"/>
      <c r="AF63" s="54">
        <f t="shared" si="0"/>
        <v>0.97210905672203063</v>
      </c>
      <c r="AG63" s="123"/>
      <c r="AQ63" s="33">
        <f t="shared" si="4"/>
        <v>23.131830000000001</v>
      </c>
      <c r="AS63" s="27">
        <f t="shared" si="6"/>
        <v>746.84249</v>
      </c>
      <c r="AT63" s="33">
        <f t="shared" si="7"/>
        <v>746.84249</v>
      </c>
      <c r="BA63" s="33">
        <f t="shared" si="10"/>
        <v>23.539245000000001</v>
      </c>
    </row>
    <row r="64" spans="1:53" x14ac:dyDescent="0.2">
      <c r="A64" s="55"/>
      <c r="B64" s="58">
        <v>10</v>
      </c>
      <c r="C64" s="59">
        <v>10.02</v>
      </c>
      <c r="D64" s="59">
        <v>8.7309999999999999</v>
      </c>
      <c r="E64" s="58">
        <v>2.7307999999999999</v>
      </c>
      <c r="F64" s="58">
        <v>1.3755999999999999</v>
      </c>
      <c r="G64" s="58">
        <v>0.751</v>
      </c>
      <c r="H64" s="54">
        <v>0</v>
      </c>
      <c r="I64" s="61">
        <v>641.9</v>
      </c>
      <c r="J64" s="58">
        <v>46.02</v>
      </c>
      <c r="K64" s="54">
        <v>10.130000000000001</v>
      </c>
      <c r="L64" s="54"/>
      <c r="M64" s="58">
        <v>10</v>
      </c>
      <c r="N64" s="60">
        <v>10.217000000000001</v>
      </c>
      <c r="O64" s="60">
        <v>9.8719999999999999</v>
      </c>
      <c r="P64" s="54">
        <v>2.6747999999999998</v>
      </c>
      <c r="Q64" s="54">
        <v>1.3755999999999999</v>
      </c>
      <c r="R64" s="54">
        <v>0.51800000000000002</v>
      </c>
      <c r="S64" s="54"/>
      <c r="T64" s="62">
        <v>623.29999999999995</v>
      </c>
      <c r="U64" s="54">
        <v>17.420000000000002</v>
      </c>
      <c r="V64" s="54">
        <v>8.9</v>
      </c>
      <c r="W64" s="54"/>
      <c r="X64" s="54">
        <v>10</v>
      </c>
      <c r="Y64" s="58">
        <v>1.3905000000000001</v>
      </c>
      <c r="Z64" s="58">
        <v>0.46899999999999997</v>
      </c>
      <c r="AA64" s="58">
        <v>5.6800000000000003E-2</v>
      </c>
      <c r="AB64" s="54">
        <v>0.25</v>
      </c>
      <c r="AC64" s="54">
        <v>4.87</v>
      </c>
      <c r="AD64" s="54"/>
      <c r="AE64" s="54"/>
      <c r="AF64" s="54">
        <f t="shared" si="0"/>
        <v>0.97102352391338209</v>
      </c>
      <c r="AG64" s="123"/>
      <c r="AQ64" s="33">
        <f t="shared" si="4"/>
        <v>23.13702</v>
      </c>
      <c r="AS64" s="27">
        <f t="shared" si="6"/>
        <v>753.69123999999988</v>
      </c>
      <c r="AT64" s="33">
        <f t="shared" si="7"/>
        <v>753.69123999999988</v>
      </c>
      <c r="BA64" s="33">
        <f t="shared" si="10"/>
        <v>23.621420000000001</v>
      </c>
    </row>
    <row r="65" spans="1:53" x14ac:dyDescent="0.2">
      <c r="A65" s="55"/>
      <c r="B65" s="58">
        <v>11</v>
      </c>
      <c r="C65" s="59">
        <v>9.6229999999999993</v>
      </c>
      <c r="D65" s="59">
        <v>8.766</v>
      </c>
      <c r="E65" s="58">
        <v>2.7403</v>
      </c>
      <c r="F65" s="58">
        <v>1.3976</v>
      </c>
      <c r="G65" s="58">
        <v>0.77300000000000002</v>
      </c>
      <c r="H65" s="54">
        <v>0</v>
      </c>
      <c r="I65" s="61">
        <v>628.20000000000005</v>
      </c>
      <c r="J65" s="58">
        <v>48.84</v>
      </c>
      <c r="K65" s="54">
        <v>12.19</v>
      </c>
      <c r="L65" s="54"/>
      <c r="M65" s="58">
        <v>11</v>
      </c>
      <c r="N65" s="60">
        <v>9.8550000000000004</v>
      </c>
      <c r="O65" s="60">
        <v>9.8680000000000003</v>
      </c>
      <c r="P65" s="54">
        <v>2.6661999999999999</v>
      </c>
      <c r="Q65" s="54">
        <v>1.3976</v>
      </c>
      <c r="R65" s="54">
        <v>0.51900000000000002</v>
      </c>
      <c r="S65" s="54"/>
      <c r="T65" s="62">
        <v>612.79999999999995</v>
      </c>
      <c r="U65" s="54">
        <v>21.14</v>
      </c>
      <c r="V65" s="54">
        <v>10.76</v>
      </c>
      <c r="W65" s="54"/>
      <c r="X65" s="54">
        <v>11</v>
      </c>
      <c r="Y65" s="58">
        <v>1.4447000000000001</v>
      </c>
      <c r="Z65" s="58">
        <v>0.47670000000000001</v>
      </c>
      <c r="AA65" s="58">
        <v>8.2900000000000001E-2</v>
      </c>
      <c r="AB65" s="54">
        <v>-0.16</v>
      </c>
      <c r="AC65" s="54">
        <v>6.51</v>
      </c>
      <c r="AD65" s="54"/>
      <c r="AE65" s="54"/>
      <c r="AF65" s="54">
        <f t="shared" si="0"/>
        <v>0.97548551416746243</v>
      </c>
      <c r="AG65" s="123"/>
      <c r="AQ65" s="33">
        <f t="shared" si="4"/>
        <v>23.062629999999999</v>
      </c>
      <c r="AS65" s="27">
        <f t="shared" si="6"/>
        <v>765.7450399999999</v>
      </c>
      <c r="AT65" s="33">
        <f t="shared" si="7"/>
        <v>765.7450399999999</v>
      </c>
      <c r="BA65" s="33">
        <f t="shared" si="10"/>
        <v>23.703595</v>
      </c>
    </row>
    <row r="66" spans="1:53" x14ac:dyDescent="0.2">
      <c r="A66" s="55"/>
      <c r="B66" s="58">
        <v>12</v>
      </c>
      <c r="C66" s="59">
        <v>9.41</v>
      </c>
      <c r="D66" s="59">
        <v>8.7899999999999991</v>
      </c>
      <c r="E66" s="58">
        <v>2.7450999999999999</v>
      </c>
      <c r="F66" s="58">
        <v>1.4136</v>
      </c>
      <c r="G66" s="58">
        <v>0.78600000000000003</v>
      </c>
      <c r="H66" s="54">
        <v>0</v>
      </c>
      <c r="I66" s="61">
        <v>612.79999999999995</v>
      </c>
      <c r="J66" s="58">
        <v>51.02</v>
      </c>
      <c r="K66" s="54">
        <v>13.14</v>
      </c>
      <c r="L66" s="54"/>
      <c r="M66" s="58">
        <v>12</v>
      </c>
      <c r="N66" s="60">
        <v>9.66</v>
      </c>
      <c r="O66" s="60">
        <v>9.86</v>
      </c>
      <c r="P66" s="54">
        <v>2.6587000000000001</v>
      </c>
      <c r="Q66" s="54">
        <v>1.4136</v>
      </c>
      <c r="R66" s="54">
        <v>0.51400000000000001</v>
      </c>
      <c r="S66" s="54"/>
      <c r="T66" s="62">
        <v>592.5</v>
      </c>
      <c r="U66" s="54">
        <v>24</v>
      </c>
      <c r="V66" s="54">
        <v>13.14</v>
      </c>
      <c r="W66" s="54"/>
      <c r="X66" s="54">
        <v>12</v>
      </c>
      <c r="Y66" s="58">
        <v>1.4755</v>
      </c>
      <c r="Z66" s="58">
        <v>0.48880000000000001</v>
      </c>
      <c r="AA66" s="58">
        <v>9.4E-2</v>
      </c>
      <c r="AB66" s="54">
        <v>0.02</v>
      </c>
      <c r="AC66" s="54">
        <v>7.91</v>
      </c>
      <c r="AD66" s="54"/>
      <c r="AE66" s="54"/>
      <c r="AF66" s="54">
        <f t="shared" si="0"/>
        <v>0.96687336814621416</v>
      </c>
      <c r="AG66" s="123"/>
      <c r="AQ66" s="33">
        <f t="shared" si="4"/>
        <v>22.997755000000002</v>
      </c>
      <c r="AS66" s="27">
        <f t="shared" si="6"/>
        <v>774.51143999999999</v>
      </c>
      <c r="AT66" s="33">
        <f t="shared" si="7"/>
        <v>774.51143999999999</v>
      </c>
      <c r="BA66" s="33">
        <f t="shared" si="10"/>
        <v>23.745114999999998</v>
      </c>
    </row>
    <row r="67" spans="1:53" x14ac:dyDescent="0.2">
      <c r="A67" s="43" t="s">
        <v>117</v>
      </c>
      <c r="B67" s="58"/>
      <c r="C67" s="58"/>
      <c r="D67" s="58"/>
      <c r="E67" s="58"/>
      <c r="F67" s="58"/>
      <c r="G67" s="58"/>
      <c r="H67" s="54"/>
      <c r="I67" s="58"/>
      <c r="J67" s="58"/>
      <c r="K67" s="54"/>
      <c r="L67" s="54"/>
      <c r="M67" s="58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8"/>
      <c r="Z67" s="58"/>
      <c r="AA67" s="58"/>
      <c r="AB67" s="54"/>
      <c r="AC67" s="54"/>
      <c r="AD67" s="54"/>
      <c r="AE67" s="54"/>
      <c r="AF67" s="54" t="e">
        <f t="shared" ref="AF67:AF130" si="23">T67/I67</f>
        <v>#DIV/0!</v>
      </c>
      <c r="AG67" s="57"/>
    </row>
    <row r="68" spans="1:53" x14ac:dyDescent="0.2">
      <c r="A68" s="55"/>
      <c r="B68" s="58">
        <v>1</v>
      </c>
      <c r="C68" s="59">
        <v>12.926</v>
      </c>
      <c r="D68" s="58">
        <v>10.585000000000001</v>
      </c>
      <c r="E68" s="63">
        <v>2.5958999999999999</v>
      </c>
      <c r="F68" s="63">
        <v>1.4272</v>
      </c>
      <c r="G68" s="58">
        <v>0.46200000000000002</v>
      </c>
      <c r="H68" s="54">
        <v>0.95899999999999996</v>
      </c>
      <c r="I68" s="61">
        <v>541.9</v>
      </c>
      <c r="J68" s="64">
        <v>64.319999999999993</v>
      </c>
      <c r="K68" s="54"/>
      <c r="L68" s="54"/>
      <c r="M68" s="58">
        <v>1</v>
      </c>
      <c r="N68" s="60">
        <v>12.835000000000001</v>
      </c>
      <c r="O68" s="60">
        <v>11.664999999999999</v>
      </c>
      <c r="P68" s="65">
        <v>3.9300999999999999</v>
      </c>
      <c r="Q68" s="65">
        <v>1.6228</v>
      </c>
      <c r="R68" s="60">
        <v>0.59799999999999998</v>
      </c>
      <c r="S68" s="60">
        <v>0.57099999999999995</v>
      </c>
      <c r="T68" s="62">
        <v>408.7</v>
      </c>
      <c r="U68" s="54">
        <v>58.52</v>
      </c>
      <c r="V68" s="54"/>
      <c r="W68" s="54"/>
      <c r="X68" s="54">
        <v>1</v>
      </c>
      <c r="Y68" s="63">
        <v>1.2726</v>
      </c>
      <c r="Z68" s="63">
        <v>0.51419999999999999</v>
      </c>
      <c r="AA68" s="63">
        <v>8.8599999999999998E-2</v>
      </c>
      <c r="AB68" s="66">
        <v>1</v>
      </c>
      <c r="AC68" s="54">
        <v>13.97</v>
      </c>
      <c r="AD68" s="54"/>
      <c r="AE68" s="54"/>
      <c r="AF68" s="54">
        <f t="shared" si="23"/>
        <v>0.75419819154825618</v>
      </c>
      <c r="AG68" s="122">
        <v>50</v>
      </c>
      <c r="AQ68" s="33">
        <f t="shared" ref="AQ68:AQ131" si="24">P68*8.65</f>
        <v>33.995365</v>
      </c>
      <c r="AS68" s="27">
        <f t="shared" ref="AS68:AS131" si="25">F68*547.9</f>
        <v>781.96287999999993</v>
      </c>
      <c r="AT68" s="33">
        <f t="shared" ref="AT68:AT131" si="26">Q68*547.9</f>
        <v>889.13211999999999</v>
      </c>
      <c r="BA68" s="33">
        <f t="shared" ref="BA68:BA131" si="27">E68*8.65</f>
        <v>22.454535</v>
      </c>
    </row>
    <row r="69" spans="1:53" x14ac:dyDescent="0.2">
      <c r="A69" s="55"/>
      <c r="B69" s="58">
        <v>2</v>
      </c>
      <c r="C69" s="59">
        <v>12.686999999999999</v>
      </c>
      <c r="D69" s="58">
        <v>10.569000000000001</v>
      </c>
      <c r="E69" s="63">
        <v>2.6080999999999999</v>
      </c>
      <c r="F69" s="63">
        <v>1.3894</v>
      </c>
      <c r="G69" s="58">
        <v>0.47299999999999998</v>
      </c>
      <c r="H69" s="54">
        <v>0.99299999999999999</v>
      </c>
      <c r="I69" s="61">
        <v>566.5</v>
      </c>
      <c r="J69" s="64">
        <v>63.66</v>
      </c>
      <c r="K69" s="54"/>
      <c r="L69" s="54"/>
      <c r="M69" s="58">
        <v>2</v>
      </c>
      <c r="N69" s="60">
        <v>12.590999999999999</v>
      </c>
      <c r="O69" s="60">
        <v>11.675000000000001</v>
      </c>
      <c r="P69" s="65">
        <v>3.9333999999999998</v>
      </c>
      <c r="Q69" s="65">
        <v>1.5761000000000001</v>
      </c>
      <c r="R69" s="60">
        <v>0.60399999999999998</v>
      </c>
      <c r="S69" s="60">
        <v>0.629</v>
      </c>
      <c r="T69" s="62">
        <v>484.9</v>
      </c>
      <c r="U69" s="54">
        <v>55.17</v>
      </c>
      <c r="V69" s="54"/>
      <c r="W69" s="54"/>
      <c r="X69" s="54">
        <v>2</v>
      </c>
      <c r="Y69" s="63">
        <v>1.2901</v>
      </c>
      <c r="Z69" s="63">
        <v>0.46600000000000003</v>
      </c>
      <c r="AA69" s="63">
        <v>7.3800000000000004E-2</v>
      </c>
      <c r="AB69" s="66">
        <v>1.7</v>
      </c>
      <c r="AC69" s="54">
        <v>6</v>
      </c>
      <c r="AD69" s="54"/>
      <c r="AE69" s="54"/>
      <c r="AF69" s="54">
        <f t="shared" si="23"/>
        <v>0.85595763459841123</v>
      </c>
      <c r="AG69" s="123"/>
      <c r="AQ69" s="33">
        <f t="shared" si="24"/>
        <v>34.023910000000001</v>
      </c>
      <c r="AS69" s="27">
        <f t="shared" si="25"/>
        <v>761.25225999999998</v>
      </c>
      <c r="AT69" s="33">
        <f t="shared" si="26"/>
        <v>863.54519000000005</v>
      </c>
      <c r="BA69" s="33">
        <f t="shared" si="27"/>
        <v>22.560064999999998</v>
      </c>
    </row>
    <row r="70" spans="1:53" x14ac:dyDescent="0.2">
      <c r="A70" s="55"/>
      <c r="B70" s="58">
        <v>3</v>
      </c>
      <c r="C70" s="59">
        <v>12.458</v>
      </c>
      <c r="D70" s="58">
        <v>10.552</v>
      </c>
      <c r="E70" s="63">
        <v>2.6204000000000001</v>
      </c>
      <c r="F70" s="63">
        <v>1.369</v>
      </c>
      <c r="G70" s="58">
        <v>0.48499999999999999</v>
      </c>
      <c r="H70" s="54">
        <v>1.0149999999999999</v>
      </c>
      <c r="I70" s="61">
        <v>590.20000000000005</v>
      </c>
      <c r="J70" s="64">
        <v>62.87</v>
      </c>
      <c r="K70" s="54"/>
      <c r="L70" s="54"/>
      <c r="M70" s="58">
        <v>3</v>
      </c>
      <c r="N70" s="60">
        <v>12.377000000000001</v>
      </c>
      <c r="O70" s="60">
        <v>11.693</v>
      </c>
      <c r="P70" s="65">
        <v>3.9426999999999999</v>
      </c>
      <c r="Q70" s="65">
        <v>1.5501</v>
      </c>
      <c r="R70" s="60">
        <v>0.60599999999999998</v>
      </c>
      <c r="S70" s="60">
        <v>0.66500000000000004</v>
      </c>
      <c r="T70" s="62">
        <v>532.20000000000005</v>
      </c>
      <c r="U70" s="54">
        <v>53.26</v>
      </c>
      <c r="V70" s="54"/>
      <c r="W70" s="54"/>
      <c r="X70" s="54">
        <v>3</v>
      </c>
      <c r="Y70" s="63">
        <v>1.3066</v>
      </c>
      <c r="Z70" s="63">
        <v>0.43840000000000001</v>
      </c>
      <c r="AA70" s="63">
        <v>6.2600000000000003E-2</v>
      </c>
      <c r="AB70" s="66">
        <v>2.1</v>
      </c>
      <c r="AC70" s="54">
        <v>3.8</v>
      </c>
      <c r="AD70" s="54"/>
      <c r="AE70" s="54"/>
      <c r="AF70" s="54">
        <f t="shared" si="23"/>
        <v>0.90172822771941719</v>
      </c>
      <c r="AG70" s="123"/>
      <c r="AQ70" s="33">
        <f t="shared" si="24"/>
        <v>34.104354999999998</v>
      </c>
      <c r="AS70" s="27">
        <f t="shared" si="25"/>
        <v>750.07510000000002</v>
      </c>
      <c r="AT70" s="33">
        <f t="shared" si="26"/>
        <v>849.29979000000003</v>
      </c>
      <c r="BA70" s="33">
        <f t="shared" si="27"/>
        <v>22.666460000000001</v>
      </c>
    </row>
    <row r="71" spans="1:53" x14ac:dyDescent="0.2">
      <c r="A71" s="55"/>
      <c r="B71" s="58">
        <v>4</v>
      </c>
      <c r="C71" s="59">
        <v>12.159000000000001</v>
      </c>
      <c r="D71" s="58">
        <v>10.529</v>
      </c>
      <c r="E71" s="63">
        <v>2.6337000000000002</v>
      </c>
      <c r="F71" s="63">
        <v>1.3575999999999999</v>
      </c>
      <c r="G71" s="58">
        <v>0.498</v>
      </c>
      <c r="H71" s="54">
        <v>1.0189999999999999</v>
      </c>
      <c r="I71" s="61">
        <v>610.20000000000005</v>
      </c>
      <c r="J71" s="64">
        <v>61.83</v>
      </c>
      <c r="K71" s="54"/>
      <c r="L71" s="54"/>
      <c r="M71" s="58">
        <v>4</v>
      </c>
      <c r="N71" s="60">
        <v>12.11</v>
      </c>
      <c r="O71" s="60">
        <v>11.72</v>
      </c>
      <c r="P71" s="65">
        <v>3.9550999999999998</v>
      </c>
      <c r="Q71" s="65">
        <v>1.5347999999999999</v>
      </c>
      <c r="R71" s="60">
        <v>0.61399999999999999</v>
      </c>
      <c r="S71" s="60">
        <v>0.67600000000000005</v>
      </c>
      <c r="T71" s="62">
        <v>559.79999999999995</v>
      </c>
      <c r="U71" s="54">
        <v>51.53</v>
      </c>
      <c r="V71" s="54"/>
      <c r="W71" s="54"/>
      <c r="X71" s="54">
        <v>4</v>
      </c>
      <c r="Y71" s="63">
        <v>1.3287</v>
      </c>
      <c r="Z71" s="63">
        <v>0.42809999999999998</v>
      </c>
      <c r="AA71" s="63">
        <v>5.5E-2</v>
      </c>
      <c r="AB71" s="66">
        <v>2.5</v>
      </c>
      <c r="AC71" s="54">
        <v>3.7</v>
      </c>
      <c r="AD71" s="54"/>
      <c r="AE71" s="54"/>
      <c r="AF71" s="54">
        <f t="shared" si="23"/>
        <v>0.91740412979351016</v>
      </c>
      <c r="AG71" s="123"/>
      <c r="AQ71" s="33">
        <f t="shared" si="24"/>
        <v>34.211615000000002</v>
      </c>
      <c r="AS71" s="27">
        <f t="shared" si="25"/>
        <v>743.82903999999996</v>
      </c>
      <c r="AT71" s="33">
        <f t="shared" si="26"/>
        <v>840.91691999999989</v>
      </c>
      <c r="BA71" s="33">
        <f t="shared" si="27"/>
        <v>22.781505000000003</v>
      </c>
    </row>
    <row r="72" spans="1:53" x14ac:dyDescent="0.2">
      <c r="A72" s="55"/>
      <c r="B72" s="58">
        <v>5</v>
      </c>
      <c r="C72" s="59">
        <v>11.862</v>
      </c>
      <c r="D72" s="58">
        <v>10.509</v>
      </c>
      <c r="E72" s="63">
        <v>2.6433</v>
      </c>
      <c r="F72" s="63">
        <v>1.3535999999999999</v>
      </c>
      <c r="G72" s="58">
        <v>0.50800000000000001</v>
      </c>
      <c r="H72" s="54">
        <v>1.004</v>
      </c>
      <c r="I72" s="61">
        <v>621.70000000000005</v>
      </c>
      <c r="J72" s="64">
        <v>60.7</v>
      </c>
      <c r="K72" s="54"/>
      <c r="L72" s="54"/>
      <c r="M72" s="58">
        <v>5</v>
      </c>
      <c r="N72" s="60">
        <v>11.848000000000001</v>
      </c>
      <c r="O72" s="60">
        <v>11.746</v>
      </c>
      <c r="P72" s="65">
        <v>3.9676999999999998</v>
      </c>
      <c r="Q72" s="65">
        <v>1.5291999999999999</v>
      </c>
      <c r="R72" s="60">
        <v>0.622</v>
      </c>
      <c r="S72" s="60">
        <v>0.66200000000000003</v>
      </c>
      <c r="T72" s="62">
        <v>567.20000000000005</v>
      </c>
      <c r="U72" s="54">
        <v>49.81</v>
      </c>
      <c r="V72" s="54"/>
      <c r="W72" s="54"/>
      <c r="X72" s="54">
        <v>5</v>
      </c>
      <c r="Y72" s="63">
        <v>1.3514999999999999</v>
      </c>
      <c r="Z72" s="63">
        <v>0.43440000000000001</v>
      </c>
      <c r="AA72" s="63">
        <v>5.2299999999999999E-2</v>
      </c>
      <c r="AB72" s="66">
        <v>2.7</v>
      </c>
      <c r="AC72" s="54">
        <v>3.59</v>
      </c>
      <c r="AD72" s="54"/>
      <c r="AE72" s="54"/>
      <c r="AF72" s="54">
        <f t="shared" si="23"/>
        <v>0.91233714009972655</v>
      </c>
      <c r="AG72" s="123"/>
      <c r="AQ72" s="33">
        <f t="shared" si="24"/>
        <v>34.320605</v>
      </c>
      <c r="AS72" s="27">
        <f t="shared" si="25"/>
        <v>741.63743999999997</v>
      </c>
      <c r="AT72" s="33">
        <f t="shared" si="26"/>
        <v>837.84867999999994</v>
      </c>
      <c r="BA72" s="33">
        <f t="shared" si="27"/>
        <v>22.864545</v>
      </c>
    </row>
    <row r="73" spans="1:53" x14ac:dyDescent="0.2">
      <c r="A73" s="55">
        <f>(N68+N79)/2</f>
        <v>11.438000000000001</v>
      </c>
      <c r="B73" s="58">
        <v>6</v>
      </c>
      <c r="C73" s="59">
        <v>11.563000000000001</v>
      </c>
      <c r="D73" s="58">
        <v>10.493</v>
      </c>
      <c r="E73" s="63">
        <v>2.6520000000000001</v>
      </c>
      <c r="F73" s="63">
        <v>1.3528</v>
      </c>
      <c r="G73" s="58">
        <v>0.51800000000000002</v>
      </c>
      <c r="H73" s="54">
        <v>0.98599999999999999</v>
      </c>
      <c r="I73" s="61">
        <v>632.6</v>
      </c>
      <c r="J73" s="64">
        <v>59.5</v>
      </c>
      <c r="K73" s="54"/>
      <c r="L73" s="54"/>
      <c r="M73" s="58">
        <v>6</v>
      </c>
      <c r="N73" s="60">
        <v>11.586</v>
      </c>
      <c r="O73" s="60">
        <v>11.773</v>
      </c>
      <c r="P73" s="65">
        <v>3.9801000000000002</v>
      </c>
      <c r="Q73" s="65">
        <v>1.5277000000000001</v>
      </c>
      <c r="R73" s="60">
        <v>0.63300000000000001</v>
      </c>
      <c r="S73" s="60">
        <v>0.64600000000000002</v>
      </c>
      <c r="T73" s="62">
        <v>576.4</v>
      </c>
      <c r="U73" s="54">
        <v>47.74</v>
      </c>
      <c r="V73" s="54"/>
      <c r="W73" s="54"/>
      <c r="X73" s="54">
        <v>6</v>
      </c>
      <c r="Y73" s="63">
        <v>1.3755999999999999</v>
      </c>
      <c r="Z73" s="63">
        <v>0.44159999999999999</v>
      </c>
      <c r="AA73" s="63">
        <v>5.0700000000000002E-2</v>
      </c>
      <c r="AB73" s="66">
        <v>2.9</v>
      </c>
      <c r="AC73" s="54">
        <v>3.6</v>
      </c>
      <c r="AD73" s="54"/>
      <c r="AE73" s="54"/>
      <c r="AF73" s="54">
        <f t="shared" si="23"/>
        <v>0.91116029086310457</v>
      </c>
      <c r="AG73" s="123"/>
      <c r="AQ73" s="33">
        <f t="shared" si="24"/>
        <v>34.427865000000004</v>
      </c>
      <c r="AS73" s="27">
        <f t="shared" si="25"/>
        <v>741.19911999999999</v>
      </c>
      <c r="AT73" s="33">
        <f t="shared" si="26"/>
        <v>837.02683000000002</v>
      </c>
      <c r="BA73" s="33">
        <f t="shared" si="27"/>
        <v>22.939800000000002</v>
      </c>
    </row>
    <row r="74" spans="1:53" x14ac:dyDescent="0.2">
      <c r="A74" s="55">
        <f>PI()*(N68^2-N79^2)</f>
        <v>200.79660348059522</v>
      </c>
      <c r="B74" s="58">
        <v>7</v>
      </c>
      <c r="C74" s="59">
        <v>11.259</v>
      </c>
      <c r="D74" s="58">
        <v>10.477</v>
      </c>
      <c r="E74" s="63">
        <v>2.6602999999999999</v>
      </c>
      <c r="F74" s="63">
        <v>1.3533999999999999</v>
      </c>
      <c r="G74" s="58">
        <v>0.52700000000000002</v>
      </c>
      <c r="H74" s="54">
        <v>0.96799999999999997</v>
      </c>
      <c r="I74" s="61">
        <v>642.6</v>
      </c>
      <c r="J74" s="64">
        <v>58.26</v>
      </c>
      <c r="K74" s="54"/>
      <c r="L74" s="54"/>
      <c r="M74" s="58">
        <v>7</v>
      </c>
      <c r="N74" s="60">
        <v>11.321</v>
      </c>
      <c r="O74" s="60">
        <v>11.801</v>
      </c>
      <c r="P74" s="65">
        <v>3.9925999999999999</v>
      </c>
      <c r="Q74" s="65">
        <v>1.5283</v>
      </c>
      <c r="R74" s="60">
        <v>0.64600000000000002</v>
      </c>
      <c r="S74" s="60">
        <v>0.63100000000000001</v>
      </c>
      <c r="T74" s="62">
        <v>586.6</v>
      </c>
      <c r="U74" s="54">
        <v>45.35</v>
      </c>
      <c r="V74" s="54"/>
      <c r="W74" s="54"/>
      <c r="X74" s="54">
        <v>7</v>
      </c>
      <c r="Y74" s="63">
        <v>1.4012</v>
      </c>
      <c r="Z74" s="63">
        <v>0.44940000000000002</v>
      </c>
      <c r="AA74" s="63">
        <v>5.1799999999999999E-2</v>
      </c>
      <c r="AB74" s="66">
        <v>3.1</v>
      </c>
      <c r="AC74" s="54">
        <v>3.59</v>
      </c>
      <c r="AD74" s="54"/>
      <c r="AE74" s="54"/>
      <c r="AF74" s="54">
        <f t="shared" si="23"/>
        <v>0.91285403050108938</v>
      </c>
      <c r="AG74" s="123"/>
      <c r="AQ74" s="33">
        <f t="shared" si="24"/>
        <v>34.535989999999998</v>
      </c>
      <c r="AS74" s="27">
        <f t="shared" si="25"/>
        <v>741.52785999999992</v>
      </c>
      <c r="AT74" s="33">
        <f t="shared" si="26"/>
        <v>837.35556999999994</v>
      </c>
      <c r="BA74" s="33">
        <f t="shared" si="27"/>
        <v>23.011595</v>
      </c>
    </row>
    <row r="75" spans="1:53" x14ac:dyDescent="0.2">
      <c r="A75" s="55"/>
      <c r="B75" s="58">
        <v>8</v>
      </c>
      <c r="C75" s="59">
        <v>10.951000000000001</v>
      </c>
      <c r="D75" s="58">
        <v>10.462</v>
      </c>
      <c r="E75" s="63">
        <v>2.6676000000000002</v>
      </c>
      <c r="F75" s="63">
        <v>1.3571</v>
      </c>
      <c r="G75" s="58">
        <v>0.53500000000000003</v>
      </c>
      <c r="H75" s="54">
        <v>0.94799999999999995</v>
      </c>
      <c r="I75" s="61">
        <v>651.20000000000005</v>
      </c>
      <c r="J75" s="64">
        <v>57.03</v>
      </c>
      <c r="K75" s="54"/>
      <c r="L75" s="54"/>
      <c r="M75" s="58">
        <v>8</v>
      </c>
      <c r="N75" s="60">
        <v>11.054</v>
      </c>
      <c r="O75" s="60">
        <v>11.831</v>
      </c>
      <c r="P75" s="65">
        <v>4.0049999999999999</v>
      </c>
      <c r="Q75" s="65">
        <v>1.5325</v>
      </c>
      <c r="R75" s="60">
        <v>0.66</v>
      </c>
      <c r="S75" s="60">
        <v>0.61599999999999999</v>
      </c>
      <c r="T75" s="62">
        <v>598.9</v>
      </c>
      <c r="U75" s="54">
        <v>42.63</v>
      </c>
      <c r="V75" s="54"/>
      <c r="W75" s="54"/>
      <c r="X75" s="54">
        <v>8</v>
      </c>
      <c r="Y75" s="63">
        <v>1.4283999999999999</v>
      </c>
      <c r="Z75" s="63">
        <v>0.45639999999999997</v>
      </c>
      <c r="AA75" s="63">
        <v>5.33E-2</v>
      </c>
      <c r="AB75" s="66">
        <v>3.3</v>
      </c>
      <c r="AC75" s="54">
        <v>3.8</v>
      </c>
      <c r="AD75" s="54"/>
      <c r="AE75" s="54"/>
      <c r="AF75" s="54">
        <f t="shared" si="23"/>
        <v>0.91968673218673214</v>
      </c>
      <c r="AG75" s="123"/>
      <c r="AQ75" s="33">
        <f t="shared" si="24"/>
        <v>34.643250000000002</v>
      </c>
      <c r="AS75" s="27">
        <f t="shared" si="25"/>
        <v>743.55508999999995</v>
      </c>
      <c r="AT75" s="33">
        <f t="shared" si="26"/>
        <v>839.65674999999999</v>
      </c>
      <c r="BA75" s="33">
        <f t="shared" si="27"/>
        <v>23.074740000000002</v>
      </c>
    </row>
    <row r="76" spans="1:53" x14ac:dyDescent="0.2">
      <c r="A76" s="55"/>
      <c r="B76" s="58">
        <v>9</v>
      </c>
      <c r="C76" s="59">
        <v>10.634</v>
      </c>
      <c r="D76" s="58">
        <v>10.442</v>
      </c>
      <c r="E76" s="63">
        <v>2.6738</v>
      </c>
      <c r="F76" s="63">
        <v>1.3622000000000001</v>
      </c>
      <c r="G76" s="58">
        <v>0.54100000000000004</v>
      </c>
      <c r="H76" s="54">
        <v>0.92400000000000004</v>
      </c>
      <c r="I76" s="61">
        <v>656.4</v>
      </c>
      <c r="J76" s="64">
        <v>55.76</v>
      </c>
      <c r="K76" s="54"/>
      <c r="L76" s="54"/>
      <c r="M76" s="58">
        <v>9</v>
      </c>
      <c r="N76" s="60">
        <v>10.785</v>
      </c>
      <c r="O76" s="60">
        <v>11.864000000000001</v>
      </c>
      <c r="P76" s="65">
        <v>4.0175000000000001</v>
      </c>
      <c r="Q76" s="65">
        <v>1.5395000000000001</v>
      </c>
      <c r="R76" s="60">
        <v>0.67700000000000005</v>
      </c>
      <c r="S76" s="60">
        <v>0.6</v>
      </c>
      <c r="T76" s="62">
        <v>611</v>
      </c>
      <c r="U76" s="54">
        <v>39.520000000000003</v>
      </c>
      <c r="V76" s="54"/>
      <c r="W76" s="54"/>
      <c r="X76" s="54">
        <v>9</v>
      </c>
      <c r="Y76" s="63">
        <v>1.4577</v>
      </c>
      <c r="Z76" s="63">
        <v>0.46250000000000002</v>
      </c>
      <c r="AA76" s="63">
        <v>5.3900000000000003E-2</v>
      </c>
      <c r="AB76" s="66">
        <v>3.5</v>
      </c>
      <c r="AC76" s="54">
        <v>4</v>
      </c>
      <c r="AD76" s="54"/>
      <c r="AE76" s="54"/>
      <c r="AF76" s="54">
        <f t="shared" si="23"/>
        <v>0.9308348567946374</v>
      </c>
      <c r="AG76" s="123"/>
      <c r="AQ76" s="33">
        <f t="shared" si="24"/>
        <v>34.751375000000003</v>
      </c>
      <c r="AS76" s="27">
        <f t="shared" si="25"/>
        <v>746.34938</v>
      </c>
      <c r="AT76" s="33">
        <f t="shared" si="26"/>
        <v>843.49205000000006</v>
      </c>
      <c r="BA76" s="33">
        <f t="shared" si="27"/>
        <v>23.12837</v>
      </c>
    </row>
    <row r="77" spans="1:53" x14ac:dyDescent="0.2">
      <c r="A77" s="55"/>
      <c r="B77" s="58">
        <v>10</v>
      </c>
      <c r="C77" s="59">
        <v>10.305</v>
      </c>
      <c r="D77" s="58">
        <v>10.417</v>
      </c>
      <c r="E77" s="63">
        <v>2.6745999999999999</v>
      </c>
      <c r="F77" s="63">
        <v>1.3755999999999999</v>
      </c>
      <c r="G77" s="58">
        <v>0.54100000000000004</v>
      </c>
      <c r="H77" s="54">
        <v>0.88500000000000001</v>
      </c>
      <c r="I77" s="61">
        <v>651.4</v>
      </c>
      <c r="J77" s="64">
        <v>54.46</v>
      </c>
      <c r="K77" s="54"/>
      <c r="L77" s="54"/>
      <c r="M77" s="58">
        <v>10</v>
      </c>
      <c r="N77" s="60">
        <v>10.507</v>
      </c>
      <c r="O77" s="60">
        <v>11.898999999999999</v>
      </c>
      <c r="P77" s="65">
        <v>4.03</v>
      </c>
      <c r="Q77" s="65">
        <v>1.5550999999999999</v>
      </c>
      <c r="R77" s="60">
        <v>0.69699999999999995</v>
      </c>
      <c r="S77" s="60">
        <v>0.56799999999999995</v>
      </c>
      <c r="T77" s="62">
        <v>609.9</v>
      </c>
      <c r="U77" s="54">
        <v>35.57</v>
      </c>
      <c r="V77" s="54"/>
      <c r="W77" s="54"/>
      <c r="X77" s="54">
        <v>10</v>
      </c>
      <c r="Y77" s="63">
        <v>1.4896</v>
      </c>
      <c r="Z77" s="63">
        <v>0.48139999999999999</v>
      </c>
      <c r="AA77" s="63">
        <v>6.0600000000000001E-2</v>
      </c>
      <c r="AB77" s="66">
        <v>3.5</v>
      </c>
      <c r="AC77" s="54">
        <v>4.8</v>
      </c>
      <c r="AD77" s="54"/>
      <c r="AE77" s="54"/>
      <c r="AF77" s="54">
        <f t="shared" si="23"/>
        <v>0.9362910653976052</v>
      </c>
      <c r="AG77" s="123"/>
      <c r="AQ77" s="33">
        <f t="shared" si="24"/>
        <v>34.859500000000004</v>
      </c>
      <c r="AS77" s="27">
        <f t="shared" si="25"/>
        <v>753.69123999999988</v>
      </c>
      <c r="AT77" s="33">
        <f t="shared" si="26"/>
        <v>852.03928999999994</v>
      </c>
      <c r="BA77" s="33">
        <f t="shared" si="27"/>
        <v>23.135290000000001</v>
      </c>
    </row>
    <row r="78" spans="1:53" x14ac:dyDescent="0.2">
      <c r="A78" s="55"/>
      <c r="B78" s="58">
        <v>11</v>
      </c>
      <c r="C78" s="59">
        <v>9.9529999999999994</v>
      </c>
      <c r="D78" s="58">
        <v>10.393000000000001</v>
      </c>
      <c r="E78" s="63">
        <v>2.6657000000000002</v>
      </c>
      <c r="F78" s="63">
        <v>1.3975</v>
      </c>
      <c r="G78" s="58">
        <v>0.53300000000000003</v>
      </c>
      <c r="H78" s="54">
        <v>0.81899999999999995</v>
      </c>
      <c r="I78" s="61">
        <v>631</v>
      </c>
      <c r="J78" s="64">
        <v>52.81</v>
      </c>
      <c r="K78" s="54"/>
      <c r="L78" s="54"/>
      <c r="M78" s="58">
        <v>11</v>
      </c>
      <c r="N78" s="60">
        <v>10.208</v>
      </c>
      <c r="O78" s="60">
        <v>11.941000000000001</v>
      </c>
      <c r="P78" s="65">
        <v>4.0423999999999998</v>
      </c>
      <c r="Q78" s="65">
        <v>1.5835999999999999</v>
      </c>
      <c r="R78" s="60">
        <v>0.72199999999999998</v>
      </c>
      <c r="S78" s="60">
        <v>0.502</v>
      </c>
      <c r="T78" s="62">
        <v>577.70000000000005</v>
      </c>
      <c r="U78" s="54">
        <v>29.71</v>
      </c>
      <c r="V78" s="54"/>
      <c r="W78" s="54"/>
      <c r="X78" s="54">
        <v>11</v>
      </c>
      <c r="Y78" s="63">
        <v>1.5261</v>
      </c>
      <c r="Z78" s="63">
        <v>0.5302</v>
      </c>
      <c r="AA78" s="63">
        <v>7.4700000000000003E-2</v>
      </c>
      <c r="AB78" s="66">
        <v>3.3</v>
      </c>
      <c r="AC78" s="54">
        <v>6.38</v>
      </c>
      <c r="AD78" s="54"/>
      <c r="AE78" s="54"/>
      <c r="AF78" s="54">
        <f t="shared" si="23"/>
        <v>0.91553090332805076</v>
      </c>
      <c r="AG78" s="123"/>
      <c r="AQ78" s="33">
        <f t="shared" si="24"/>
        <v>34.966760000000001</v>
      </c>
      <c r="AS78" s="27">
        <f t="shared" si="25"/>
        <v>765.69024999999999</v>
      </c>
      <c r="AT78" s="33">
        <f t="shared" si="26"/>
        <v>867.65443999999991</v>
      </c>
      <c r="BA78" s="33">
        <f t="shared" si="27"/>
        <v>23.058305000000004</v>
      </c>
    </row>
    <row r="79" spans="1:53" x14ac:dyDescent="0.2">
      <c r="A79" s="55"/>
      <c r="B79" s="58">
        <v>12</v>
      </c>
      <c r="C79" s="59">
        <v>7.766</v>
      </c>
      <c r="D79" s="58">
        <v>10.385999999999999</v>
      </c>
      <c r="E79" s="63">
        <v>2.6579999999999999</v>
      </c>
      <c r="F79" s="63">
        <v>1.4135</v>
      </c>
      <c r="G79" s="58">
        <v>0.52700000000000002</v>
      </c>
      <c r="H79" s="54">
        <v>0.77400000000000002</v>
      </c>
      <c r="I79" s="61">
        <v>615.20000000000005</v>
      </c>
      <c r="J79" s="64">
        <v>51.72</v>
      </c>
      <c r="K79" s="54"/>
      <c r="L79" s="54"/>
      <c r="M79" s="58">
        <v>12</v>
      </c>
      <c r="N79" s="60">
        <v>10.041</v>
      </c>
      <c r="O79" s="60">
        <v>11.957000000000001</v>
      </c>
      <c r="P79" s="65">
        <v>4.0487000000000002</v>
      </c>
      <c r="Q79" s="65">
        <v>1.6042000000000001</v>
      </c>
      <c r="R79" s="60">
        <v>0.73499999999999999</v>
      </c>
      <c r="S79" s="60">
        <v>0.45200000000000001</v>
      </c>
      <c r="T79" s="62">
        <v>539.79999999999995</v>
      </c>
      <c r="U79" s="54">
        <v>25.56</v>
      </c>
      <c r="V79" s="54"/>
      <c r="W79" s="54"/>
      <c r="X79" s="54">
        <v>12</v>
      </c>
      <c r="Y79" s="63">
        <v>1.5469999999999999</v>
      </c>
      <c r="Z79" s="63">
        <v>0.5766</v>
      </c>
      <c r="AA79" s="63">
        <v>8.5800000000000001E-2</v>
      </c>
      <c r="AB79" s="66">
        <v>3</v>
      </c>
      <c r="AC79" s="54">
        <v>7.96</v>
      </c>
      <c r="AD79" s="54"/>
      <c r="AE79" s="54"/>
      <c r="AF79" s="54">
        <f t="shared" si="23"/>
        <v>0.87743823146944067</v>
      </c>
      <c r="AG79" s="123"/>
      <c r="AQ79" s="33">
        <f t="shared" si="24"/>
        <v>35.021255000000004</v>
      </c>
      <c r="AS79" s="27">
        <f t="shared" si="25"/>
        <v>774.45664999999997</v>
      </c>
      <c r="AT79" s="33">
        <f t="shared" si="26"/>
        <v>878.94118000000003</v>
      </c>
      <c r="BA79" s="33">
        <f t="shared" si="27"/>
        <v>22.991700000000002</v>
      </c>
    </row>
    <row r="80" spans="1:53" x14ac:dyDescent="0.2">
      <c r="A80" s="43" t="s">
        <v>118</v>
      </c>
      <c r="B80" s="58"/>
      <c r="C80" s="58"/>
      <c r="D80" s="58"/>
      <c r="E80" s="58"/>
      <c r="F80" s="58"/>
      <c r="G80" s="58"/>
      <c r="H80" s="54"/>
      <c r="I80" s="58"/>
      <c r="J80" s="58"/>
      <c r="K80" s="54"/>
      <c r="L80" s="54"/>
      <c r="M80" s="58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8"/>
      <c r="Z80" s="58"/>
      <c r="AA80" s="58"/>
      <c r="AB80" s="54"/>
      <c r="AC80" s="54"/>
      <c r="AD80" s="54"/>
      <c r="AE80" s="54"/>
      <c r="AF80" s="54" t="e">
        <f t="shared" si="23"/>
        <v>#DIV/0!</v>
      </c>
      <c r="AG80" s="57"/>
    </row>
    <row r="81" spans="1:53" x14ac:dyDescent="0.2">
      <c r="A81" s="55"/>
      <c r="B81" s="58">
        <v>1</v>
      </c>
      <c r="C81" s="58">
        <v>12.782</v>
      </c>
      <c r="D81" s="58">
        <v>12.291</v>
      </c>
      <c r="E81" s="58">
        <v>3.9239999999999999</v>
      </c>
      <c r="F81" s="58">
        <v>1.6228</v>
      </c>
      <c r="G81" s="58">
        <v>0.60399999999999998</v>
      </c>
      <c r="H81" s="54">
        <v>0</v>
      </c>
      <c r="I81" s="58">
        <v>415.6</v>
      </c>
      <c r="J81" s="58">
        <v>59.81</v>
      </c>
      <c r="K81" s="54"/>
      <c r="L81" s="54"/>
      <c r="M81" s="58">
        <v>1</v>
      </c>
      <c r="N81" s="54">
        <v>12.702999999999999</v>
      </c>
      <c r="O81" s="54">
        <v>13.243</v>
      </c>
      <c r="P81" s="54">
        <v>3.8549000000000002</v>
      </c>
      <c r="Q81" s="54">
        <v>1.6228</v>
      </c>
      <c r="R81" s="54">
        <v>0.41699999999999998</v>
      </c>
      <c r="S81" s="54"/>
      <c r="T81" s="54">
        <v>499.5</v>
      </c>
      <c r="U81" s="54">
        <v>30.6</v>
      </c>
      <c r="V81" s="54"/>
      <c r="W81" s="54"/>
      <c r="X81" s="54">
        <v>1</v>
      </c>
      <c r="Y81" s="58">
        <v>1.264</v>
      </c>
      <c r="Z81" s="58">
        <v>0.49840000000000001</v>
      </c>
      <c r="AA81" s="58">
        <v>8.1000000000000003E-2</v>
      </c>
      <c r="AB81" s="54">
        <v>-1.71</v>
      </c>
      <c r="AC81" s="54">
        <v>9.1999999999999993</v>
      </c>
      <c r="AD81" s="54"/>
      <c r="AE81" s="54"/>
      <c r="AF81" s="54">
        <f t="shared" si="23"/>
        <v>1.2018768046198267</v>
      </c>
      <c r="AG81" s="122">
        <v>82</v>
      </c>
      <c r="AQ81" s="33">
        <f t="shared" si="24"/>
        <v>33.344885000000005</v>
      </c>
      <c r="AS81" s="27">
        <f t="shared" si="25"/>
        <v>889.13211999999999</v>
      </c>
      <c r="AT81" s="33">
        <f t="shared" si="26"/>
        <v>889.13211999999999</v>
      </c>
      <c r="BA81" s="33">
        <f t="shared" si="27"/>
        <v>33.942599999999999</v>
      </c>
    </row>
    <row r="82" spans="1:53" x14ac:dyDescent="0.2">
      <c r="A82" s="55"/>
      <c r="B82" s="58">
        <v>2</v>
      </c>
      <c r="C82" s="58">
        <v>12.548999999999999</v>
      </c>
      <c r="D82" s="58">
        <v>12.259</v>
      </c>
      <c r="E82" s="58">
        <v>3.9312999999999998</v>
      </c>
      <c r="F82" s="58">
        <v>1.5764</v>
      </c>
      <c r="G82" s="58">
        <v>0.61399999999999999</v>
      </c>
      <c r="H82" s="54">
        <v>0</v>
      </c>
      <c r="I82" s="58">
        <v>518.9</v>
      </c>
      <c r="J82" s="58">
        <v>51.18</v>
      </c>
      <c r="K82" s="54"/>
      <c r="L82" s="54"/>
      <c r="M82" s="58">
        <v>2</v>
      </c>
      <c r="N82" s="54">
        <v>12.500999999999999</v>
      </c>
      <c r="O82" s="54">
        <v>13.284000000000001</v>
      </c>
      <c r="P82" s="54">
        <v>3.8725999999999998</v>
      </c>
      <c r="Q82" s="54">
        <v>1.5764</v>
      </c>
      <c r="R82" s="54">
        <v>0.43099999999999999</v>
      </c>
      <c r="S82" s="54"/>
      <c r="T82" s="54">
        <v>541.4</v>
      </c>
      <c r="U82" s="54">
        <v>23.56</v>
      </c>
      <c r="V82" s="54"/>
      <c r="W82" s="54"/>
      <c r="X82" s="54">
        <v>2</v>
      </c>
      <c r="Y82" s="58">
        <v>1.264</v>
      </c>
      <c r="Z82" s="58">
        <v>0.48199999999999998</v>
      </c>
      <c r="AA82" s="58">
        <v>6.9099999999999995E-2</v>
      </c>
      <c r="AB82" s="54">
        <v>-1.1299999999999999</v>
      </c>
      <c r="AC82" s="54">
        <v>7.53</v>
      </c>
      <c r="AD82" s="54"/>
      <c r="AE82" s="54"/>
      <c r="AF82" s="54">
        <f t="shared" si="23"/>
        <v>1.0433609558681827</v>
      </c>
      <c r="AG82" s="123"/>
      <c r="AQ82" s="33">
        <f t="shared" si="24"/>
        <v>33.497990000000001</v>
      </c>
      <c r="AS82" s="27">
        <f t="shared" si="25"/>
        <v>863.70956000000001</v>
      </c>
      <c r="AT82" s="33">
        <f t="shared" si="26"/>
        <v>863.70956000000001</v>
      </c>
      <c r="BA82" s="33">
        <f t="shared" si="27"/>
        <v>34.005744999999997</v>
      </c>
    </row>
    <row r="83" spans="1:53" x14ac:dyDescent="0.2">
      <c r="A83" s="55"/>
      <c r="B83" s="58">
        <v>3</v>
      </c>
      <c r="C83" s="58">
        <v>12.348000000000001</v>
      </c>
      <c r="D83" s="58">
        <v>12.252000000000001</v>
      </c>
      <c r="E83" s="58">
        <v>3.9426999999999999</v>
      </c>
      <c r="F83" s="58">
        <v>1.5502</v>
      </c>
      <c r="G83" s="58">
        <v>0.621</v>
      </c>
      <c r="H83" s="54">
        <v>0</v>
      </c>
      <c r="I83" s="58">
        <v>565</v>
      </c>
      <c r="J83" s="58">
        <v>47.15</v>
      </c>
      <c r="K83" s="54"/>
      <c r="L83" s="54"/>
      <c r="M83" s="58">
        <v>3</v>
      </c>
      <c r="N83" s="54">
        <v>12.317</v>
      </c>
      <c r="O83" s="54">
        <v>13.298</v>
      </c>
      <c r="P83" s="54">
        <v>3.8879999999999999</v>
      </c>
      <c r="Q83" s="54">
        <v>1.5502</v>
      </c>
      <c r="R83" s="54">
        <v>0.442</v>
      </c>
      <c r="S83" s="54"/>
      <c r="T83" s="54">
        <v>564.4</v>
      </c>
      <c r="U83" s="54">
        <v>19.96</v>
      </c>
      <c r="V83" s="54"/>
      <c r="W83" s="54"/>
      <c r="X83" s="54">
        <v>3</v>
      </c>
      <c r="Y83" s="58">
        <v>1.264</v>
      </c>
      <c r="Z83" s="58">
        <v>0.4698</v>
      </c>
      <c r="AA83" s="58">
        <v>6.0699999999999997E-2</v>
      </c>
      <c r="AB83" s="54">
        <v>-0.65</v>
      </c>
      <c r="AC83" s="54">
        <v>6.08</v>
      </c>
      <c r="AD83" s="54"/>
      <c r="AE83" s="54"/>
      <c r="AF83" s="54">
        <f t="shared" si="23"/>
        <v>0.99893805309734507</v>
      </c>
      <c r="AG83" s="123"/>
      <c r="AQ83" s="33">
        <f t="shared" si="24"/>
        <v>33.6312</v>
      </c>
      <c r="AS83" s="27">
        <f t="shared" si="25"/>
        <v>849.35457999999994</v>
      </c>
      <c r="AT83" s="33">
        <f t="shared" si="26"/>
        <v>849.35457999999994</v>
      </c>
      <c r="BA83" s="33">
        <f t="shared" si="27"/>
        <v>34.104354999999998</v>
      </c>
    </row>
    <row r="84" spans="1:53" x14ac:dyDescent="0.2">
      <c r="A84" s="55"/>
      <c r="B84" s="58">
        <v>4</v>
      </c>
      <c r="C84" s="58">
        <v>12.095000000000001</v>
      </c>
      <c r="D84" s="58">
        <v>12.259</v>
      </c>
      <c r="E84" s="58">
        <v>3.9552</v>
      </c>
      <c r="F84" s="58">
        <v>1.5348999999999999</v>
      </c>
      <c r="G84" s="58">
        <v>0.63100000000000001</v>
      </c>
      <c r="H84" s="54">
        <v>0</v>
      </c>
      <c r="I84" s="58">
        <v>590.9</v>
      </c>
      <c r="J84" s="58">
        <v>45.23</v>
      </c>
      <c r="K84" s="54"/>
      <c r="L84" s="54"/>
      <c r="M84" s="58">
        <v>4</v>
      </c>
      <c r="N84" s="54">
        <v>12.08</v>
      </c>
      <c r="O84" s="54">
        <v>13.298</v>
      </c>
      <c r="P84" s="54">
        <v>3.9058000000000002</v>
      </c>
      <c r="Q84" s="54">
        <v>1.5348999999999999</v>
      </c>
      <c r="R84" s="54">
        <v>0.45400000000000001</v>
      </c>
      <c r="S84" s="54"/>
      <c r="T84" s="54">
        <v>582.70000000000005</v>
      </c>
      <c r="U84" s="54">
        <v>18.239999999999998</v>
      </c>
      <c r="V84" s="54"/>
      <c r="W84" s="54"/>
      <c r="X84" s="54">
        <v>4</v>
      </c>
      <c r="Y84" s="58">
        <v>1.264</v>
      </c>
      <c r="Z84" s="58">
        <v>0.4592</v>
      </c>
      <c r="AA84" s="58">
        <v>5.3199999999999997E-2</v>
      </c>
      <c r="AB84" s="54">
        <v>-0.3</v>
      </c>
      <c r="AC84" s="54">
        <v>4.68</v>
      </c>
      <c r="AD84" s="54"/>
      <c r="AE84" s="54"/>
      <c r="AF84" s="54">
        <f t="shared" si="23"/>
        <v>0.98612286342866828</v>
      </c>
      <c r="AG84" s="123"/>
      <c r="AQ84" s="33">
        <f t="shared" si="24"/>
        <v>33.785170000000001</v>
      </c>
      <c r="AS84" s="27">
        <f t="shared" si="25"/>
        <v>840.97170999999992</v>
      </c>
      <c r="AT84" s="33">
        <f t="shared" si="26"/>
        <v>840.97170999999992</v>
      </c>
      <c r="BA84" s="33">
        <f t="shared" si="27"/>
        <v>34.212479999999999</v>
      </c>
    </row>
    <row r="85" spans="1:53" x14ac:dyDescent="0.2">
      <c r="A85" s="55"/>
      <c r="B85" s="58">
        <v>5</v>
      </c>
      <c r="C85" s="58">
        <v>11.845000000000001</v>
      </c>
      <c r="D85" s="58">
        <v>12.272</v>
      </c>
      <c r="E85" s="58">
        <v>3.9676</v>
      </c>
      <c r="F85" s="58">
        <v>1.5290999999999999</v>
      </c>
      <c r="G85" s="58">
        <v>0.64100000000000001</v>
      </c>
      <c r="H85" s="54">
        <v>0</v>
      </c>
      <c r="I85" s="58">
        <v>602.79999999999995</v>
      </c>
      <c r="J85" s="58">
        <v>44.84</v>
      </c>
      <c r="K85" s="54"/>
      <c r="L85" s="54"/>
      <c r="M85" s="58">
        <v>5</v>
      </c>
      <c r="N85" s="54">
        <v>11.846</v>
      </c>
      <c r="O85" s="54">
        <v>13.291</v>
      </c>
      <c r="P85" s="54">
        <v>3.9196</v>
      </c>
      <c r="Q85" s="54">
        <v>1.5290999999999999</v>
      </c>
      <c r="R85" s="54">
        <v>0.46300000000000002</v>
      </c>
      <c r="S85" s="54"/>
      <c r="T85" s="54">
        <v>594</v>
      </c>
      <c r="U85" s="54">
        <v>18.05</v>
      </c>
      <c r="V85" s="54"/>
      <c r="W85" s="54"/>
      <c r="X85" s="54">
        <v>5</v>
      </c>
      <c r="Y85" s="58">
        <v>1.2634000000000001</v>
      </c>
      <c r="Z85" s="58">
        <v>0.45400000000000001</v>
      </c>
      <c r="AA85" s="58">
        <v>5.0200000000000002E-2</v>
      </c>
      <c r="AB85" s="54">
        <v>-0.1</v>
      </c>
      <c r="AC85" s="54">
        <v>4.45</v>
      </c>
      <c r="AD85" s="54"/>
      <c r="AE85" s="54"/>
      <c r="AF85" s="54">
        <f t="shared" si="23"/>
        <v>0.98540145985401473</v>
      </c>
      <c r="AG85" s="123"/>
      <c r="AQ85" s="33">
        <f t="shared" si="24"/>
        <v>33.904540000000004</v>
      </c>
      <c r="AS85" s="27">
        <f t="shared" si="25"/>
        <v>837.79388999999992</v>
      </c>
      <c r="AT85" s="33">
        <f t="shared" si="26"/>
        <v>837.79388999999992</v>
      </c>
      <c r="BA85" s="33">
        <f t="shared" si="27"/>
        <v>34.319740000000003</v>
      </c>
    </row>
    <row r="86" spans="1:53" x14ac:dyDescent="0.2">
      <c r="A86" s="55">
        <f>(N81+N92)/2</f>
        <v>11.4755</v>
      </c>
      <c r="B86" s="58">
        <v>6</v>
      </c>
      <c r="C86" s="58">
        <v>11.595000000000001</v>
      </c>
      <c r="D86" s="58">
        <v>12.285</v>
      </c>
      <c r="E86" s="58">
        <v>3.9801000000000002</v>
      </c>
      <c r="F86" s="58">
        <v>1.5277000000000001</v>
      </c>
      <c r="G86" s="58">
        <v>0.65300000000000002</v>
      </c>
      <c r="H86" s="54">
        <v>0</v>
      </c>
      <c r="I86" s="58">
        <v>612.5</v>
      </c>
      <c r="J86" s="58">
        <v>44.81</v>
      </c>
      <c r="K86" s="54"/>
      <c r="L86" s="54"/>
      <c r="M86" s="58">
        <v>6</v>
      </c>
      <c r="N86" s="54">
        <v>11.611000000000001</v>
      </c>
      <c r="O86" s="54">
        <v>13.287000000000001</v>
      </c>
      <c r="P86" s="54">
        <v>3.9312999999999998</v>
      </c>
      <c r="Q86" s="54">
        <v>1.5277000000000001</v>
      </c>
      <c r="R86" s="54">
        <v>0.47099999999999997</v>
      </c>
      <c r="S86" s="54"/>
      <c r="T86" s="54">
        <v>603.4</v>
      </c>
      <c r="U86" s="54">
        <v>18.100000000000001</v>
      </c>
      <c r="V86" s="54"/>
      <c r="W86" s="54"/>
      <c r="X86" s="54">
        <v>6</v>
      </c>
      <c r="Y86" s="58">
        <v>1.2666999999999999</v>
      </c>
      <c r="Z86" s="58">
        <v>0.45250000000000001</v>
      </c>
      <c r="AA86" s="58">
        <v>4.9399999999999999E-2</v>
      </c>
      <c r="AB86" s="54">
        <v>0</v>
      </c>
      <c r="AC86" s="54">
        <v>4.5</v>
      </c>
      <c r="AD86" s="54"/>
      <c r="AE86" s="54"/>
      <c r="AF86" s="54">
        <f t="shared" si="23"/>
        <v>0.9851428571428571</v>
      </c>
      <c r="AG86" s="123"/>
      <c r="AQ86" s="33">
        <f t="shared" si="24"/>
        <v>34.005744999999997</v>
      </c>
      <c r="AS86" s="27">
        <f t="shared" si="25"/>
        <v>837.02683000000002</v>
      </c>
      <c r="AT86" s="33">
        <f t="shared" si="26"/>
        <v>837.02683000000002</v>
      </c>
      <c r="BA86" s="33">
        <f t="shared" si="27"/>
        <v>34.427865000000004</v>
      </c>
    </row>
    <row r="87" spans="1:53" x14ac:dyDescent="0.2">
      <c r="A87" s="55">
        <f>PI()*(N81^2-N92^2)</f>
        <v>177.01211129668411</v>
      </c>
      <c r="B87" s="58">
        <v>7</v>
      </c>
      <c r="C87" s="58">
        <v>11.343</v>
      </c>
      <c r="D87" s="58">
        <v>12.297000000000001</v>
      </c>
      <c r="E87" s="58">
        <v>3.9925999999999999</v>
      </c>
      <c r="F87" s="58">
        <v>1.5281</v>
      </c>
      <c r="G87" s="58">
        <v>0.66500000000000004</v>
      </c>
      <c r="H87" s="54">
        <v>0</v>
      </c>
      <c r="I87" s="58">
        <v>622.20000000000005</v>
      </c>
      <c r="J87" s="58">
        <v>44.88</v>
      </c>
      <c r="K87" s="54"/>
      <c r="L87" s="54"/>
      <c r="M87" s="58">
        <v>7</v>
      </c>
      <c r="N87" s="54">
        <v>11.375999999999999</v>
      </c>
      <c r="O87" s="54">
        <v>13.288</v>
      </c>
      <c r="P87" s="54">
        <v>3.9422000000000001</v>
      </c>
      <c r="Q87" s="54">
        <v>1.5281</v>
      </c>
      <c r="R87" s="54">
        <v>0.47799999999999998</v>
      </c>
      <c r="S87" s="54"/>
      <c r="T87" s="54">
        <v>612.20000000000005</v>
      </c>
      <c r="U87" s="54">
        <v>18.100000000000001</v>
      </c>
      <c r="V87" s="54"/>
      <c r="W87" s="54"/>
      <c r="X87" s="54">
        <v>7</v>
      </c>
      <c r="Y87" s="58">
        <v>1.2808999999999999</v>
      </c>
      <c r="Z87" s="58">
        <v>0.45240000000000002</v>
      </c>
      <c r="AA87" s="58">
        <v>4.9299999999999997E-2</v>
      </c>
      <c r="AB87" s="54">
        <v>0</v>
      </c>
      <c r="AC87" s="54">
        <v>4.5199999999999996</v>
      </c>
      <c r="AD87" s="54"/>
      <c r="AE87" s="54"/>
      <c r="AF87" s="54">
        <f t="shared" si="23"/>
        <v>0.98392799742847958</v>
      </c>
      <c r="AG87" s="123"/>
      <c r="AQ87" s="33">
        <f t="shared" si="24"/>
        <v>34.100030000000004</v>
      </c>
      <c r="AS87" s="27">
        <f t="shared" si="25"/>
        <v>837.24599000000001</v>
      </c>
      <c r="AT87" s="33">
        <f t="shared" si="26"/>
        <v>837.24599000000001</v>
      </c>
      <c r="BA87" s="33">
        <f t="shared" si="27"/>
        <v>34.535989999999998</v>
      </c>
    </row>
    <row r="88" spans="1:53" x14ac:dyDescent="0.2">
      <c r="A88" s="55"/>
      <c r="B88" s="58">
        <v>8</v>
      </c>
      <c r="C88" s="58">
        <v>11.087999999999999</v>
      </c>
      <c r="D88" s="58">
        <v>12.307</v>
      </c>
      <c r="E88" s="58">
        <v>4.0049999999999999</v>
      </c>
      <c r="F88" s="58">
        <v>1.5324</v>
      </c>
      <c r="G88" s="58">
        <v>0.67800000000000005</v>
      </c>
      <c r="H88" s="54">
        <v>0</v>
      </c>
      <c r="I88" s="58">
        <v>632.6</v>
      </c>
      <c r="J88" s="58">
        <v>45.02</v>
      </c>
      <c r="K88" s="54"/>
      <c r="L88" s="54"/>
      <c r="M88" s="58">
        <v>8</v>
      </c>
      <c r="N88" s="54">
        <v>11.138999999999999</v>
      </c>
      <c r="O88" s="54">
        <v>13.292999999999999</v>
      </c>
      <c r="P88" s="54">
        <v>3.9521000000000002</v>
      </c>
      <c r="Q88" s="54">
        <v>1.5324</v>
      </c>
      <c r="R88" s="54">
        <v>0.48499999999999999</v>
      </c>
      <c r="S88" s="54"/>
      <c r="T88" s="54">
        <v>620.9</v>
      </c>
      <c r="U88" s="54">
        <v>18.059999999999999</v>
      </c>
      <c r="V88" s="54"/>
      <c r="W88" s="54"/>
      <c r="X88" s="54">
        <v>8</v>
      </c>
      <c r="Y88" s="58">
        <v>1.3047</v>
      </c>
      <c r="Z88" s="58">
        <v>0.4536</v>
      </c>
      <c r="AA88" s="58">
        <v>0.05</v>
      </c>
      <c r="AB88" s="54">
        <v>0.05</v>
      </c>
      <c r="AC88" s="54">
        <v>4.51</v>
      </c>
      <c r="AD88" s="54"/>
      <c r="AE88" s="54"/>
      <c r="AF88" s="54">
        <f t="shared" si="23"/>
        <v>0.98150490041100213</v>
      </c>
      <c r="AG88" s="123"/>
      <c r="AQ88" s="33">
        <f t="shared" si="24"/>
        <v>34.185665</v>
      </c>
      <c r="AS88" s="27">
        <f t="shared" si="25"/>
        <v>839.60195999999996</v>
      </c>
      <c r="AT88" s="33">
        <f t="shared" si="26"/>
        <v>839.60195999999996</v>
      </c>
      <c r="BA88" s="33">
        <f t="shared" si="27"/>
        <v>34.643250000000002</v>
      </c>
    </row>
    <row r="89" spans="1:53" x14ac:dyDescent="0.2">
      <c r="A89" s="55"/>
      <c r="B89" s="58">
        <v>9</v>
      </c>
      <c r="C89" s="58">
        <v>10.827999999999999</v>
      </c>
      <c r="D89" s="58">
        <v>12.319000000000001</v>
      </c>
      <c r="E89" s="58">
        <v>4.0175000000000001</v>
      </c>
      <c r="F89" s="58">
        <v>1.5395000000000001</v>
      </c>
      <c r="G89" s="58">
        <v>0.69299999999999995</v>
      </c>
      <c r="H89" s="54">
        <v>0</v>
      </c>
      <c r="I89" s="58">
        <v>640.9</v>
      </c>
      <c r="J89" s="58">
        <v>45.46</v>
      </c>
      <c r="K89" s="54"/>
      <c r="L89" s="54"/>
      <c r="M89" s="58">
        <v>9</v>
      </c>
      <c r="N89" s="54">
        <v>10.898</v>
      </c>
      <c r="O89" s="54">
        <v>13.3</v>
      </c>
      <c r="P89" s="54">
        <v>3.9594999999999998</v>
      </c>
      <c r="Q89" s="54">
        <v>1.5395000000000001</v>
      </c>
      <c r="R89" s="54">
        <v>0.49</v>
      </c>
      <c r="S89" s="54"/>
      <c r="T89" s="54">
        <v>628.4</v>
      </c>
      <c r="U89" s="54">
        <v>18.13</v>
      </c>
      <c r="V89" s="54"/>
      <c r="W89" s="54"/>
      <c r="X89" s="54">
        <v>9</v>
      </c>
      <c r="Y89" s="58">
        <v>1.3333999999999999</v>
      </c>
      <c r="Z89" s="58">
        <v>0.45779999999999998</v>
      </c>
      <c r="AA89" s="58">
        <v>5.28E-2</v>
      </c>
      <c r="AB89" s="54">
        <v>0</v>
      </c>
      <c r="AC89" s="54">
        <v>4.5999999999999996</v>
      </c>
      <c r="AD89" s="54"/>
      <c r="AE89" s="54"/>
      <c r="AF89" s="54">
        <f t="shared" si="23"/>
        <v>0.98049617725074112</v>
      </c>
      <c r="AG89" s="123"/>
      <c r="AQ89" s="33">
        <f t="shared" si="24"/>
        <v>34.249674999999996</v>
      </c>
      <c r="AS89" s="27">
        <f t="shared" si="25"/>
        <v>843.49205000000006</v>
      </c>
      <c r="AT89" s="33">
        <f t="shared" si="26"/>
        <v>843.49205000000006</v>
      </c>
      <c r="BA89" s="33">
        <f t="shared" si="27"/>
        <v>34.751375000000003</v>
      </c>
    </row>
    <row r="90" spans="1:53" x14ac:dyDescent="0.2">
      <c r="A90" s="55"/>
      <c r="B90" s="58">
        <v>10</v>
      </c>
      <c r="C90" s="58">
        <v>10.56</v>
      </c>
      <c r="D90" s="58">
        <v>12.336</v>
      </c>
      <c r="E90" s="58">
        <v>4.03</v>
      </c>
      <c r="F90" s="58">
        <v>1.5549999999999999</v>
      </c>
      <c r="G90" s="58">
        <v>0.70799999999999996</v>
      </c>
      <c r="H90" s="54">
        <v>0</v>
      </c>
      <c r="I90" s="58">
        <v>635.9</v>
      </c>
      <c r="J90" s="58">
        <v>47.24</v>
      </c>
      <c r="K90" s="54"/>
      <c r="L90" s="54"/>
      <c r="M90" s="58">
        <v>10</v>
      </c>
      <c r="N90" s="54">
        <v>10.651999999999999</v>
      </c>
      <c r="O90" s="54">
        <v>13.304</v>
      </c>
      <c r="P90" s="54">
        <v>3.9590999999999998</v>
      </c>
      <c r="Q90" s="54">
        <v>1.5549999999999999</v>
      </c>
      <c r="R90" s="54">
        <v>0.49299999999999999</v>
      </c>
      <c r="S90" s="54"/>
      <c r="T90" s="54">
        <v>629.20000000000005</v>
      </c>
      <c r="U90" s="54">
        <v>19.48</v>
      </c>
      <c r="V90" s="54"/>
      <c r="W90" s="54"/>
      <c r="X90" s="54">
        <v>10</v>
      </c>
      <c r="Y90" s="58">
        <v>1.3658999999999999</v>
      </c>
      <c r="Z90" s="58">
        <v>0.46689999999999998</v>
      </c>
      <c r="AA90" s="58">
        <v>6.2E-2</v>
      </c>
      <c r="AB90" s="54">
        <v>-0.2</v>
      </c>
      <c r="AC90" s="54">
        <v>5.84</v>
      </c>
      <c r="AD90" s="54"/>
      <c r="AE90" s="54"/>
      <c r="AF90" s="54">
        <f t="shared" si="23"/>
        <v>0.98946375216228977</v>
      </c>
      <c r="AG90" s="123"/>
      <c r="AQ90" s="33">
        <f t="shared" si="24"/>
        <v>34.246214999999999</v>
      </c>
      <c r="AS90" s="27">
        <f t="shared" si="25"/>
        <v>851.98449999999991</v>
      </c>
      <c r="AT90" s="33">
        <f t="shared" si="26"/>
        <v>851.98449999999991</v>
      </c>
      <c r="BA90" s="33">
        <f t="shared" si="27"/>
        <v>34.859500000000004</v>
      </c>
    </row>
    <row r="91" spans="1:53" x14ac:dyDescent="0.2">
      <c r="A91" s="55"/>
      <c r="B91" s="58">
        <v>11</v>
      </c>
      <c r="C91" s="58">
        <v>10.271000000000001</v>
      </c>
      <c r="D91" s="58">
        <v>12.367000000000001</v>
      </c>
      <c r="E91" s="58">
        <v>4.0425000000000004</v>
      </c>
      <c r="F91" s="58">
        <v>1.5833999999999999</v>
      </c>
      <c r="G91" s="58">
        <v>0.72599999999999998</v>
      </c>
      <c r="H91" s="54">
        <v>0</v>
      </c>
      <c r="I91" s="58">
        <v>597</v>
      </c>
      <c r="J91" s="58">
        <v>51.8</v>
      </c>
      <c r="K91" s="54"/>
      <c r="L91" s="54"/>
      <c r="M91" s="58">
        <v>11</v>
      </c>
      <c r="N91" s="54">
        <v>10.39</v>
      </c>
      <c r="O91" s="54">
        <v>13.29</v>
      </c>
      <c r="P91" s="54">
        <v>3.9499</v>
      </c>
      <c r="Q91" s="54">
        <v>1.5833999999999999</v>
      </c>
      <c r="R91" s="54">
        <v>0.49299999999999999</v>
      </c>
      <c r="S91" s="54"/>
      <c r="T91" s="54">
        <v>612.4</v>
      </c>
      <c r="U91" s="54">
        <v>24.22</v>
      </c>
      <c r="V91" s="54"/>
      <c r="W91" s="54"/>
      <c r="X91" s="54">
        <v>11</v>
      </c>
      <c r="Y91" s="58">
        <v>1.4024000000000001</v>
      </c>
      <c r="Z91" s="58">
        <v>0.47899999999999998</v>
      </c>
      <c r="AA91" s="58">
        <v>7.7600000000000002E-2</v>
      </c>
      <c r="AB91" s="54">
        <v>-0.4</v>
      </c>
      <c r="AC91" s="54">
        <v>7.28</v>
      </c>
      <c r="AD91" s="54"/>
      <c r="AE91" s="54"/>
      <c r="AF91" s="54">
        <f t="shared" si="23"/>
        <v>1.0257956448911223</v>
      </c>
      <c r="AG91" s="123"/>
      <c r="AQ91" s="33">
        <f t="shared" si="24"/>
        <v>34.166634999999999</v>
      </c>
      <c r="AS91" s="27">
        <f t="shared" si="25"/>
        <v>867.54485999999997</v>
      </c>
      <c r="AT91" s="33">
        <f t="shared" si="26"/>
        <v>867.54485999999997</v>
      </c>
      <c r="BA91" s="33">
        <f t="shared" si="27"/>
        <v>34.967625000000005</v>
      </c>
    </row>
    <row r="92" spans="1:53" x14ac:dyDescent="0.2">
      <c r="A92" s="55"/>
      <c r="B92" s="58">
        <v>12</v>
      </c>
      <c r="C92" s="58">
        <v>10.111000000000001</v>
      </c>
      <c r="D92" s="58">
        <v>12.391</v>
      </c>
      <c r="E92" s="58">
        <v>4.0487000000000002</v>
      </c>
      <c r="F92" s="58">
        <v>1.6042000000000001</v>
      </c>
      <c r="G92" s="58">
        <v>0.73599999999999999</v>
      </c>
      <c r="H92" s="54">
        <v>0</v>
      </c>
      <c r="I92" s="58">
        <v>558.6</v>
      </c>
      <c r="J92" s="58">
        <v>55.39</v>
      </c>
      <c r="K92" s="54"/>
      <c r="L92" s="54"/>
      <c r="M92" s="58">
        <v>12</v>
      </c>
      <c r="N92" s="54">
        <v>10.247999999999999</v>
      </c>
      <c r="O92" s="54">
        <v>13.269</v>
      </c>
      <c r="P92" s="54">
        <v>3.9411999999999998</v>
      </c>
      <c r="Q92" s="54">
        <v>1.6042000000000001</v>
      </c>
      <c r="R92" s="54">
        <v>0.48699999999999999</v>
      </c>
      <c r="S92" s="54"/>
      <c r="T92" s="54">
        <v>584.79999999999995</v>
      </c>
      <c r="U92" s="54">
        <v>28.5</v>
      </c>
      <c r="V92" s="54"/>
      <c r="W92" s="54"/>
      <c r="X92" s="54">
        <v>12</v>
      </c>
      <c r="Y92" s="58">
        <v>1.4232</v>
      </c>
      <c r="Z92" s="58">
        <v>0.49209999999999998</v>
      </c>
      <c r="AA92" s="58">
        <v>8.7999999999999995E-2</v>
      </c>
      <c r="AB92" s="54">
        <v>-0.48</v>
      </c>
      <c r="AC92" s="54">
        <v>8.19</v>
      </c>
      <c r="AD92" s="54"/>
      <c r="AE92" s="54"/>
      <c r="AF92" s="54">
        <f t="shared" si="23"/>
        <v>1.0469029717150016</v>
      </c>
      <c r="AG92" s="123"/>
      <c r="AQ92" s="33">
        <f t="shared" si="24"/>
        <v>34.091380000000001</v>
      </c>
      <c r="AS92" s="27">
        <f t="shared" si="25"/>
        <v>878.94118000000003</v>
      </c>
      <c r="AT92" s="33">
        <f t="shared" si="26"/>
        <v>878.94118000000003</v>
      </c>
      <c r="BA92" s="33">
        <f t="shared" si="27"/>
        <v>35.021255000000004</v>
      </c>
    </row>
    <row r="93" spans="1:53" x14ac:dyDescent="0.2">
      <c r="A93" s="43" t="s">
        <v>119</v>
      </c>
      <c r="B93" s="58"/>
      <c r="C93" s="58"/>
      <c r="D93" s="58"/>
      <c r="E93" s="58"/>
      <c r="F93" s="58"/>
      <c r="G93" s="58"/>
      <c r="H93" s="54"/>
      <c r="I93" s="58"/>
      <c r="J93" s="58"/>
      <c r="K93" s="54"/>
      <c r="L93" s="54"/>
      <c r="M93" s="58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8"/>
      <c r="Z93" s="58"/>
      <c r="AA93" s="58"/>
      <c r="AB93" s="54"/>
      <c r="AC93" s="54"/>
      <c r="AD93" s="54"/>
      <c r="AE93" s="54"/>
      <c r="AF93" s="54" t="e">
        <f t="shared" si="23"/>
        <v>#DIV/0!</v>
      </c>
      <c r="AG93" s="57"/>
    </row>
    <row r="94" spans="1:53" x14ac:dyDescent="0.2">
      <c r="A94" s="55"/>
      <c r="B94" s="44">
        <v>1</v>
      </c>
      <c r="C94" s="45">
        <v>12.647</v>
      </c>
      <c r="D94" s="45">
        <v>13.888999999999999</v>
      </c>
      <c r="E94" s="46">
        <v>3.8544</v>
      </c>
      <c r="F94" s="44">
        <v>1.6228</v>
      </c>
      <c r="G94" s="45">
        <v>0.44</v>
      </c>
      <c r="H94" s="47">
        <v>0.85699999999999998</v>
      </c>
      <c r="I94" s="48">
        <v>535.5</v>
      </c>
      <c r="J94" s="49">
        <v>63.3</v>
      </c>
      <c r="K94" s="54"/>
      <c r="L94" s="54"/>
      <c r="M94" s="44">
        <v>1</v>
      </c>
      <c r="N94" s="47">
        <v>12.571999999999999</v>
      </c>
      <c r="O94" s="50">
        <v>14.768000000000001</v>
      </c>
      <c r="P94" s="51">
        <v>5.5579000000000001</v>
      </c>
      <c r="Q94" s="47">
        <v>1.8132999999999999</v>
      </c>
      <c r="R94" s="56">
        <v>0.58399999999999996</v>
      </c>
      <c r="S94" s="47">
        <v>0.501</v>
      </c>
      <c r="T94" s="52">
        <v>400.7</v>
      </c>
      <c r="U94" s="53">
        <v>56.48</v>
      </c>
      <c r="V94" s="54"/>
      <c r="W94" s="54"/>
      <c r="X94" s="47">
        <v>1</v>
      </c>
      <c r="Y94" s="46">
        <v>1.1912</v>
      </c>
      <c r="Z94" s="46">
        <v>0.54879999999999995</v>
      </c>
      <c r="AA94" s="46">
        <v>8.14E-2</v>
      </c>
      <c r="AB94" s="53">
        <v>0</v>
      </c>
      <c r="AC94" s="54">
        <v>17.61</v>
      </c>
      <c r="AD94" s="54"/>
      <c r="AE94" s="54"/>
      <c r="AF94" s="54">
        <f t="shared" si="23"/>
        <v>0.74827264239028946</v>
      </c>
      <c r="AG94" s="122">
        <v>60</v>
      </c>
      <c r="AQ94" s="33">
        <f t="shared" si="24"/>
        <v>48.075835000000005</v>
      </c>
      <c r="AS94" s="27">
        <f t="shared" si="25"/>
        <v>889.13211999999999</v>
      </c>
      <c r="AT94" s="33">
        <f t="shared" si="26"/>
        <v>993.50706999999989</v>
      </c>
      <c r="BA94" s="33">
        <f t="shared" si="27"/>
        <v>33.340560000000004</v>
      </c>
    </row>
    <row r="95" spans="1:53" x14ac:dyDescent="0.2">
      <c r="A95" s="55"/>
      <c r="B95" s="44">
        <v>2</v>
      </c>
      <c r="C95" s="45">
        <v>12.46</v>
      </c>
      <c r="D95" s="45">
        <v>13.88</v>
      </c>
      <c r="E95" s="46">
        <v>3.8717000000000001</v>
      </c>
      <c r="F95" s="44">
        <v>1.5761000000000001</v>
      </c>
      <c r="G95" s="45">
        <v>0.45100000000000001</v>
      </c>
      <c r="H95" s="47">
        <v>0.90400000000000003</v>
      </c>
      <c r="I95" s="48">
        <v>568.29999999999995</v>
      </c>
      <c r="J95" s="49">
        <v>62.67</v>
      </c>
      <c r="K95" s="54"/>
      <c r="L95" s="54"/>
      <c r="M95" s="44">
        <v>2</v>
      </c>
      <c r="N95" s="47">
        <v>12.377000000000001</v>
      </c>
      <c r="O95" s="50">
        <v>14.77</v>
      </c>
      <c r="P95" s="51">
        <v>5.57</v>
      </c>
      <c r="Q95" s="47">
        <v>1.7591000000000001</v>
      </c>
      <c r="R95" s="56">
        <v>0.58799999999999997</v>
      </c>
      <c r="S95" s="47">
        <v>0.57399999999999995</v>
      </c>
      <c r="T95" s="52">
        <v>494.5</v>
      </c>
      <c r="U95" s="53">
        <v>52.79</v>
      </c>
      <c r="V95" s="54"/>
      <c r="W95" s="54"/>
      <c r="X95" s="47">
        <v>2</v>
      </c>
      <c r="Y95" s="46">
        <v>1.2095</v>
      </c>
      <c r="Z95" s="46">
        <v>0.48459999999999998</v>
      </c>
      <c r="AA95" s="46">
        <v>6.8500000000000005E-2</v>
      </c>
      <c r="AB95" s="53">
        <v>0.2</v>
      </c>
      <c r="AC95" s="54">
        <v>12.58</v>
      </c>
      <c r="AD95" s="54"/>
      <c r="AE95" s="54"/>
      <c r="AF95" s="54">
        <f t="shared" si="23"/>
        <v>0.87013901108569425</v>
      </c>
      <c r="AG95" s="123"/>
      <c r="AQ95" s="33">
        <f t="shared" si="24"/>
        <v>48.180500000000002</v>
      </c>
      <c r="AS95" s="27">
        <f t="shared" si="25"/>
        <v>863.54519000000005</v>
      </c>
      <c r="AT95" s="33">
        <f t="shared" si="26"/>
        <v>963.81088999999997</v>
      </c>
      <c r="BA95" s="33">
        <f t="shared" si="27"/>
        <v>33.490205000000003</v>
      </c>
    </row>
    <row r="96" spans="1:53" x14ac:dyDescent="0.2">
      <c r="A96" s="55"/>
      <c r="B96" s="44">
        <v>3</v>
      </c>
      <c r="C96" s="45">
        <v>12.284000000000001</v>
      </c>
      <c r="D96" s="45">
        <v>13.871</v>
      </c>
      <c r="E96" s="46">
        <v>3.8873000000000002</v>
      </c>
      <c r="F96" s="44">
        <v>1.5501</v>
      </c>
      <c r="G96" s="45">
        <v>0.46300000000000002</v>
      </c>
      <c r="H96" s="47">
        <v>0.92800000000000005</v>
      </c>
      <c r="I96" s="48">
        <v>592</v>
      </c>
      <c r="J96" s="49">
        <v>61.96</v>
      </c>
      <c r="K96" s="54"/>
      <c r="L96" s="54"/>
      <c r="M96" s="44">
        <v>3</v>
      </c>
      <c r="N96" s="47">
        <v>12.21</v>
      </c>
      <c r="O96" s="50">
        <v>14.778</v>
      </c>
      <c r="P96" s="51">
        <v>5.5820999999999996</v>
      </c>
      <c r="Q96" s="47">
        <v>1.7276</v>
      </c>
      <c r="R96" s="56">
        <v>0.59099999999999997</v>
      </c>
      <c r="S96" s="47">
        <v>0.61</v>
      </c>
      <c r="T96" s="52">
        <v>538.79999999999995</v>
      </c>
      <c r="U96" s="53">
        <v>51.29</v>
      </c>
      <c r="V96" s="54"/>
      <c r="W96" s="54"/>
      <c r="X96" s="47">
        <v>3</v>
      </c>
      <c r="Y96" s="46">
        <v>1.2264999999999999</v>
      </c>
      <c r="Z96" s="46">
        <v>0.45440000000000003</v>
      </c>
      <c r="AA96" s="46">
        <v>5.7700000000000001E-2</v>
      </c>
      <c r="AB96" s="53">
        <v>0.3</v>
      </c>
      <c r="AC96" s="54">
        <v>8.82</v>
      </c>
      <c r="AD96" s="54"/>
      <c r="AE96" s="54"/>
      <c r="AF96" s="54">
        <f t="shared" si="23"/>
        <v>0.91013513513513511</v>
      </c>
      <c r="AG96" s="123"/>
      <c r="AQ96" s="33">
        <f t="shared" si="24"/>
        <v>48.285164999999999</v>
      </c>
      <c r="AS96" s="27">
        <f t="shared" si="25"/>
        <v>849.29979000000003</v>
      </c>
      <c r="AT96" s="33">
        <f t="shared" si="26"/>
        <v>946.55203999999992</v>
      </c>
      <c r="BA96" s="33">
        <f t="shared" si="27"/>
        <v>33.625145000000003</v>
      </c>
    </row>
    <row r="97" spans="1:53" x14ac:dyDescent="0.2">
      <c r="A97" s="55"/>
      <c r="B97" s="44">
        <v>4</v>
      </c>
      <c r="C97" s="45">
        <v>12.055999999999999</v>
      </c>
      <c r="D97" s="45">
        <v>13.855</v>
      </c>
      <c r="E97" s="46">
        <v>3.9053</v>
      </c>
      <c r="F97" s="44">
        <v>1.5347999999999999</v>
      </c>
      <c r="G97" s="45">
        <v>0.47699999999999998</v>
      </c>
      <c r="H97" s="47">
        <v>0.93400000000000005</v>
      </c>
      <c r="I97" s="48">
        <v>613.70000000000005</v>
      </c>
      <c r="J97" s="49">
        <v>60.87</v>
      </c>
      <c r="K97" s="54"/>
      <c r="L97" s="54"/>
      <c r="M97" s="44">
        <v>4</v>
      </c>
      <c r="N97" s="47">
        <v>12.002000000000001</v>
      </c>
      <c r="O97" s="50">
        <v>14.797000000000001</v>
      </c>
      <c r="P97" s="51">
        <v>5.5983000000000001</v>
      </c>
      <c r="Q97" s="47">
        <v>1.7081999999999999</v>
      </c>
      <c r="R97" s="56">
        <v>0.59699999999999998</v>
      </c>
      <c r="S97" s="47">
        <v>0.622</v>
      </c>
      <c r="T97" s="52">
        <v>565.20000000000005</v>
      </c>
      <c r="U97" s="53">
        <v>49.75</v>
      </c>
      <c r="V97" s="54"/>
      <c r="W97" s="54"/>
      <c r="X97" s="47">
        <v>4</v>
      </c>
      <c r="Y97" s="46">
        <v>1.2487999999999999</v>
      </c>
      <c r="Z97" s="46">
        <v>0.44130000000000003</v>
      </c>
      <c r="AA97" s="46">
        <v>4.8599999999999997E-2</v>
      </c>
      <c r="AB97" s="53">
        <v>0.6</v>
      </c>
      <c r="AC97" s="54">
        <v>6</v>
      </c>
      <c r="AD97" s="54"/>
      <c r="AE97" s="54"/>
      <c r="AF97" s="54">
        <f t="shared" si="23"/>
        <v>0.92097115854652112</v>
      </c>
      <c r="AG97" s="123"/>
      <c r="AQ97" s="33">
        <f t="shared" si="24"/>
        <v>48.425295000000006</v>
      </c>
      <c r="AS97" s="27">
        <f t="shared" si="25"/>
        <v>840.91691999999989</v>
      </c>
      <c r="AT97" s="33">
        <f t="shared" si="26"/>
        <v>935.92277999999988</v>
      </c>
      <c r="BA97" s="33">
        <f t="shared" si="27"/>
        <v>33.780844999999999</v>
      </c>
    </row>
    <row r="98" spans="1:53" x14ac:dyDescent="0.2">
      <c r="A98" s="55"/>
      <c r="B98" s="44">
        <v>5</v>
      </c>
      <c r="C98" s="45">
        <v>11.832000000000001</v>
      </c>
      <c r="D98" s="45">
        <v>13.839</v>
      </c>
      <c r="E98" s="46">
        <v>3.9192</v>
      </c>
      <c r="F98" s="44">
        <v>1.5291999999999999</v>
      </c>
      <c r="G98" s="45">
        <v>0.48799999999999999</v>
      </c>
      <c r="H98" s="47">
        <v>0.92600000000000005</v>
      </c>
      <c r="I98" s="48">
        <v>627.79999999999995</v>
      </c>
      <c r="J98" s="49">
        <v>59.74</v>
      </c>
      <c r="K98" s="54"/>
      <c r="L98" s="54"/>
      <c r="M98" s="44">
        <v>5</v>
      </c>
      <c r="N98" s="47">
        <v>11.798</v>
      </c>
      <c r="O98" s="50">
        <v>14.821</v>
      </c>
      <c r="P98" s="51">
        <v>5.6143999999999998</v>
      </c>
      <c r="Q98" s="47">
        <v>1.7007000000000001</v>
      </c>
      <c r="R98" s="56">
        <v>0.60599999999999998</v>
      </c>
      <c r="S98" s="47">
        <v>0.61599999999999999</v>
      </c>
      <c r="T98" s="52">
        <v>576.20000000000005</v>
      </c>
      <c r="U98" s="53">
        <v>48.12</v>
      </c>
      <c r="V98" s="54"/>
      <c r="W98" s="54"/>
      <c r="X98" s="47">
        <v>5</v>
      </c>
      <c r="Y98" s="46">
        <v>1.2714000000000001</v>
      </c>
      <c r="Z98" s="46">
        <v>0.4425</v>
      </c>
      <c r="AA98" s="46">
        <v>4.4400000000000002E-2</v>
      </c>
      <c r="AB98" s="53">
        <v>0.8</v>
      </c>
      <c r="AC98" s="54">
        <v>4.67</v>
      </c>
      <c r="AD98" s="54"/>
      <c r="AE98" s="54"/>
      <c r="AF98" s="54">
        <f t="shared" si="23"/>
        <v>0.91780821917808231</v>
      </c>
      <c r="AG98" s="123"/>
      <c r="AQ98" s="33">
        <f t="shared" si="24"/>
        <v>48.56456</v>
      </c>
      <c r="AS98" s="27">
        <f t="shared" si="25"/>
        <v>837.84867999999994</v>
      </c>
      <c r="AT98" s="33">
        <f t="shared" si="26"/>
        <v>931.81353000000001</v>
      </c>
      <c r="BA98" s="33">
        <f t="shared" si="27"/>
        <v>33.90108</v>
      </c>
    </row>
    <row r="99" spans="1:53" x14ac:dyDescent="0.2">
      <c r="A99" s="55">
        <f>(N94+N105)/2</f>
        <v>11.497</v>
      </c>
      <c r="B99" s="44">
        <v>6</v>
      </c>
      <c r="C99" s="45">
        <v>11.608000000000001</v>
      </c>
      <c r="D99" s="45">
        <v>13.823</v>
      </c>
      <c r="E99" s="46">
        <v>3.9308999999999998</v>
      </c>
      <c r="F99" s="44">
        <v>1.5277000000000001</v>
      </c>
      <c r="G99" s="45">
        <v>0.497</v>
      </c>
      <c r="H99" s="47">
        <v>0.91300000000000003</v>
      </c>
      <c r="I99" s="48">
        <v>638.9</v>
      </c>
      <c r="J99" s="49">
        <v>58.65</v>
      </c>
      <c r="K99" s="54"/>
      <c r="L99" s="54"/>
      <c r="M99" s="44">
        <v>6</v>
      </c>
      <c r="N99" s="47">
        <v>11.595000000000001</v>
      </c>
      <c r="O99" s="50">
        <v>14.845000000000001</v>
      </c>
      <c r="P99" s="51">
        <v>5.6306000000000003</v>
      </c>
      <c r="Q99" s="47">
        <v>1.6984999999999999</v>
      </c>
      <c r="R99" s="56">
        <v>0.61599999999999999</v>
      </c>
      <c r="S99" s="47">
        <v>0.60499999999999998</v>
      </c>
      <c r="T99" s="52">
        <v>585.4</v>
      </c>
      <c r="U99" s="53">
        <v>46.27</v>
      </c>
      <c r="V99" s="54"/>
      <c r="W99" s="54"/>
      <c r="X99" s="47">
        <v>6</v>
      </c>
      <c r="Y99" s="46">
        <v>1.2945</v>
      </c>
      <c r="Z99" s="46">
        <v>0.44729999999999998</v>
      </c>
      <c r="AA99" s="46">
        <v>4.3400000000000001E-2</v>
      </c>
      <c r="AB99" s="53">
        <v>1</v>
      </c>
      <c r="AC99" s="54">
        <v>4.1100000000000003</v>
      </c>
      <c r="AD99" s="54"/>
      <c r="AE99" s="54"/>
      <c r="AF99" s="54">
        <f t="shared" si="23"/>
        <v>0.91626232587259349</v>
      </c>
      <c r="AG99" s="123"/>
      <c r="AQ99" s="33">
        <f t="shared" si="24"/>
        <v>48.704690000000006</v>
      </c>
      <c r="AS99" s="27">
        <f t="shared" si="25"/>
        <v>837.02683000000002</v>
      </c>
      <c r="AT99" s="33">
        <f t="shared" si="26"/>
        <v>930.60814999999991</v>
      </c>
      <c r="BA99" s="33">
        <f t="shared" si="27"/>
        <v>34.002285000000001</v>
      </c>
    </row>
    <row r="100" spans="1:53" x14ac:dyDescent="0.2">
      <c r="A100" s="55">
        <f>PI()*(N94^2-N105^2)</f>
        <v>155.31123017478384</v>
      </c>
      <c r="B100" s="44">
        <v>7</v>
      </c>
      <c r="C100" s="45">
        <v>11.382999999999999</v>
      </c>
      <c r="D100" s="45">
        <v>13.808</v>
      </c>
      <c r="E100" s="46">
        <v>3.9419</v>
      </c>
      <c r="F100" s="44">
        <v>1.5283</v>
      </c>
      <c r="G100" s="45">
        <v>0.505</v>
      </c>
      <c r="H100" s="47">
        <v>0.90100000000000002</v>
      </c>
      <c r="I100" s="48">
        <v>648.6</v>
      </c>
      <c r="J100" s="49">
        <v>57.6</v>
      </c>
      <c r="K100" s="54"/>
      <c r="L100" s="54"/>
      <c r="M100" s="44">
        <v>7</v>
      </c>
      <c r="N100" s="47">
        <v>11.391999999999999</v>
      </c>
      <c r="O100" s="50">
        <v>14.87</v>
      </c>
      <c r="P100" s="51">
        <v>5.6467000000000001</v>
      </c>
      <c r="Q100" s="47">
        <v>1.6989000000000001</v>
      </c>
      <c r="R100" s="56">
        <v>0.627</v>
      </c>
      <c r="S100" s="47">
        <v>0.59599999999999997</v>
      </c>
      <c r="T100" s="52">
        <v>596.70000000000005</v>
      </c>
      <c r="U100" s="53">
        <v>44.22</v>
      </c>
      <c r="V100" s="54"/>
      <c r="W100" s="54"/>
      <c r="X100" s="47">
        <v>7</v>
      </c>
      <c r="Y100" s="46">
        <v>1.3180000000000001</v>
      </c>
      <c r="Z100" s="46">
        <v>0.45090000000000002</v>
      </c>
      <c r="AA100" s="46">
        <v>4.2999999999999997E-2</v>
      </c>
      <c r="AB100" s="53">
        <v>1.2</v>
      </c>
      <c r="AC100" s="54">
        <v>3.78</v>
      </c>
      <c r="AD100" s="54"/>
      <c r="AE100" s="54"/>
      <c r="AF100" s="54">
        <f t="shared" si="23"/>
        <v>0.91998149861239598</v>
      </c>
      <c r="AG100" s="123"/>
      <c r="AQ100" s="33">
        <f t="shared" si="24"/>
        <v>48.843955000000001</v>
      </c>
      <c r="AS100" s="27">
        <f t="shared" si="25"/>
        <v>837.35556999999994</v>
      </c>
      <c r="AT100" s="33">
        <f t="shared" si="26"/>
        <v>930.82731000000001</v>
      </c>
      <c r="BA100" s="33">
        <f t="shared" si="27"/>
        <v>34.097435000000004</v>
      </c>
    </row>
    <row r="101" spans="1:53" x14ac:dyDescent="0.2">
      <c r="A101" s="55"/>
      <c r="B101" s="44">
        <v>8</v>
      </c>
      <c r="C101" s="45">
        <v>11.156000000000001</v>
      </c>
      <c r="D101" s="45">
        <v>13.794</v>
      </c>
      <c r="E101" s="46">
        <v>3.9518</v>
      </c>
      <c r="F101" s="44">
        <v>1.5325</v>
      </c>
      <c r="G101" s="45">
        <v>0.51200000000000001</v>
      </c>
      <c r="H101" s="47">
        <v>0.88700000000000001</v>
      </c>
      <c r="I101" s="48">
        <v>657.5</v>
      </c>
      <c r="J101" s="49">
        <v>56.55</v>
      </c>
      <c r="K101" s="54"/>
      <c r="L101" s="54"/>
      <c r="M101" s="44">
        <v>8</v>
      </c>
      <c r="N101" s="47">
        <v>11.189</v>
      </c>
      <c r="O101" s="50">
        <v>14.895</v>
      </c>
      <c r="P101" s="51">
        <v>5.6628999999999996</v>
      </c>
      <c r="Q101" s="47">
        <v>1.7037</v>
      </c>
      <c r="R101" s="56">
        <v>0.64</v>
      </c>
      <c r="S101" s="47">
        <v>0.58599999999999997</v>
      </c>
      <c r="T101" s="52">
        <v>609.29999999999995</v>
      </c>
      <c r="U101" s="53">
        <v>41.92</v>
      </c>
      <c r="V101" s="54"/>
      <c r="W101" s="54"/>
      <c r="X101" s="47">
        <v>8</v>
      </c>
      <c r="Y101" s="46">
        <v>1.3414999999999999</v>
      </c>
      <c r="Z101" s="46">
        <v>0.45479999999999998</v>
      </c>
      <c r="AA101" s="46">
        <v>4.3900000000000002E-2</v>
      </c>
      <c r="AB101" s="53">
        <v>1.4</v>
      </c>
      <c r="AC101" s="54">
        <v>3.5</v>
      </c>
      <c r="AD101" s="54"/>
      <c r="AE101" s="54"/>
      <c r="AF101" s="54">
        <f t="shared" si="23"/>
        <v>0.92669201520912536</v>
      </c>
      <c r="AG101" s="123"/>
      <c r="AQ101" s="33">
        <f t="shared" si="24"/>
        <v>48.984085</v>
      </c>
      <c r="AS101" s="27">
        <f t="shared" si="25"/>
        <v>839.65674999999999</v>
      </c>
      <c r="AT101" s="33">
        <f t="shared" si="26"/>
        <v>933.45722999999998</v>
      </c>
      <c r="BA101" s="33">
        <f t="shared" si="27"/>
        <v>34.183070000000001</v>
      </c>
    </row>
    <row r="102" spans="1:53" x14ac:dyDescent="0.2">
      <c r="A102" s="55"/>
      <c r="B102" s="44">
        <v>9</v>
      </c>
      <c r="C102" s="45">
        <v>10.925000000000001</v>
      </c>
      <c r="D102" s="45">
        <v>13.781000000000001</v>
      </c>
      <c r="E102" s="46">
        <v>3.9594</v>
      </c>
      <c r="F102" s="44">
        <v>1.5395000000000001</v>
      </c>
      <c r="G102" s="45">
        <v>0.51700000000000002</v>
      </c>
      <c r="H102" s="47">
        <v>0.871</v>
      </c>
      <c r="I102" s="48">
        <v>664.3</v>
      </c>
      <c r="J102" s="49">
        <v>55.51</v>
      </c>
      <c r="K102" s="54"/>
      <c r="L102" s="54"/>
      <c r="M102" s="44">
        <v>9</v>
      </c>
      <c r="N102" s="47">
        <v>10.984999999999999</v>
      </c>
      <c r="O102" s="50">
        <v>14.920999999999999</v>
      </c>
      <c r="P102" s="51">
        <v>5.6790000000000003</v>
      </c>
      <c r="Q102" s="47">
        <v>1.7121999999999999</v>
      </c>
      <c r="R102" s="56">
        <v>0.65400000000000003</v>
      </c>
      <c r="S102" s="47">
        <v>0.57499999999999996</v>
      </c>
      <c r="T102" s="52">
        <v>621.79999999999995</v>
      </c>
      <c r="U102" s="53">
        <v>39.33</v>
      </c>
      <c r="V102" s="54"/>
      <c r="W102" s="54"/>
      <c r="X102" s="47">
        <v>9</v>
      </c>
      <c r="Y102" s="46">
        <v>1.3646</v>
      </c>
      <c r="Z102" s="46">
        <v>0.45989999999999998</v>
      </c>
      <c r="AA102" s="46">
        <v>4.7199999999999999E-2</v>
      </c>
      <c r="AB102" s="53">
        <v>1.5</v>
      </c>
      <c r="AC102" s="54">
        <v>3.28</v>
      </c>
      <c r="AD102" s="54"/>
      <c r="AE102" s="54"/>
      <c r="AF102" s="54">
        <f t="shared" si="23"/>
        <v>0.93602288122836064</v>
      </c>
      <c r="AG102" s="123"/>
      <c r="AQ102" s="33">
        <f t="shared" si="24"/>
        <v>49.123350000000002</v>
      </c>
      <c r="AS102" s="27">
        <f t="shared" si="25"/>
        <v>843.49205000000006</v>
      </c>
      <c r="AT102" s="33">
        <f t="shared" si="26"/>
        <v>938.11437999999998</v>
      </c>
      <c r="BA102" s="33">
        <f t="shared" si="27"/>
        <v>34.248809999999999</v>
      </c>
    </row>
    <row r="103" spans="1:53" x14ac:dyDescent="0.2">
      <c r="A103" s="55"/>
      <c r="B103" s="44">
        <v>10</v>
      </c>
      <c r="C103" s="45">
        <v>10.688000000000001</v>
      </c>
      <c r="D103" s="45">
        <v>13.766999999999999</v>
      </c>
      <c r="E103" s="46">
        <v>3.9590000000000001</v>
      </c>
      <c r="F103" s="44">
        <v>1.5550999999999999</v>
      </c>
      <c r="G103" s="45">
        <v>0.51700000000000002</v>
      </c>
      <c r="H103" s="47">
        <v>0.84</v>
      </c>
      <c r="I103" s="48">
        <v>661.8</v>
      </c>
      <c r="J103" s="49">
        <v>54.39</v>
      </c>
      <c r="K103" s="54"/>
      <c r="L103" s="54"/>
      <c r="M103" s="44">
        <v>10</v>
      </c>
      <c r="N103" s="47">
        <v>10.776</v>
      </c>
      <c r="O103" s="50">
        <v>14.95</v>
      </c>
      <c r="P103" s="51">
        <v>5.6951999999999998</v>
      </c>
      <c r="Q103" s="47">
        <v>1.7315</v>
      </c>
      <c r="R103" s="56">
        <v>0.67</v>
      </c>
      <c r="S103" s="47">
        <v>0.54700000000000004</v>
      </c>
      <c r="T103" s="52">
        <v>619.79999999999995</v>
      </c>
      <c r="U103" s="53">
        <v>36.03</v>
      </c>
      <c r="V103" s="54"/>
      <c r="W103" s="54"/>
      <c r="X103" s="47">
        <v>10</v>
      </c>
      <c r="Y103" s="46">
        <v>1.3869</v>
      </c>
      <c r="Z103" s="46">
        <v>0.47910000000000003</v>
      </c>
      <c r="AA103" s="46">
        <v>5.3400000000000003E-2</v>
      </c>
      <c r="AB103" s="53">
        <v>1.4</v>
      </c>
      <c r="AC103" s="54">
        <v>3.46</v>
      </c>
      <c r="AD103" s="54"/>
      <c r="AE103" s="54"/>
      <c r="AF103" s="54">
        <f t="shared" si="23"/>
        <v>0.93653671804170446</v>
      </c>
      <c r="AG103" s="123"/>
      <c r="AQ103" s="33">
        <f t="shared" si="24"/>
        <v>49.263480000000001</v>
      </c>
      <c r="AS103" s="27">
        <f t="shared" si="25"/>
        <v>852.03928999999994</v>
      </c>
      <c r="AT103" s="33">
        <f t="shared" si="26"/>
        <v>948.68885</v>
      </c>
      <c r="BA103" s="33">
        <f t="shared" si="27"/>
        <v>34.245350000000002</v>
      </c>
    </row>
    <row r="104" spans="1:53" x14ac:dyDescent="0.2">
      <c r="A104" s="55"/>
      <c r="B104" s="44">
        <v>11</v>
      </c>
      <c r="C104" s="45">
        <v>10.438000000000001</v>
      </c>
      <c r="D104" s="45">
        <v>13.746</v>
      </c>
      <c r="E104" s="46">
        <v>3.9496000000000002</v>
      </c>
      <c r="F104" s="44">
        <v>1.5835999999999999</v>
      </c>
      <c r="G104" s="45">
        <v>0.51300000000000001</v>
      </c>
      <c r="H104" s="47">
        <v>0.77700000000000002</v>
      </c>
      <c r="I104" s="48">
        <v>641.29999999999995</v>
      </c>
      <c r="J104" s="49">
        <v>52.78</v>
      </c>
      <c r="K104" s="54"/>
      <c r="L104" s="54"/>
      <c r="M104" s="44">
        <v>11</v>
      </c>
      <c r="N104" s="47">
        <v>10.551</v>
      </c>
      <c r="O104" s="50">
        <v>14.992000000000001</v>
      </c>
      <c r="P104" s="51">
        <v>5.7114000000000003</v>
      </c>
      <c r="Q104" s="47">
        <v>1.7662</v>
      </c>
      <c r="R104" s="56">
        <v>0.68899999999999995</v>
      </c>
      <c r="S104" s="47">
        <v>0.47499999999999998</v>
      </c>
      <c r="T104" s="52">
        <v>572.70000000000005</v>
      </c>
      <c r="U104" s="53">
        <v>31.18</v>
      </c>
      <c r="V104" s="54"/>
      <c r="W104" s="54"/>
      <c r="X104" s="47">
        <v>11</v>
      </c>
      <c r="Y104" s="46">
        <v>1.4085000000000001</v>
      </c>
      <c r="Z104" s="46">
        <v>0.54010000000000002</v>
      </c>
      <c r="AA104" s="46">
        <v>6.4399999999999999E-2</v>
      </c>
      <c r="AB104" s="53">
        <v>0.7</v>
      </c>
      <c r="AC104" s="54">
        <v>4.47</v>
      </c>
      <c r="AD104" s="54"/>
      <c r="AE104" s="54"/>
      <c r="AF104" s="54">
        <f t="shared" si="23"/>
        <v>0.89302978325276794</v>
      </c>
      <c r="AG104" s="123"/>
      <c r="AQ104" s="33">
        <f t="shared" si="24"/>
        <v>49.403610000000008</v>
      </c>
      <c r="AS104" s="27">
        <f t="shared" si="25"/>
        <v>867.65443999999991</v>
      </c>
      <c r="AT104" s="33">
        <f t="shared" si="26"/>
        <v>967.70097999999996</v>
      </c>
      <c r="BA104" s="33">
        <f t="shared" si="27"/>
        <v>34.16404</v>
      </c>
    </row>
    <row r="105" spans="1:53" x14ac:dyDescent="0.2">
      <c r="A105" s="55"/>
      <c r="B105" s="44">
        <v>12</v>
      </c>
      <c r="C105" s="45">
        <v>10.304</v>
      </c>
      <c r="D105" s="45">
        <v>13.743</v>
      </c>
      <c r="E105" s="46">
        <v>3.9405999999999999</v>
      </c>
      <c r="F105" s="44">
        <v>1.6042000000000001</v>
      </c>
      <c r="G105" s="45">
        <v>0.50700000000000001</v>
      </c>
      <c r="H105" s="47">
        <v>0.73</v>
      </c>
      <c r="I105" s="48">
        <v>618</v>
      </c>
      <c r="J105" s="49">
        <v>51.93</v>
      </c>
      <c r="K105" s="54"/>
      <c r="L105" s="54"/>
      <c r="M105" s="44">
        <v>12</v>
      </c>
      <c r="N105" s="47">
        <v>10.422000000000001</v>
      </c>
      <c r="O105" s="50">
        <v>15.005000000000001</v>
      </c>
      <c r="P105" s="51">
        <v>5.7194000000000003</v>
      </c>
      <c r="Q105" s="47">
        <v>1.7915000000000001</v>
      </c>
      <c r="R105" s="56">
        <v>0.69899999999999995</v>
      </c>
      <c r="S105" s="47">
        <v>0.41299999999999998</v>
      </c>
      <c r="T105" s="52">
        <v>519</v>
      </c>
      <c r="U105" s="53">
        <v>27.67</v>
      </c>
      <c r="V105" s="54"/>
      <c r="W105" s="54"/>
      <c r="X105" s="47">
        <v>12</v>
      </c>
      <c r="Y105" s="46">
        <v>1.4193</v>
      </c>
      <c r="Z105" s="46">
        <v>0.60250000000000004</v>
      </c>
      <c r="AA105" s="46">
        <v>7.5399999999999995E-2</v>
      </c>
      <c r="AB105" s="53">
        <v>0</v>
      </c>
      <c r="AC105" s="54">
        <v>9.16</v>
      </c>
      <c r="AD105" s="54"/>
      <c r="AE105" s="54"/>
      <c r="AF105" s="54">
        <f t="shared" si="23"/>
        <v>0.83980582524271841</v>
      </c>
      <c r="AG105" s="123"/>
      <c r="AQ105" s="33">
        <f t="shared" si="24"/>
        <v>49.472810000000003</v>
      </c>
      <c r="AS105" s="27">
        <f t="shared" si="25"/>
        <v>878.94118000000003</v>
      </c>
      <c r="AT105" s="33">
        <f t="shared" si="26"/>
        <v>981.56285000000003</v>
      </c>
      <c r="BA105" s="33">
        <f t="shared" si="27"/>
        <v>34.086190000000002</v>
      </c>
    </row>
    <row r="106" spans="1:53" x14ac:dyDescent="0.2">
      <c r="A106" s="128" t="s">
        <v>120</v>
      </c>
      <c r="B106" s="58"/>
      <c r="C106" s="58"/>
      <c r="D106" s="58"/>
      <c r="E106" s="58"/>
      <c r="F106" s="58"/>
      <c r="G106" s="58"/>
      <c r="H106" s="54"/>
      <c r="I106" s="58"/>
      <c r="J106" s="58"/>
      <c r="K106" s="54"/>
      <c r="L106" s="54"/>
      <c r="M106" s="58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8"/>
      <c r="Z106" s="58"/>
      <c r="AA106" s="58"/>
      <c r="AB106" s="54"/>
      <c r="AC106" s="54"/>
      <c r="AD106" s="54"/>
      <c r="AE106" s="54"/>
      <c r="AF106" s="54" t="e">
        <f t="shared" si="23"/>
        <v>#DIV/0!</v>
      </c>
      <c r="AG106" s="57"/>
    </row>
    <row r="107" spans="1:53" x14ac:dyDescent="0.2">
      <c r="A107" s="55"/>
      <c r="B107" s="58">
        <v>1</v>
      </c>
      <c r="C107" s="58">
        <v>12.525</v>
      </c>
      <c r="D107" s="58">
        <v>15.333</v>
      </c>
      <c r="E107" s="58">
        <v>5.5579000000000001</v>
      </c>
      <c r="F107" s="58">
        <v>1.8132999999999999</v>
      </c>
      <c r="G107" s="58">
        <v>0.59499999999999997</v>
      </c>
      <c r="H107" s="54">
        <v>0</v>
      </c>
      <c r="I107" s="58">
        <v>418.6</v>
      </c>
      <c r="J107" s="58">
        <v>60.88</v>
      </c>
      <c r="K107" s="54">
        <v>-4.84</v>
      </c>
      <c r="L107" s="54"/>
      <c r="M107" s="58">
        <v>1</v>
      </c>
      <c r="N107" s="54">
        <v>12.456</v>
      </c>
      <c r="O107" s="54">
        <v>16.141999999999999</v>
      </c>
      <c r="P107" s="54">
        <v>5.4698000000000002</v>
      </c>
      <c r="Q107" s="54">
        <v>1.8132999999999999</v>
      </c>
      <c r="R107" s="54">
        <v>0.39800000000000002</v>
      </c>
      <c r="S107" s="54">
        <v>497.9</v>
      </c>
      <c r="T107" s="54">
        <v>31.6</v>
      </c>
      <c r="U107" s="54">
        <v>-4.84</v>
      </c>
      <c r="V107" s="54"/>
      <c r="W107" s="54"/>
      <c r="X107" s="54">
        <v>1</v>
      </c>
      <c r="Y107" s="58">
        <v>1.248</v>
      </c>
      <c r="Z107" s="58">
        <v>0.52759999999999996</v>
      </c>
      <c r="AA107" s="125">
        <v>7.4999999999999997E-2</v>
      </c>
      <c r="AB107" s="54">
        <v>-1.97</v>
      </c>
      <c r="AC107" s="54">
        <v>9.56</v>
      </c>
      <c r="AD107" s="54"/>
      <c r="AE107" s="54"/>
      <c r="AF107" s="54">
        <f t="shared" si="23"/>
        <v>7.5489727663640704E-2</v>
      </c>
      <c r="AG107" s="122">
        <v>92</v>
      </c>
      <c r="AQ107" s="33">
        <f t="shared" si="24"/>
        <v>47.313770000000005</v>
      </c>
      <c r="AS107" s="27">
        <f t="shared" si="25"/>
        <v>993.50706999999989</v>
      </c>
      <c r="AT107" s="33">
        <f t="shared" si="26"/>
        <v>993.50706999999989</v>
      </c>
      <c r="BA107" s="33">
        <f t="shared" si="27"/>
        <v>48.075835000000005</v>
      </c>
    </row>
    <row r="108" spans="1:53" x14ac:dyDescent="0.2">
      <c r="A108" s="55"/>
      <c r="B108" s="58">
        <v>2</v>
      </c>
      <c r="C108" s="58">
        <v>12.34</v>
      </c>
      <c r="D108" s="58">
        <v>15.304</v>
      </c>
      <c r="E108" s="58">
        <v>5.57</v>
      </c>
      <c r="F108" s="58">
        <v>1.7593000000000001</v>
      </c>
      <c r="G108" s="58">
        <v>0.60299999999999998</v>
      </c>
      <c r="H108" s="54">
        <v>0</v>
      </c>
      <c r="I108" s="58">
        <v>526.9</v>
      </c>
      <c r="J108" s="58">
        <v>52.16</v>
      </c>
      <c r="K108" s="54">
        <v>-3.25</v>
      </c>
      <c r="L108" s="54"/>
      <c r="M108" s="58">
        <v>2</v>
      </c>
      <c r="N108" s="54">
        <v>12.295999999999999</v>
      </c>
      <c r="O108" s="54">
        <v>16.18</v>
      </c>
      <c r="P108" s="54">
        <v>5.4954999999999998</v>
      </c>
      <c r="Q108" s="54">
        <v>1.7593000000000001</v>
      </c>
      <c r="R108" s="54">
        <v>0.41099999999999998</v>
      </c>
      <c r="S108" s="54">
        <v>540.1</v>
      </c>
      <c r="T108" s="54">
        <v>24.81</v>
      </c>
      <c r="U108" s="54">
        <v>-3.5</v>
      </c>
      <c r="V108" s="54"/>
      <c r="W108" s="54"/>
      <c r="X108" s="54">
        <v>2</v>
      </c>
      <c r="Y108" s="58">
        <v>1.248</v>
      </c>
      <c r="Z108" s="58">
        <v>0.50680000000000003</v>
      </c>
      <c r="AA108" s="126">
        <v>8.0949999999999994E-2</v>
      </c>
      <c r="AB108" s="54">
        <v>-1.46</v>
      </c>
      <c r="AC108" s="54">
        <v>8.06</v>
      </c>
      <c r="AD108" s="54"/>
      <c r="AE108" s="54"/>
      <c r="AF108" s="54">
        <f t="shared" si="23"/>
        <v>4.7086733725564621E-2</v>
      </c>
      <c r="AG108" s="123"/>
      <c r="AQ108" s="33">
        <f t="shared" si="24"/>
        <v>47.536075000000004</v>
      </c>
      <c r="AS108" s="27">
        <f t="shared" si="25"/>
        <v>963.92047000000002</v>
      </c>
      <c r="AT108" s="33">
        <f t="shared" si="26"/>
        <v>963.92047000000002</v>
      </c>
      <c r="BA108" s="33">
        <f t="shared" si="27"/>
        <v>48.180500000000002</v>
      </c>
    </row>
    <row r="109" spans="1:53" x14ac:dyDescent="0.2">
      <c r="A109" s="55"/>
      <c r="B109" s="58">
        <v>3</v>
      </c>
      <c r="C109" s="58">
        <v>12.183</v>
      </c>
      <c r="D109" s="58">
        <v>15.295</v>
      </c>
      <c r="E109" s="58">
        <v>5.5820999999999996</v>
      </c>
      <c r="F109" s="58">
        <v>1.7278</v>
      </c>
      <c r="G109" s="58">
        <v>0.60899999999999999</v>
      </c>
      <c r="H109" s="54">
        <v>0</v>
      </c>
      <c r="I109" s="58">
        <v>576</v>
      </c>
      <c r="J109" s="58">
        <v>47.94</v>
      </c>
      <c r="K109" s="54">
        <v>-2.5499999999999998</v>
      </c>
      <c r="L109" s="54"/>
      <c r="M109" s="58">
        <v>3</v>
      </c>
      <c r="N109" s="54">
        <v>12.148</v>
      </c>
      <c r="O109" s="54">
        <v>16.193999999999999</v>
      </c>
      <c r="P109" s="54">
        <v>5.5159000000000002</v>
      </c>
      <c r="Q109" s="54">
        <v>1.7278</v>
      </c>
      <c r="R109" s="54">
        <v>0.42099999999999999</v>
      </c>
      <c r="S109" s="54">
        <v>563</v>
      </c>
      <c r="T109" s="54">
        <v>21.3</v>
      </c>
      <c r="U109" s="54">
        <v>-2.9</v>
      </c>
      <c r="V109" s="54"/>
      <c r="W109" s="54"/>
      <c r="X109" s="54">
        <v>3</v>
      </c>
      <c r="Y109" s="58">
        <v>1.248</v>
      </c>
      <c r="Z109" s="58">
        <v>0.4924</v>
      </c>
      <c r="AA109" s="126">
        <v>8.4720000000000004E-2</v>
      </c>
      <c r="AB109" s="54">
        <v>-0.83</v>
      </c>
      <c r="AC109" s="54">
        <v>6.44</v>
      </c>
      <c r="AD109" s="54"/>
      <c r="AE109" s="54"/>
      <c r="AF109" s="54">
        <f t="shared" si="23"/>
        <v>3.6979166666666667E-2</v>
      </c>
      <c r="AG109" s="123"/>
      <c r="AQ109" s="33">
        <f t="shared" si="24"/>
        <v>47.712535000000003</v>
      </c>
      <c r="AS109" s="27">
        <f t="shared" si="25"/>
        <v>946.66161999999997</v>
      </c>
      <c r="AT109" s="33">
        <f t="shared" si="26"/>
        <v>946.66161999999997</v>
      </c>
      <c r="BA109" s="33">
        <f t="shared" si="27"/>
        <v>48.285164999999999</v>
      </c>
    </row>
    <row r="110" spans="1:53" x14ac:dyDescent="0.2">
      <c r="A110" s="55"/>
      <c r="B110" s="58">
        <v>4</v>
      </c>
      <c r="C110" s="58">
        <v>11.986000000000001</v>
      </c>
      <c r="D110" s="58">
        <v>15.298</v>
      </c>
      <c r="E110" s="58">
        <v>5.5983000000000001</v>
      </c>
      <c r="F110" s="58">
        <v>1.7081</v>
      </c>
      <c r="G110" s="58">
        <v>0.61699999999999999</v>
      </c>
      <c r="H110" s="54">
        <v>0</v>
      </c>
      <c r="I110" s="58">
        <v>603.20000000000005</v>
      </c>
      <c r="J110" s="58">
        <v>45.82</v>
      </c>
      <c r="K110" s="54">
        <v>-1.83</v>
      </c>
      <c r="L110" s="54"/>
      <c r="M110" s="58">
        <v>4</v>
      </c>
      <c r="N110" s="54">
        <v>11.96</v>
      </c>
      <c r="O110" s="54">
        <v>16.195</v>
      </c>
      <c r="P110" s="54">
        <v>5.5391000000000004</v>
      </c>
      <c r="Q110" s="54">
        <v>1.7081</v>
      </c>
      <c r="R110" s="54">
        <v>0.432</v>
      </c>
      <c r="S110" s="54">
        <v>581.4</v>
      </c>
      <c r="T110" s="54">
        <v>19.420000000000002</v>
      </c>
      <c r="U110" s="54">
        <v>-2.2799999999999998</v>
      </c>
      <c r="V110" s="54"/>
      <c r="W110" s="54"/>
      <c r="X110" s="54">
        <v>4</v>
      </c>
      <c r="Y110" s="58">
        <v>1.248</v>
      </c>
      <c r="Z110" s="58">
        <v>0.48020000000000002</v>
      </c>
      <c r="AA110" s="126">
        <v>8.7359999999999993E-2</v>
      </c>
      <c r="AB110" s="54">
        <v>-0.75</v>
      </c>
      <c r="AC110" s="54">
        <v>5.08</v>
      </c>
      <c r="AD110" s="54"/>
      <c r="AE110" s="54"/>
      <c r="AF110" s="54">
        <f t="shared" si="23"/>
        <v>3.2194960212201591E-2</v>
      </c>
      <c r="AG110" s="123"/>
      <c r="AQ110" s="33">
        <f t="shared" si="24"/>
        <v>47.913215000000008</v>
      </c>
      <c r="AS110" s="27">
        <f t="shared" si="25"/>
        <v>935.86798999999996</v>
      </c>
      <c r="AT110" s="33">
        <f t="shared" si="26"/>
        <v>935.86798999999996</v>
      </c>
      <c r="BA110" s="33">
        <f t="shared" si="27"/>
        <v>48.425295000000006</v>
      </c>
    </row>
    <row r="111" spans="1:53" x14ac:dyDescent="0.2">
      <c r="A111" s="55"/>
      <c r="B111" s="58">
        <v>5</v>
      </c>
      <c r="C111" s="58">
        <v>11.792999999999999</v>
      </c>
      <c r="D111" s="58">
        <v>15.305</v>
      </c>
      <c r="E111" s="58">
        <v>5.6143999999999998</v>
      </c>
      <c r="F111" s="58">
        <v>1.7004999999999999</v>
      </c>
      <c r="G111" s="58">
        <v>0.625</v>
      </c>
      <c r="H111" s="54">
        <v>0</v>
      </c>
      <c r="I111" s="58">
        <v>612.9</v>
      </c>
      <c r="J111" s="58">
        <v>45.51</v>
      </c>
      <c r="K111" s="54">
        <v>-1.1299999999999999</v>
      </c>
      <c r="L111" s="54"/>
      <c r="M111" s="58">
        <v>5</v>
      </c>
      <c r="N111" s="54">
        <v>11.776</v>
      </c>
      <c r="O111" s="54">
        <v>16.190000000000001</v>
      </c>
      <c r="P111" s="54">
        <v>5.5572999999999997</v>
      </c>
      <c r="Q111" s="54">
        <v>1.7004999999999999</v>
      </c>
      <c r="R111" s="54">
        <v>0.441</v>
      </c>
      <c r="S111" s="54">
        <v>593</v>
      </c>
      <c r="T111" s="54">
        <v>19.079999999999998</v>
      </c>
      <c r="U111" s="54">
        <v>-1.65</v>
      </c>
      <c r="V111" s="54"/>
      <c r="W111" s="54"/>
      <c r="X111" s="54">
        <v>5</v>
      </c>
      <c r="Y111" s="58">
        <v>1.2477</v>
      </c>
      <c r="Z111" s="58">
        <v>0.47449999999999998</v>
      </c>
      <c r="AA111" s="126">
        <v>8.8529999999999998E-2</v>
      </c>
      <c r="AB111" s="54">
        <v>-0.61</v>
      </c>
      <c r="AC111" s="54">
        <v>4.66</v>
      </c>
      <c r="AD111" s="54"/>
      <c r="AE111" s="54"/>
      <c r="AF111" s="54">
        <f t="shared" si="23"/>
        <v>3.1130690161527166E-2</v>
      </c>
      <c r="AG111" s="123"/>
      <c r="AQ111" s="33">
        <f t="shared" si="24"/>
        <v>48.070644999999999</v>
      </c>
      <c r="AS111" s="27">
        <f t="shared" si="25"/>
        <v>931.70394999999996</v>
      </c>
      <c r="AT111" s="33">
        <f t="shared" si="26"/>
        <v>931.70394999999996</v>
      </c>
      <c r="BA111" s="33">
        <f t="shared" si="27"/>
        <v>48.56456</v>
      </c>
    </row>
    <row r="112" spans="1:53" x14ac:dyDescent="0.2">
      <c r="A112" s="55">
        <f>(N107+N118)/2</f>
        <v>11.4985</v>
      </c>
      <c r="B112" s="58">
        <v>6</v>
      </c>
      <c r="C112" s="58">
        <v>11.6</v>
      </c>
      <c r="D112" s="58">
        <v>15.315</v>
      </c>
      <c r="E112" s="58">
        <v>5.6306000000000003</v>
      </c>
      <c r="F112" s="58">
        <v>1.6983999999999999</v>
      </c>
      <c r="G112" s="58">
        <v>0.63400000000000001</v>
      </c>
      <c r="H112" s="54">
        <v>0</v>
      </c>
      <c r="I112" s="58">
        <v>620.20000000000005</v>
      </c>
      <c r="J112" s="58">
        <v>45.55</v>
      </c>
      <c r="K112" s="54">
        <v>-0.36</v>
      </c>
      <c r="L112" s="54"/>
      <c r="M112" s="58">
        <v>6</v>
      </c>
      <c r="N112" s="54">
        <v>11.592000000000001</v>
      </c>
      <c r="O112" s="54">
        <v>16.187000000000001</v>
      </c>
      <c r="P112" s="54">
        <v>5.5728999999999997</v>
      </c>
      <c r="Q112" s="54">
        <v>1.6983999999999999</v>
      </c>
      <c r="R112" s="54">
        <v>0.44800000000000001</v>
      </c>
      <c r="S112" s="54">
        <v>602.4</v>
      </c>
      <c r="T112" s="47">
        <v>19.09</v>
      </c>
      <c r="U112" s="54">
        <v>-0.98</v>
      </c>
      <c r="V112" s="54"/>
      <c r="W112" s="54"/>
      <c r="X112" s="54">
        <v>6</v>
      </c>
      <c r="Y112" s="58">
        <v>1.2497</v>
      </c>
      <c r="Z112" s="58">
        <v>0.4718</v>
      </c>
      <c r="AA112" s="126">
        <v>8.9149999999999993E-2</v>
      </c>
      <c r="AB112" s="54">
        <v>-0.5</v>
      </c>
      <c r="AC112" s="54">
        <v>4.66</v>
      </c>
      <c r="AD112" s="54"/>
      <c r="AE112" s="54"/>
      <c r="AF112" s="54">
        <f t="shared" si="23"/>
        <v>3.078039342147694E-2</v>
      </c>
      <c r="AG112" s="123"/>
      <c r="AQ112" s="33">
        <f t="shared" si="24"/>
        <v>48.205584999999999</v>
      </c>
      <c r="AS112" s="27">
        <f t="shared" si="25"/>
        <v>930.55335999999988</v>
      </c>
      <c r="AT112" s="33">
        <f t="shared" si="26"/>
        <v>930.55335999999988</v>
      </c>
      <c r="BA112" s="33">
        <f t="shared" si="27"/>
        <v>48.704690000000006</v>
      </c>
    </row>
    <row r="113" spans="1:53" x14ac:dyDescent="0.2">
      <c r="A113" s="55">
        <f>PI()*(N107^2-N118^2)</f>
        <v>138.35339997756748</v>
      </c>
      <c r="B113" s="58">
        <v>7</v>
      </c>
      <c r="C113" s="44">
        <v>11.404999999999999</v>
      </c>
      <c r="D113" s="58">
        <v>15.324</v>
      </c>
      <c r="E113" s="58">
        <v>5.6467000000000001</v>
      </c>
      <c r="F113" s="58">
        <v>1.6988000000000001</v>
      </c>
      <c r="G113" s="58">
        <v>0.64400000000000002</v>
      </c>
      <c r="H113" s="54">
        <v>0</v>
      </c>
      <c r="I113" s="58">
        <v>628.9</v>
      </c>
      <c r="J113" s="58">
        <v>45.57</v>
      </c>
      <c r="K113" s="54">
        <v>-0.46</v>
      </c>
      <c r="L113" s="54"/>
      <c r="M113" s="58">
        <v>7</v>
      </c>
      <c r="N113" s="54">
        <v>11.407999999999999</v>
      </c>
      <c r="O113" s="54">
        <v>16.187999999999999</v>
      </c>
      <c r="P113" s="54">
        <v>5.5875000000000004</v>
      </c>
      <c r="Q113" s="54">
        <v>1.6988000000000001</v>
      </c>
      <c r="R113" s="54">
        <v>0.45500000000000002</v>
      </c>
      <c r="S113" s="54">
        <v>611.4</v>
      </c>
      <c r="T113" s="54">
        <v>19.100000000000001</v>
      </c>
      <c r="U113" s="54">
        <v>-0.27</v>
      </c>
      <c r="V113" s="54"/>
      <c r="W113" s="54"/>
      <c r="X113" s="54">
        <v>7</v>
      </c>
      <c r="Y113" s="58">
        <v>1.2599</v>
      </c>
      <c r="Z113" s="58">
        <v>0.49690000000000001</v>
      </c>
      <c r="AA113" s="126">
        <v>8.9539999999999995E-2</v>
      </c>
      <c r="AB113" s="54">
        <v>-0.5</v>
      </c>
      <c r="AC113" s="54">
        <v>4.62</v>
      </c>
      <c r="AD113" s="54"/>
      <c r="AE113" s="54"/>
      <c r="AF113" s="54">
        <f t="shared" si="23"/>
        <v>3.0370488153919545E-2</v>
      </c>
      <c r="AG113" s="123"/>
      <c r="AQ113" s="33">
        <f t="shared" si="24"/>
        <v>48.331875000000004</v>
      </c>
      <c r="AS113" s="27">
        <f t="shared" si="25"/>
        <v>930.77251999999999</v>
      </c>
      <c r="AT113" s="33">
        <f t="shared" si="26"/>
        <v>930.77251999999999</v>
      </c>
      <c r="BA113" s="33">
        <f t="shared" si="27"/>
        <v>48.843955000000001</v>
      </c>
    </row>
    <row r="114" spans="1:53" x14ac:dyDescent="0.2">
      <c r="A114" s="55"/>
      <c r="B114" s="58">
        <v>8</v>
      </c>
      <c r="C114" s="58">
        <v>11.21</v>
      </c>
      <c r="D114" s="58">
        <v>15.329000000000001</v>
      </c>
      <c r="E114" s="58">
        <v>5.6628999999999996</v>
      </c>
      <c r="F114" s="58">
        <v>1.7037</v>
      </c>
      <c r="G114" s="58">
        <v>0.65400000000000003</v>
      </c>
      <c r="H114" s="54">
        <v>0</v>
      </c>
      <c r="I114" s="58">
        <v>638.4</v>
      </c>
      <c r="J114" s="58">
        <v>45.64</v>
      </c>
      <c r="K114" s="54">
        <v>1.33</v>
      </c>
      <c r="L114" s="54"/>
      <c r="M114" s="58">
        <v>8</v>
      </c>
      <c r="N114" s="54">
        <v>11.224</v>
      </c>
      <c r="O114" s="54">
        <v>16.190999999999999</v>
      </c>
      <c r="P114" s="54">
        <v>5.6002999999999998</v>
      </c>
      <c r="Q114" s="54">
        <v>1.7037</v>
      </c>
      <c r="R114" s="54">
        <v>0.46200000000000002</v>
      </c>
      <c r="S114" s="54">
        <v>620.5</v>
      </c>
      <c r="T114" s="47">
        <v>19.059999999999999</v>
      </c>
      <c r="U114" s="54">
        <v>0.48</v>
      </c>
      <c r="V114" s="54"/>
      <c r="W114" s="54"/>
      <c r="X114" s="54">
        <v>8</v>
      </c>
      <c r="Y114" s="58">
        <v>1.2788999999999999</v>
      </c>
      <c r="Z114" s="58">
        <v>0.46850000000000003</v>
      </c>
      <c r="AA114" s="126">
        <v>8.9599999999999999E-2</v>
      </c>
      <c r="AB114" s="54">
        <v>-0.5</v>
      </c>
      <c r="AC114" s="54">
        <v>4.49</v>
      </c>
      <c r="AD114" s="54"/>
      <c r="AE114" s="54"/>
      <c r="AF114" s="54">
        <f t="shared" si="23"/>
        <v>2.9855889724310775E-2</v>
      </c>
      <c r="AG114" s="123"/>
      <c r="AQ114" s="33">
        <f t="shared" si="24"/>
        <v>48.442594999999997</v>
      </c>
      <c r="AS114" s="27">
        <f t="shared" si="25"/>
        <v>933.45722999999998</v>
      </c>
      <c r="AT114" s="33">
        <f t="shared" si="26"/>
        <v>933.45722999999998</v>
      </c>
      <c r="BA114" s="33">
        <f t="shared" si="27"/>
        <v>48.984085</v>
      </c>
    </row>
    <row r="115" spans="1:53" x14ac:dyDescent="0.2">
      <c r="A115" s="55"/>
      <c r="B115" s="58">
        <v>9</v>
      </c>
      <c r="C115" s="58">
        <v>11.012</v>
      </c>
      <c r="D115" s="58">
        <v>15.337</v>
      </c>
      <c r="E115" s="58">
        <v>5.6791</v>
      </c>
      <c r="F115" s="58">
        <v>1.7121999999999999</v>
      </c>
      <c r="G115" s="58">
        <v>0.66600000000000004</v>
      </c>
      <c r="H115" s="54">
        <v>0</v>
      </c>
      <c r="I115" s="58">
        <v>647</v>
      </c>
      <c r="J115" s="58">
        <v>45.88</v>
      </c>
      <c r="K115" s="54">
        <v>2.2400000000000002</v>
      </c>
      <c r="L115" s="54"/>
      <c r="M115" s="58">
        <v>9</v>
      </c>
      <c r="N115" s="47">
        <v>11.038</v>
      </c>
      <c r="O115" s="54">
        <v>16.196999999999999</v>
      </c>
      <c r="P115" s="54">
        <v>5.6083999999999996</v>
      </c>
      <c r="Q115" s="54">
        <v>1.7121999999999999</v>
      </c>
      <c r="R115" s="54">
        <v>0.46600000000000003</v>
      </c>
      <c r="S115" s="54">
        <v>627.70000000000005</v>
      </c>
      <c r="T115" s="54">
        <v>19.22</v>
      </c>
      <c r="U115" s="54">
        <v>1.22</v>
      </c>
      <c r="V115" s="54"/>
      <c r="W115" s="54"/>
      <c r="X115" s="54">
        <v>9</v>
      </c>
      <c r="Y115" s="58">
        <v>1.3015000000000001</v>
      </c>
      <c r="Z115" s="58">
        <v>0.4698</v>
      </c>
      <c r="AA115" s="126">
        <v>8.9330000000000007E-2</v>
      </c>
      <c r="AB115" s="54">
        <v>-0.48</v>
      </c>
      <c r="AC115" s="54">
        <v>4.5999999999999996</v>
      </c>
      <c r="AD115" s="54"/>
      <c r="AE115" s="54"/>
      <c r="AF115" s="54">
        <f t="shared" si="23"/>
        <v>2.970633693972179E-2</v>
      </c>
      <c r="AG115" s="123"/>
      <c r="AQ115" s="33">
        <f t="shared" si="24"/>
        <v>48.512659999999997</v>
      </c>
      <c r="AS115" s="27">
        <f t="shared" si="25"/>
        <v>938.11437999999998</v>
      </c>
      <c r="AT115" s="33">
        <f t="shared" si="26"/>
        <v>938.11437999999998</v>
      </c>
      <c r="BA115" s="33">
        <f t="shared" si="27"/>
        <v>49.124215</v>
      </c>
    </row>
    <row r="116" spans="1:53" x14ac:dyDescent="0.2">
      <c r="A116" s="55"/>
      <c r="B116" s="58">
        <v>10</v>
      </c>
      <c r="C116" s="58">
        <v>10.808999999999999</v>
      </c>
      <c r="D116" s="58">
        <v>15.348000000000001</v>
      </c>
      <c r="E116" s="58">
        <v>5.6951999999999998</v>
      </c>
      <c r="F116" s="58">
        <v>1.7314000000000001</v>
      </c>
      <c r="G116" s="58">
        <v>0.67800000000000005</v>
      </c>
      <c r="H116" s="54">
        <v>0</v>
      </c>
      <c r="I116" s="58">
        <v>639.9</v>
      </c>
      <c r="J116" s="58">
        <v>47.65</v>
      </c>
      <c r="K116" s="54">
        <v>3.24</v>
      </c>
      <c r="L116" s="54"/>
      <c r="M116" s="58">
        <v>10</v>
      </c>
      <c r="N116" s="54">
        <v>10.849</v>
      </c>
      <c r="O116" s="54">
        <v>16.199000000000002</v>
      </c>
      <c r="P116" s="54">
        <v>5.6078999999999999</v>
      </c>
      <c r="Q116" s="54">
        <v>1.7314000000000001</v>
      </c>
      <c r="R116" s="54">
        <v>0.46899999999999997</v>
      </c>
      <c r="S116" s="54">
        <v>629.6</v>
      </c>
      <c r="T116" s="54">
        <v>20.47</v>
      </c>
      <c r="U116" s="54">
        <v>2.0299999999999998</v>
      </c>
      <c r="V116" s="54"/>
      <c r="W116" s="54"/>
      <c r="X116" s="54">
        <v>10</v>
      </c>
      <c r="Y116" s="58">
        <v>1.3251999999999999</v>
      </c>
      <c r="Z116" s="58">
        <v>0.4773</v>
      </c>
      <c r="AA116" s="126">
        <v>8.7970000000000007E-2</v>
      </c>
      <c r="AB116" s="54">
        <v>-0.44</v>
      </c>
      <c r="AC116" s="54">
        <v>5.13</v>
      </c>
      <c r="AD116" s="54"/>
      <c r="AE116" s="54"/>
      <c r="AF116" s="54">
        <f t="shared" si="23"/>
        <v>3.1989373339584307E-2</v>
      </c>
      <c r="AG116" s="123"/>
      <c r="AQ116" s="33">
        <f t="shared" si="24"/>
        <v>48.508335000000002</v>
      </c>
      <c r="AS116" s="27">
        <f t="shared" si="25"/>
        <v>948.63405999999998</v>
      </c>
      <c r="AT116" s="33">
        <f t="shared" si="26"/>
        <v>948.63405999999998</v>
      </c>
      <c r="BA116" s="33">
        <f t="shared" si="27"/>
        <v>49.263480000000001</v>
      </c>
    </row>
    <row r="117" spans="1:53" x14ac:dyDescent="0.2">
      <c r="A117" s="55"/>
      <c r="B117" s="58">
        <v>11</v>
      </c>
      <c r="C117" s="58">
        <v>10.587999999999999</v>
      </c>
      <c r="D117" s="58">
        <v>15.378</v>
      </c>
      <c r="E117" s="58">
        <v>5.7114000000000003</v>
      </c>
      <c r="F117" s="58">
        <v>1.7661</v>
      </c>
      <c r="G117" s="58">
        <v>0.69099999999999995</v>
      </c>
      <c r="H117" s="54">
        <v>0</v>
      </c>
      <c r="I117" s="58">
        <v>585</v>
      </c>
      <c r="J117" s="58">
        <v>53.19</v>
      </c>
      <c r="K117" s="54">
        <v>4.74</v>
      </c>
      <c r="L117" s="54"/>
      <c r="M117" s="58">
        <v>11</v>
      </c>
      <c r="N117" s="54">
        <v>10.648999999999999</v>
      </c>
      <c r="O117" s="54">
        <v>16.184000000000001</v>
      </c>
      <c r="P117" s="54">
        <v>5.5989000000000004</v>
      </c>
      <c r="Q117" s="54">
        <v>1.7661</v>
      </c>
      <c r="R117" s="54">
        <v>0.47</v>
      </c>
      <c r="S117" s="54">
        <v>615</v>
      </c>
      <c r="T117" s="54">
        <v>24.97</v>
      </c>
      <c r="U117" s="54">
        <v>3.27</v>
      </c>
      <c r="V117" s="54"/>
      <c r="W117" s="54"/>
      <c r="X117" s="54">
        <v>11</v>
      </c>
      <c r="Y117" s="58">
        <v>1.3516999999999999</v>
      </c>
      <c r="Z117" s="58">
        <v>0.49130000000000001</v>
      </c>
      <c r="AA117" s="126">
        <v>8.5129999999999997E-2</v>
      </c>
      <c r="AB117" s="54">
        <v>-1.49</v>
      </c>
      <c r="AC117" s="54">
        <v>6.79</v>
      </c>
      <c r="AD117" s="54"/>
      <c r="AE117" s="54"/>
      <c r="AF117" s="54">
        <f t="shared" si="23"/>
        <v>4.2683760683760681E-2</v>
      </c>
      <c r="AG117" s="123"/>
      <c r="AQ117" s="33">
        <f t="shared" si="24"/>
        <v>48.430485000000004</v>
      </c>
      <c r="AS117" s="27">
        <f t="shared" si="25"/>
        <v>967.64618999999993</v>
      </c>
      <c r="AT117" s="33">
        <f t="shared" si="26"/>
        <v>967.64618999999993</v>
      </c>
      <c r="BA117" s="33">
        <f t="shared" si="27"/>
        <v>49.403610000000008</v>
      </c>
    </row>
    <row r="118" spans="1:53" x14ac:dyDescent="0.2">
      <c r="A118" s="55"/>
      <c r="B118" s="58">
        <v>12</v>
      </c>
      <c r="C118" s="58">
        <v>10.462999999999999</v>
      </c>
      <c r="D118" s="58">
        <v>15.404999999999999</v>
      </c>
      <c r="E118" s="58">
        <v>5.7195</v>
      </c>
      <c r="F118" s="58">
        <v>1.7914000000000001</v>
      </c>
      <c r="G118" s="58">
        <v>0.69899999999999995</v>
      </c>
      <c r="H118" s="54">
        <v>0</v>
      </c>
      <c r="I118" s="58">
        <v>527.1</v>
      </c>
      <c r="J118" s="58">
        <v>57.95</v>
      </c>
      <c r="K118" s="54">
        <v>5.91</v>
      </c>
      <c r="L118" s="54"/>
      <c r="M118" s="58">
        <v>12</v>
      </c>
      <c r="N118" s="54">
        <v>10.541</v>
      </c>
      <c r="O118" s="54">
        <v>16.163</v>
      </c>
      <c r="P118" s="54">
        <v>5.5895000000000001</v>
      </c>
      <c r="Q118" s="54">
        <v>1.7914000000000001</v>
      </c>
      <c r="R118" s="54">
        <v>0.46400000000000002</v>
      </c>
      <c r="S118" s="54">
        <v>586.20000000000005</v>
      </c>
      <c r="T118" s="54">
        <v>29.5</v>
      </c>
      <c r="U118" s="54">
        <v>5.91</v>
      </c>
      <c r="V118" s="54"/>
      <c r="W118" s="54"/>
      <c r="X118" s="54">
        <v>12</v>
      </c>
      <c r="Y118" s="58">
        <v>1.3664000000000001</v>
      </c>
      <c r="Z118" s="58">
        <v>0.50629999999999997</v>
      </c>
      <c r="AA118" s="126">
        <v>8.3140000000000006E-2</v>
      </c>
      <c r="AB118" s="54">
        <v>-2.64</v>
      </c>
      <c r="AC118" s="54">
        <v>8.15</v>
      </c>
      <c r="AD118" s="54"/>
      <c r="AE118" s="54"/>
      <c r="AF118" s="54">
        <f t="shared" si="23"/>
        <v>5.596660975147031E-2</v>
      </c>
      <c r="AG118" s="123"/>
      <c r="AQ118" s="33">
        <f t="shared" si="24"/>
        <v>48.349175000000002</v>
      </c>
      <c r="AS118" s="27">
        <f t="shared" si="25"/>
        <v>981.50806</v>
      </c>
      <c r="AT118" s="33">
        <f t="shared" si="26"/>
        <v>981.50806</v>
      </c>
      <c r="BA118" s="33">
        <f t="shared" si="27"/>
        <v>49.473675</v>
      </c>
    </row>
    <row r="119" spans="1:53" x14ac:dyDescent="0.2">
      <c r="A119" s="43" t="s">
        <v>121</v>
      </c>
      <c r="B119" s="58"/>
      <c r="C119" s="58"/>
      <c r="D119" s="58"/>
      <c r="E119" s="58"/>
      <c r="F119" s="58"/>
      <c r="G119" s="58"/>
      <c r="H119" s="54"/>
      <c r="I119" s="58"/>
      <c r="J119" s="58"/>
      <c r="K119" s="54"/>
      <c r="L119" s="54"/>
      <c r="M119" s="58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8"/>
      <c r="Z119" s="58"/>
      <c r="AA119" s="58"/>
      <c r="AB119" s="54"/>
      <c r="AC119" s="54"/>
      <c r="AD119" s="54"/>
      <c r="AE119" s="54"/>
      <c r="AF119" s="54" t="e">
        <f t="shared" si="23"/>
        <v>#DIV/0!</v>
      </c>
      <c r="AG119" s="57"/>
    </row>
    <row r="120" spans="1:53" x14ac:dyDescent="0.2">
      <c r="A120" s="55"/>
      <c r="B120" s="58">
        <v>1</v>
      </c>
      <c r="C120" s="58">
        <v>12.407</v>
      </c>
      <c r="D120" s="58">
        <v>16.724</v>
      </c>
      <c r="E120" s="58">
        <v>5.4698000000000002</v>
      </c>
      <c r="F120" s="58">
        <v>1.8132999999999999</v>
      </c>
      <c r="G120" s="58">
        <v>0.41699999999999998</v>
      </c>
      <c r="H120" s="54">
        <v>0.78400000000000003</v>
      </c>
      <c r="I120" s="58">
        <v>528.29999999999995</v>
      </c>
      <c r="J120" s="58">
        <v>62.72</v>
      </c>
      <c r="K120" s="54">
        <v>-4.84</v>
      </c>
      <c r="L120" s="54"/>
      <c r="M120" s="58">
        <v>1</v>
      </c>
      <c r="N120" s="54">
        <v>12.343</v>
      </c>
      <c r="O120" s="54">
        <v>17.475000000000001</v>
      </c>
      <c r="P120" s="54">
        <v>7.5998000000000001</v>
      </c>
      <c r="Q120" s="54">
        <v>2.0011000000000001</v>
      </c>
      <c r="R120" s="54">
        <v>0.56100000000000005</v>
      </c>
      <c r="S120" s="54">
        <v>0.44400000000000001</v>
      </c>
      <c r="T120" s="54">
        <v>378.7</v>
      </c>
      <c r="U120" s="54">
        <v>55.9</v>
      </c>
      <c r="V120" s="54">
        <v>-4.84</v>
      </c>
      <c r="W120" s="54"/>
      <c r="X120" s="54">
        <v>1</v>
      </c>
      <c r="Y120" s="58">
        <v>1.2153</v>
      </c>
      <c r="Z120" s="58">
        <v>0.57640000000000002</v>
      </c>
      <c r="AA120" s="58">
        <v>8.3000000000000004E-2</v>
      </c>
      <c r="AB120" s="54">
        <v>0.09</v>
      </c>
      <c r="AC120" s="54">
        <v>14.17</v>
      </c>
      <c r="AD120" s="54"/>
      <c r="AE120" s="54"/>
      <c r="AF120" s="54">
        <f t="shared" si="23"/>
        <v>0.71682756009842896</v>
      </c>
      <c r="AG120" s="122">
        <v>70</v>
      </c>
      <c r="AQ120" s="33">
        <f t="shared" si="24"/>
        <v>65.73827</v>
      </c>
      <c r="AS120" s="27">
        <f t="shared" si="25"/>
        <v>993.50706999999989</v>
      </c>
      <c r="AT120" s="33">
        <f t="shared" si="26"/>
        <v>1096.4026900000001</v>
      </c>
      <c r="BA120" s="33">
        <f t="shared" si="27"/>
        <v>47.313770000000005</v>
      </c>
    </row>
    <row r="121" spans="1:53" x14ac:dyDescent="0.2">
      <c r="A121" s="55"/>
      <c r="B121" s="58">
        <v>2</v>
      </c>
      <c r="C121" s="58">
        <v>12.257</v>
      </c>
      <c r="D121" s="58">
        <v>16.710999999999999</v>
      </c>
      <c r="E121" s="58">
        <v>5.4954999999999998</v>
      </c>
      <c r="F121" s="58">
        <v>1.7593000000000001</v>
      </c>
      <c r="G121" s="58">
        <v>0.42799999999999999</v>
      </c>
      <c r="H121" s="54">
        <v>0.83299999999999996</v>
      </c>
      <c r="I121" s="58">
        <v>564.4</v>
      </c>
      <c r="J121" s="58">
        <v>62.08</v>
      </c>
      <c r="K121" s="54">
        <v>-5</v>
      </c>
      <c r="L121" s="54"/>
      <c r="M121" s="58">
        <v>2</v>
      </c>
      <c r="N121" s="54">
        <v>12.179</v>
      </c>
      <c r="O121" s="54">
        <v>17.483000000000001</v>
      </c>
      <c r="P121" s="54">
        <v>7.6157000000000004</v>
      </c>
      <c r="Q121" s="54">
        <v>1.9392</v>
      </c>
      <c r="R121" s="54">
        <v>0.56799999999999995</v>
      </c>
      <c r="S121" s="54">
        <v>0.52500000000000002</v>
      </c>
      <c r="T121" s="54">
        <v>492.3</v>
      </c>
      <c r="U121" s="54">
        <v>51.24</v>
      </c>
      <c r="V121" s="54">
        <v>-4.8899999999999997</v>
      </c>
      <c r="W121" s="54"/>
      <c r="X121" s="54">
        <v>2</v>
      </c>
      <c r="Y121" s="58">
        <v>1.2310000000000001</v>
      </c>
      <c r="Z121" s="58">
        <v>0.49569999999999997</v>
      </c>
      <c r="AA121" s="58">
        <v>6.7900000000000002E-2</v>
      </c>
      <c r="AB121" s="54">
        <v>0.27</v>
      </c>
      <c r="AC121" s="54">
        <v>8.7799999999999994</v>
      </c>
      <c r="AD121" s="54"/>
      <c r="AE121" s="54"/>
      <c r="AF121" s="54">
        <f t="shared" si="23"/>
        <v>0.87225372076541463</v>
      </c>
      <c r="AG121" s="123"/>
      <c r="AQ121" s="33">
        <f t="shared" si="24"/>
        <v>65.875805</v>
      </c>
      <c r="AS121" s="27">
        <f t="shared" si="25"/>
        <v>963.92047000000002</v>
      </c>
      <c r="AT121" s="33">
        <f t="shared" si="26"/>
        <v>1062.48768</v>
      </c>
      <c r="BA121" s="33">
        <f t="shared" si="27"/>
        <v>47.536075000000004</v>
      </c>
    </row>
    <row r="122" spans="1:53" x14ac:dyDescent="0.2">
      <c r="A122" s="55"/>
      <c r="B122" s="58">
        <v>3</v>
      </c>
      <c r="C122" s="58">
        <v>12.117000000000001</v>
      </c>
      <c r="D122" s="58">
        <v>16.7</v>
      </c>
      <c r="E122" s="58">
        <v>5.5159000000000002</v>
      </c>
      <c r="F122" s="58">
        <v>1.7289000000000001</v>
      </c>
      <c r="G122" s="58">
        <v>0.438</v>
      </c>
      <c r="H122" s="54">
        <v>0.85799999999999998</v>
      </c>
      <c r="I122" s="58">
        <v>587.4</v>
      </c>
      <c r="J122" s="58">
        <v>61.48</v>
      </c>
      <c r="K122" s="54">
        <v>-4.45</v>
      </c>
      <c r="L122" s="54"/>
      <c r="M122" s="58">
        <v>3</v>
      </c>
      <c r="N122" s="54">
        <v>12.042999999999999</v>
      </c>
      <c r="O122" s="54">
        <v>17.491</v>
      </c>
      <c r="P122" s="54">
        <v>7.6315</v>
      </c>
      <c r="Q122" s="54">
        <v>1.9024000000000001</v>
      </c>
      <c r="R122" s="54">
        <v>0.57299999999999995</v>
      </c>
      <c r="S122" s="54">
        <v>0.56499999999999995</v>
      </c>
      <c r="T122" s="54">
        <v>542.29999999999995</v>
      </c>
      <c r="U122" s="54">
        <v>49.66</v>
      </c>
      <c r="V122" s="54">
        <v>-4.3899999999999997</v>
      </c>
      <c r="W122" s="54"/>
      <c r="X122" s="54">
        <v>3</v>
      </c>
      <c r="Y122" s="58">
        <v>1.2450000000000001</v>
      </c>
      <c r="Z122" s="58">
        <v>0.45939999999999998</v>
      </c>
      <c r="AA122" s="58">
        <v>5.7299999999999997E-2</v>
      </c>
      <c r="AB122" s="54">
        <v>0.37</v>
      </c>
      <c r="AC122" s="54">
        <v>6.81</v>
      </c>
      <c r="AD122" s="54"/>
      <c r="AE122" s="54"/>
      <c r="AF122" s="54">
        <f t="shared" si="23"/>
        <v>0.92322097378277146</v>
      </c>
      <c r="AG122" s="123"/>
      <c r="AQ122" s="33">
        <f t="shared" si="24"/>
        <v>66.012475000000009</v>
      </c>
      <c r="AS122" s="27">
        <f t="shared" si="25"/>
        <v>947.26431000000002</v>
      </c>
      <c r="AT122" s="33">
        <f t="shared" si="26"/>
        <v>1042.3249599999999</v>
      </c>
      <c r="BA122" s="33">
        <f t="shared" si="27"/>
        <v>47.712535000000003</v>
      </c>
    </row>
    <row r="123" spans="1:53" x14ac:dyDescent="0.2">
      <c r="A123" s="55"/>
      <c r="B123" s="58">
        <v>4</v>
      </c>
      <c r="C123" s="58">
        <v>11.936</v>
      </c>
      <c r="D123" s="58">
        <v>16.684999999999999</v>
      </c>
      <c r="E123" s="58">
        <v>5.5391000000000004</v>
      </c>
      <c r="F123" s="58">
        <v>1.7081</v>
      </c>
      <c r="G123" s="58">
        <v>0.45800000000000002</v>
      </c>
      <c r="H123" s="54">
        <v>0.86699999999999999</v>
      </c>
      <c r="I123" s="58">
        <v>607.4</v>
      </c>
      <c r="J123" s="58">
        <v>60.56</v>
      </c>
      <c r="K123" s="54">
        <v>-3.51</v>
      </c>
      <c r="L123" s="54"/>
      <c r="M123" s="58">
        <v>4</v>
      </c>
      <c r="N123" s="54">
        <v>11.875999999999999</v>
      </c>
      <c r="O123" s="54">
        <v>17.504000000000001</v>
      </c>
      <c r="P123" s="54">
        <v>7.6527000000000003</v>
      </c>
      <c r="Q123" s="54">
        <v>1.8785000000000001</v>
      </c>
      <c r="R123" s="54">
        <v>0.57899999999999996</v>
      </c>
      <c r="S123" s="54">
        <v>0.58199999999999996</v>
      </c>
      <c r="T123" s="54">
        <v>570.70000000000005</v>
      </c>
      <c r="U123" s="54">
        <v>48.3</v>
      </c>
      <c r="V123" s="54">
        <v>-3.54</v>
      </c>
      <c r="W123" s="54"/>
      <c r="X123" s="54">
        <v>4</v>
      </c>
      <c r="Y123" s="58">
        <v>1.2630999999999999</v>
      </c>
      <c r="Z123" s="58">
        <v>0.442</v>
      </c>
      <c r="AA123" s="58">
        <v>4.8000000000000001E-2</v>
      </c>
      <c r="AB123" s="54">
        <v>0.42</v>
      </c>
      <c r="AC123" s="54">
        <v>5.64</v>
      </c>
      <c r="AD123" s="54"/>
      <c r="AE123" s="54"/>
      <c r="AF123" s="54">
        <f t="shared" si="23"/>
        <v>0.93957853144550552</v>
      </c>
      <c r="AG123" s="123"/>
      <c r="AQ123" s="33">
        <f t="shared" si="24"/>
        <v>66.195855000000009</v>
      </c>
      <c r="AS123" s="27">
        <f t="shared" si="25"/>
        <v>935.86798999999996</v>
      </c>
      <c r="AT123" s="33">
        <f t="shared" si="26"/>
        <v>1029.2301500000001</v>
      </c>
      <c r="BA123" s="33">
        <f t="shared" si="27"/>
        <v>47.913215000000008</v>
      </c>
    </row>
    <row r="124" spans="1:53" x14ac:dyDescent="0.2">
      <c r="A124" s="55"/>
      <c r="B124" s="58">
        <v>5</v>
      </c>
      <c r="C124" s="58">
        <v>11.757999999999999</v>
      </c>
      <c r="D124" s="58">
        <v>16.670999999999999</v>
      </c>
      <c r="E124" s="58">
        <v>5.5572999999999997</v>
      </c>
      <c r="F124" s="58">
        <v>1.7004999999999999</v>
      </c>
      <c r="G124" s="58">
        <v>0.46</v>
      </c>
      <c r="H124" s="54">
        <v>0.86199999999999999</v>
      </c>
      <c r="I124" s="58">
        <v>620.1</v>
      </c>
      <c r="J124" s="58">
        <v>59.6</v>
      </c>
      <c r="K124" s="54">
        <v>-2.5499999999999998</v>
      </c>
      <c r="L124" s="54"/>
      <c r="M124" s="58">
        <v>5</v>
      </c>
      <c r="N124" s="54">
        <v>11.712999999999999</v>
      </c>
      <c r="O124" s="54">
        <v>17.518999999999998</v>
      </c>
      <c r="P124" s="54">
        <v>7.6738</v>
      </c>
      <c r="Q124" s="54">
        <v>1.8691</v>
      </c>
      <c r="R124" s="54">
        <v>0.58499999999999996</v>
      </c>
      <c r="S124" s="54">
        <v>0.57899999999999996</v>
      </c>
      <c r="T124" s="54">
        <v>580.79999999999995</v>
      </c>
      <c r="U124" s="54">
        <v>46.97</v>
      </c>
      <c r="V124" s="54">
        <v>-2.7</v>
      </c>
      <c r="W124" s="54"/>
      <c r="X124" s="54">
        <v>5</v>
      </c>
      <c r="Y124" s="58">
        <v>1.2816000000000001</v>
      </c>
      <c r="Z124" s="58">
        <v>0.44159999999999999</v>
      </c>
      <c r="AA124" s="58">
        <v>4.4400000000000002E-2</v>
      </c>
      <c r="AB124" s="54">
        <v>0.44</v>
      </c>
      <c r="AC124" s="54">
        <v>5.12</v>
      </c>
      <c r="AD124" s="54"/>
      <c r="AE124" s="54"/>
      <c r="AF124" s="54">
        <f t="shared" si="23"/>
        <v>0.93662312530237046</v>
      </c>
      <c r="AG124" s="123"/>
      <c r="AQ124" s="33">
        <f t="shared" si="24"/>
        <v>66.378370000000004</v>
      </c>
      <c r="AS124" s="27">
        <f t="shared" si="25"/>
        <v>931.70394999999996</v>
      </c>
      <c r="AT124" s="33">
        <f t="shared" si="26"/>
        <v>1024.07989</v>
      </c>
      <c r="BA124" s="33">
        <f t="shared" si="27"/>
        <v>48.070644999999999</v>
      </c>
    </row>
    <row r="125" spans="1:53" x14ac:dyDescent="0.2">
      <c r="A125" s="55">
        <f>(N120+N131)/2</f>
        <v>11.470500000000001</v>
      </c>
      <c r="B125" s="58">
        <v>6</v>
      </c>
      <c r="C125" s="58">
        <v>11.581</v>
      </c>
      <c r="D125" s="58">
        <v>16.658999999999999</v>
      </c>
      <c r="E125" s="58">
        <v>5.5728999999999997</v>
      </c>
      <c r="F125" s="58">
        <v>1.6983999999999999</v>
      </c>
      <c r="G125" s="58">
        <v>0.46800000000000003</v>
      </c>
      <c r="H125" s="54">
        <v>0.85299999999999998</v>
      </c>
      <c r="I125" s="58">
        <v>629.9</v>
      </c>
      <c r="J125" s="58">
        <v>58.67</v>
      </c>
      <c r="K125" s="54">
        <v>-1.63</v>
      </c>
      <c r="L125" s="54"/>
      <c r="M125" s="58">
        <v>6</v>
      </c>
      <c r="N125" s="54">
        <v>11.55</v>
      </c>
      <c r="O125" s="54">
        <v>17.535</v>
      </c>
      <c r="P125" s="54">
        <v>7.6950000000000003</v>
      </c>
      <c r="Q125" s="54">
        <v>1.8665</v>
      </c>
      <c r="R125" s="54">
        <v>0.59299999999999997</v>
      </c>
      <c r="S125" s="54">
        <v>0.56999999999999995</v>
      </c>
      <c r="T125" s="54">
        <v>587.4</v>
      </c>
      <c r="U125" s="54">
        <v>45.47</v>
      </c>
      <c r="V125" s="54">
        <v>-1.9</v>
      </c>
      <c r="W125" s="54"/>
      <c r="X125" s="54">
        <v>6</v>
      </c>
      <c r="Y125" s="58">
        <v>1.3004</v>
      </c>
      <c r="Z125" s="58">
        <v>0.44590000000000002</v>
      </c>
      <c r="AA125" s="58">
        <v>4.3299999999999998E-2</v>
      </c>
      <c r="AB125" s="54">
        <v>0.46</v>
      </c>
      <c r="AC125" s="54">
        <v>4.9000000000000004</v>
      </c>
      <c r="AD125" s="54"/>
      <c r="AE125" s="54"/>
      <c r="AF125" s="54">
        <f t="shared" si="23"/>
        <v>0.93252897285283376</v>
      </c>
      <c r="AG125" s="123"/>
      <c r="AQ125" s="33">
        <f t="shared" si="24"/>
        <v>66.561750000000004</v>
      </c>
      <c r="AS125" s="27">
        <f t="shared" si="25"/>
        <v>930.55335999999988</v>
      </c>
      <c r="AT125" s="33">
        <f t="shared" si="26"/>
        <v>1022.65535</v>
      </c>
      <c r="BA125" s="33">
        <f t="shared" si="27"/>
        <v>48.205584999999999</v>
      </c>
    </row>
    <row r="126" spans="1:53" x14ac:dyDescent="0.2">
      <c r="A126" s="55">
        <f>PI()*(N120^2-N131^2)</f>
        <v>125.76437848017595</v>
      </c>
      <c r="B126" s="58">
        <v>7</v>
      </c>
      <c r="C126" s="58">
        <v>11.404</v>
      </c>
      <c r="D126" s="58">
        <v>16.646999999999998</v>
      </c>
      <c r="E126" s="58">
        <v>5.5875000000000004</v>
      </c>
      <c r="F126" s="58">
        <v>1.6988000000000001</v>
      </c>
      <c r="G126" s="58">
        <v>0.47399999999999998</v>
      </c>
      <c r="H126" s="54">
        <v>0.84399999999999997</v>
      </c>
      <c r="I126" s="58">
        <v>638.6</v>
      </c>
      <c r="J126" s="58">
        <v>57.76</v>
      </c>
      <c r="K126" s="54">
        <v>-0.74</v>
      </c>
      <c r="L126" s="54"/>
      <c r="M126" s="58">
        <v>7</v>
      </c>
      <c r="N126" s="54">
        <v>11.388</v>
      </c>
      <c r="O126" s="54">
        <v>17.553000000000001</v>
      </c>
      <c r="P126" s="54">
        <v>7.7161</v>
      </c>
      <c r="Q126" s="54">
        <v>1.8667</v>
      </c>
      <c r="R126" s="54">
        <v>0.60099999999999998</v>
      </c>
      <c r="S126" s="54">
        <v>0.56200000000000006</v>
      </c>
      <c r="T126" s="54">
        <v>595</v>
      </c>
      <c r="U126" s="54">
        <v>43.81</v>
      </c>
      <c r="V126" s="54">
        <v>-1.1299999999999999</v>
      </c>
      <c r="W126" s="54"/>
      <c r="X126" s="54">
        <v>7</v>
      </c>
      <c r="Y126" s="58">
        <v>1.3199000000000001</v>
      </c>
      <c r="Z126" s="58">
        <v>0.45019999999999999</v>
      </c>
      <c r="AA126" s="58">
        <v>4.3299999999999998E-2</v>
      </c>
      <c r="AB126" s="54">
        <v>0.54</v>
      </c>
      <c r="AC126" s="54">
        <v>4.88</v>
      </c>
      <c r="AD126" s="54"/>
      <c r="AE126" s="54"/>
      <c r="AF126" s="54">
        <f t="shared" si="23"/>
        <v>0.9317256498590667</v>
      </c>
      <c r="AG126" s="123"/>
      <c r="AQ126" s="33">
        <f t="shared" si="24"/>
        <v>66.744264999999999</v>
      </c>
      <c r="AS126" s="27">
        <f t="shared" si="25"/>
        <v>930.77251999999999</v>
      </c>
      <c r="AT126" s="33">
        <f t="shared" si="26"/>
        <v>1022.7649299999999</v>
      </c>
      <c r="BA126" s="33">
        <f t="shared" si="27"/>
        <v>48.331875000000004</v>
      </c>
    </row>
    <row r="127" spans="1:53" x14ac:dyDescent="0.2">
      <c r="A127" s="55"/>
      <c r="B127" s="58">
        <v>8</v>
      </c>
      <c r="C127" s="58">
        <v>11.226000000000001</v>
      </c>
      <c r="D127" s="58">
        <v>16.635000000000002</v>
      </c>
      <c r="E127" s="58">
        <v>5.6002999999999998</v>
      </c>
      <c r="F127" s="58">
        <v>1.7037</v>
      </c>
      <c r="G127" s="58">
        <v>0.48</v>
      </c>
      <c r="H127" s="54">
        <v>0.83299999999999996</v>
      </c>
      <c r="I127" s="58">
        <v>646.6</v>
      </c>
      <c r="J127" s="58">
        <v>56.88</v>
      </c>
      <c r="K127" s="54">
        <v>0.13</v>
      </c>
      <c r="L127" s="54"/>
      <c r="M127" s="58">
        <v>8</v>
      </c>
      <c r="N127" s="54">
        <v>11.224</v>
      </c>
      <c r="O127" s="54">
        <v>17.571000000000002</v>
      </c>
      <c r="P127" s="54">
        <v>7.7373000000000003</v>
      </c>
      <c r="Q127" s="54">
        <v>1.8724000000000001</v>
      </c>
      <c r="R127" s="54">
        <v>0.61099999999999999</v>
      </c>
      <c r="S127" s="54">
        <v>0.55300000000000005</v>
      </c>
      <c r="T127" s="54">
        <v>603.79999999999995</v>
      </c>
      <c r="U127" s="54">
        <v>41.94</v>
      </c>
      <c r="V127" s="54">
        <v>-0.38</v>
      </c>
      <c r="W127" s="54"/>
      <c r="X127" s="54">
        <v>8</v>
      </c>
      <c r="Y127" s="58">
        <v>1.3399000000000001</v>
      </c>
      <c r="Z127" s="58">
        <v>0.45529999999999998</v>
      </c>
      <c r="AA127" s="58">
        <v>0.44600000000000001</v>
      </c>
      <c r="AB127" s="54">
        <v>0.55000000000000004</v>
      </c>
      <c r="AC127" s="54">
        <v>4.8100000000000005</v>
      </c>
      <c r="AD127" s="54"/>
      <c r="AE127" s="54"/>
      <c r="AF127" s="54">
        <f t="shared" si="23"/>
        <v>0.93380760903185889</v>
      </c>
      <c r="AG127" s="123"/>
      <c r="AQ127" s="33">
        <f t="shared" si="24"/>
        <v>66.927644999999998</v>
      </c>
      <c r="AS127" s="27">
        <f t="shared" si="25"/>
        <v>933.45722999999998</v>
      </c>
      <c r="AT127" s="33">
        <f t="shared" si="26"/>
        <v>1025.88796</v>
      </c>
      <c r="BA127" s="33">
        <f t="shared" si="27"/>
        <v>48.442594999999997</v>
      </c>
    </row>
    <row r="128" spans="1:53" x14ac:dyDescent="0.2">
      <c r="A128" s="55"/>
      <c r="B128" s="58">
        <v>9</v>
      </c>
      <c r="C128" s="58">
        <v>11.045999999999999</v>
      </c>
      <c r="D128" s="58">
        <v>16.625</v>
      </c>
      <c r="E128" s="58">
        <v>5.6083999999999996</v>
      </c>
      <c r="F128" s="58">
        <v>1.7121999999999999</v>
      </c>
      <c r="G128" s="58">
        <v>0.48299999999999998</v>
      </c>
      <c r="H128" s="54">
        <v>0.81899999999999995</v>
      </c>
      <c r="I128" s="58">
        <v>651.9</v>
      </c>
      <c r="J128" s="58">
        <v>56.02</v>
      </c>
      <c r="K128" s="54">
        <v>0.98</v>
      </c>
      <c r="L128" s="54"/>
      <c r="M128" s="58">
        <v>9</v>
      </c>
      <c r="N128" s="54">
        <v>11.06</v>
      </c>
      <c r="O128" s="54">
        <v>17.591999999999999</v>
      </c>
      <c r="P128" s="54">
        <v>7.7584</v>
      </c>
      <c r="Q128" s="54">
        <v>1.8826000000000001</v>
      </c>
      <c r="R128" s="54">
        <v>0.62</v>
      </c>
      <c r="S128" s="54">
        <v>0.54100000000000004</v>
      </c>
      <c r="T128" s="54">
        <v>610.5</v>
      </c>
      <c r="U128" s="54">
        <v>39.380000000000003</v>
      </c>
      <c r="V128" s="54">
        <v>0.35</v>
      </c>
      <c r="W128" s="54"/>
      <c r="X128" s="54">
        <v>9</v>
      </c>
      <c r="Y128" s="58">
        <v>1.359</v>
      </c>
      <c r="Z128" s="58">
        <v>0.46350000000000002</v>
      </c>
      <c r="AA128" s="58">
        <v>4.7300000000000002E-2</v>
      </c>
      <c r="AB128" s="54">
        <v>0.51</v>
      </c>
      <c r="AC128" s="54">
        <v>5.0999999999999996</v>
      </c>
      <c r="AD128" s="54"/>
      <c r="AE128" s="54"/>
      <c r="AF128" s="54">
        <f t="shared" si="23"/>
        <v>0.93649332719742295</v>
      </c>
      <c r="AG128" s="123"/>
      <c r="AQ128" s="33">
        <f t="shared" si="24"/>
        <v>67.110160000000008</v>
      </c>
      <c r="AS128" s="27">
        <f t="shared" si="25"/>
        <v>938.11437999999998</v>
      </c>
      <c r="AT128" s="33">
        <f t="shared" si="26"/>
        <v>1031.4765399999999</v>
      </c>
      <c r="BA128" s="33">
        <f t="shared" si="27"/>
        <v>48.512659999999997</v>
      </c>
    </row>
    <row r="129" spans="1:53" x14ac:dyDescent="0.2">
      <c r="A129" s="55"/>
      <c r="B129" s="58">
        <v>10</v>
      </c>
      <c r="C129" s="58">
        <v>10.862</v>
      </c>
      <c r="D129" s="58">
        <v>16.614999999999998</v>
      </c>
      <c r="E129" s="58">
        <v>5.6078999999999999</v>
      </c>
      <c r="F129" s="58">
        <v>1.7314000000000001</v>
      </c>
      <c r="G129" s="58">
        <v>0.48399999999999999</v>
      </c>
      <c r="H129" s="54">
        <v>0.79400000000000004</v>
      </c>
      <c r="I129" s="58">
        <v>651</v>
      </c>
      <c r="J129" s="58">
        <v>55.05</v>
      </c>
      <c r="K129" s="54">
        <v>1.76</v>
      </c>
      <c r="L129" s="54"/>
      <c r="M129" s="58">
        <v>10</v>
      </c>
      <c r="N129" s="54">
        <v>10.891</v>
      </c>
      <c r="O129" s="54">
        <v>17.614999999999998</v>
      </c>
      <c r="P129" s="54">
        <v>7.7796000000000003</v>
      </c>
      <c r="Q129" s="54">
        <v>1.9056</v>
      </c>
      <c r="R129" s="54">
        <v>0.63100000000000001</v>
      </c>
      <c r="S129" s="54">
        <v>0.51200000000000001</v>
      </c>
      <c r="T129" s="54">
        <v>602.79999999999995</v>
      </c>
      <c r="U129" s="54">
        <v>37.18</v>
      </c>
      <c r="V129" s="54">
        <v>1.06</v>
      </c>
      <c r="W129" s="54"/>
      <c r="X129" s="54">
        <v>10</v>
      </c>
      <c r="Y129" s="58">
        <v>1.3747</v>
      </c>
      <c r="Z129" s="58">
        <v>0.4874</v>
      </c>
      <c r="AA129" s="58">
        <v>5.33E-2</v>
      </c>
      <c r="AB129" s="54">
        <v>0.39</v>
      </c>
      <c r="AC129" s="54">
        <v>5.81</v>
      </c>
      <c r="AD129" s="54"/>
      <c r="AE129" s="54"/>
      <c r="AF129" s="54">
        <f t="shared" si="23"/>
        <v>0.92596006144393239</v>
      </c>
      <c r="AG129" s="123"/>
      <c r="AQ129" s="33">
        <f t="shared" si="24"/>
        <v>67.293540000000007</v>
      </c>
      <c r="AS129" s="27">
        <f t="shared" si="25"/>
        <v>948.63405999999998</v>
      </c>
      <c r="AT129" s="33">
        <f t="shared" si="26"/>
        <v>1044.0782399999998</v>
      </c>
      <c r="BA129" s="33">
        <f t="shared" si="27"/>
        <v>48.508335000000002</v>
      </c>
    </row>
    <row r="130" spans="1:53" x14ac:dyDescent="0.2">
      <c r="A130" s="55"/>
      <c r="B130" s="58">
        <v>11</v>
      </c>
      <c r="C130" s="58">
        <v>10.669</v>
      </c>
      <c r="D130" s="58">
        <v>16.603000000000002</v>
      </c>
      <c r="E130" s="58">
        <v>5.5989000000000004</v>
      </c>
      <c r="F130" s="58">
        <v>1.7661</v>
      </c>
      <c r="G130" s="58">
        <v>0.48399999999999999</v>
      </c>
      <c r="H130" s="54">
        <v>0.74099999999999999</v>
      </c>
      <c r="I130" s="58">
        <v>637.29999999999995</v>
      </c>
      <c r="J130" s="58">
        <v>53.45</v>
      </c>
      <c r="K130" s="54">
        <v>2.41</v>
      </c>
      <c r="L130" s="54"/>
      <c r="M130" s="58">
        <v>11</v>
      </c>
      <c r="N130" s="54">
        <v>10.706</v>
      </c>
      <c r="O130" s="54">
        <v>17.643000000000001</v>
      </c>
      <c r="P130" s="54">
        <v>7.8007</v>
      </c>
      <c r="Q130" s="54">
        <v>1.9467000000000001</v>
      </c>
      <c r="R130" s="54">
        <v>0.64400000000000002</v>
      </c>
      <c r="S130" s="54">
        <v>0.48299999999999998</v>
      </c>
      <c r="T130" s="54">
        <v>544.6</v>
      </c>
      <c r="U130" s="54">
        <v>33.43</v>
      </c>
      <c r="V130" s="54">
        <v>1.23</v>
      </c>
      <c r="W130" s="54"/>
      <c r="X130" s="54">
        <v>11</v>
      </c>
      <c r="Y130" s="58">
        <v>1.3871</v>
      </c>
      <c r="Z130" s="58">
        <v>0.56040000000000001</v>
      </c>
      <c r="AA130" s="58">
        <v>6.4899999999999999E-2</v>
      </c>
      <c r="AB130" s="54">
        <v>0.05</v>
      </c>
      <c r="AC130" s="54">
        <v>7.1</v>
      </c>
      <c r="AD130" s="54"/>
      <c r="AE130" s="54"/>
      <c r="AF130" s="54">
        <f t="shared" si="23"/>
        <v>0.85454260160050222</v>
      </c>
      <c r="AG130" s="123"/>
      <c r="AQ130" s="33">
        <f t="shared" si="24"/>
        <v>67.476055000000002</v>
      </c>
      <c r="AS130" s="27">
        <f t="shared" si="25"/>
        <v>967.64618999999993</v>
      </c>
      <c r="AT130" s="33">
        <f t="shared" si="26"/>
        <v>1066.5969299999999</v>
      </c>
      <c r="BA130" s="33">
        <f t="shared" si="27"/>
        <v>48.430485000000004</v>
      </c>
    </row>
    <row r="131" spans="1:53" x14ac:dyDescent="0.2">
      <c r="A131" s="55"/>
      <c r="B131" s="58">
        <v>12</v>
      </c>
      <c r="C131" s="58">
        <v>10.567</v>
      </c>
      <c r="D131" s="58">
        <v>16.597000000000001</v>
      </c>
      <c r="E131" s="58">
        <v>5.5895000000000001</v>
      </c>
      <c r="F131" s="58">
        <v>1.7914000000000001</v>
      </c>
      <c r="G131" s="58">
        <v>0.48299999999999998</v>
      </c>
      <c r="H131" s="54">
        <v>0.69799999999999995</v>
      </c>
      <c r="I131" s="58">
        <v>620.4</v>
      </c>
      <c r="J131" s="58">
        <v>52.33</v>
      </c>
      <c r="K131" s="54">
        <v>1.69</v>
      </c>
      <c r="L131" s="54"/>
      <c r="M131" s="58">
        <v>12</v>
      </c>
      <c r="N131" s="54">
        <v>10.598000000000001</v>
      </c>
      <c r="O131" s="54">
        <v>17.66</v>
      </c>
      <c r="P131" s="54">
        <v>7.8113000000000001</v>
      </c>
      <c r="Q131" s="54">
        <v>1.9766999999999999</v>
      </c>
      <c r="R131" s="54">
        <v>0.65</v>
      </c>
      <c r="S131" s="54">
        <v>0.36799999999999999</v>
      </c>
      <c r="T131" s="54">
        <v>473.8</v>
      </c>
      <c r="U131" s="54">
        <v>30.97</v>
      </c>
      <c r="V131" s="54">
        <v>1.69</v>
      </c>
      <c r="W131" s="54"/>
      <c r="X131" s="54">
        <v>12</v>
      </c>
      <c r="Y131" s="58">
        <v>1.3920999999999999</v>
      </c>
      <c r="Z131" s="58">
        <v>0.6411</v>
      </c>
      <c r="AA131" s="58">
        <v>7.4999999999999997E-2</v>
      </c>
      <c r="AB131" s="54">
        <v>0.51</v>
      </c>
      <c r="AC131" s="54">
        <v>8.0500000000000007</v>
      </c>
      <c r="AD131" s="54"/>
      <c r="AE131" s="54"/>
      <c r="AF131" s="54">
        <f t="shared" ref="AF131:AF194" si="28">T131/I131</f>
        <v>0.76370083816892331</v>
      </c>
      <c r="AG131" s="123"/>
      <c r="AQ131" s="33">
        <f t="shared" si="24"/>
        <v>67.567745000000002</v>
      </c>
      <c r="AS131" s="27">
        <f t="shared" si="25"/>
        <v>981.50806</v>
      </c>
      <c r="AT131" s="33">
        <f t="shared" si="26"/>
        <v>1083.0339299999998</v>
      </c>
      <c r="BA131" s="33">
        <f t="shared" si="27"/>
        <v>48.349175000000002</v>
      </c>
    </row>
    <row r="132" spans="1:53" x14ac:dyDescent="0.2">
      <c r="A132" s="43" t="s">
        <v>122</v>
      </c>
      <c r="B132" s="58"/>
      <c r="C132" s="58"/>
      <c r="D132" s="58"/>
      <c r="E132" s="58"/>
      <c r="F132" s="58"/>
      <c r="G132" s="58"/>
      <c r="H132" s="54"/>
      <c r="I132" s="58"/>
      <c r="J132" s="58"/>
      <c r="K132" s="54"/>
      <c r="L132" s="54"/>
      <c r="M132" s="58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8"/>
      <c r="Z132" s="58"/>
      <c r="AA132" s="58"/>
      <c r="AB132" s="54"/>
      <c r="AC132" s="54"/>
      <c r="AD132" s="54"/>
      <c r="AE132" s="54"/>
      <c r="AF132" s="54" t="e">
        <f t="shared" si="28"/>
        <v>#DIV/0!</v>
      </c>
      <c r="AG132" s="57"/>
    </row>
    <row r="133" spans="1:53" x14ac:dyDescent="0.2">
      <c r="A133" s="55"/>
      <c r="B133" s="58">
        <v>1</v>
      </c>
      <c r="C133" s="58">
        <v>12.301</v>
      </c>
      <c r="D133" s="58">
        <v>17.971</v>
      </c>
      <c r="E133" s="58">
        <v>7.5998000000000001</v>
      </c>
      <c r="F133" s="58">
        <v>2.0011000000000001</v>
      </c>
      <c r="G133" s="58">
        <v>0.56999999999999995</v>
      </c>
      <c r="H133" s="54">
        <v>0</v>
      </c>
      <c r="I133" s="58">
        <v>401</v>
      </c>
      <c r="J133" s="58">
        <v>62.45</v>
      </c>
      <c r="K133" s="54">
        <v>-4.84</v>
      </c>
      <c r="L133" s="54"/>
      <c r="M133" s="58">
        <v>1</v>
      </c>
      <c r="N133" s="54">
        <v>12.24</v>
      </c>
      <c r="O133" s="54">
        <v>18.702999999999999</v>
      </c>
      <c r="P133" s="54">
        <v>7.4882999999999997</v>
      </c>
      <c r="Q133" s="54">
        <v>2.0011000000000001</v>
      </c>
      <c r="R133" s="54">
        <v>0.36499999999999999</v>
      </c>
      <c r="S133" s="54" t="s">
        <v>123</v>
      </c>
      <c r="T133" s="54">
        <v>480.2</v>
      </c>
      <c r="U133" s="54">
        <v>31.7</v>
      </c>
      <c r="V133" s="54">
        <v>-4.84</v>
      </c>
      <c r="W133" s="54"/>
      <c r="X133" s="54">
        <v>1</v>
      </c>
      <c r="Y133" s="58">
        <v>1.3769</v>
      </c>
      <c r="Z133" s="58">
        <v>0.54649999999999999</v>
      </c>
      <c r="AA133" s="58">
        <v>7.4999999999999997E-2</v>
      </c>
      <c r="AB133" s="54">
        <v>-1.52</v>
      </c>
      <c r="AC133" s="54">
        <v>12.81</v>
      </c>
      <c r="AD133" s="54"/>
      <c r="AE133" s="54"/>
      <c r="AF133" s="54">
        <f t="shared" si="28"/>
        <v>1.1975062344139651</v>
      </c>
      <c r="AG133" s="122">
        <v>110</v>
      </c>
      <c r="AQ133" s="33">
        <f t="shared" ref="AQ133:AQ195" si="29">P133*8.65</f>
        <v>64.773795000000007</v>
      </c>
      <c r="AS133" s="27">
        <f t="shared" ref="AS133:AS195" si="30">F133*547.9</f>
        <v>1096.4026900000001</v>
      </c>
      <c r="AT133" s="33">
        <f t="shared" ref="AT133:AT195" si="31">Q133*547.9</f>
        <v>1096.4026900000001</v>
      </c>
      <c r="BA133" s="33">
        <f t="shared" ref="BA133:BA195" si="32">E133*8.65</f>
        <v>65.73827</v>
      </c>
    </row>
    <row r="134" spans="1:53" x14ac:dyDescent="0.2">
      <c r="A134" s="55"/>
      <c r="B134" s="58">
        <v>2</v>
      </c>
      <c r="C134" s="58">
        <v>12.146000000000001</v>
      </c>
      <c r="D134" s="58">
        <v>17.940999999999999</v>
      </c>
      <c r="E134" s="58">
        <v>7.6157000000000004</v>
      </c>
      <c r="F134" s="58">
        <v>1.9392</v>
      </c>
      <c r="G134" s="58">
        <v>0.57699999999999996</v>
      </c>
      <c r="H134" s="54">
        <v>0</v>
      </c>
      <c r="I134" s="58">
        <v>511.5</v>
      </c>
      <c r="J134" s="58">
        <v>53.7</v>
      </c>
      <c r="K134" s="54">
        <v>-3.52</v>
      </c>
      <c r="L134" s="54"/>
      <c r="M134" s="58">
        <v>2</v>
      </c>
      <c r="N134" s="54">
        <v>12.103999999999999</v>
      </c>
      <c r="O134" s="54">
        <v>18.731000000000002</v>
      </c>
      <c r="P134" s="54">
        <v>7.5216000000000003</v>
      </c>
      <c r="Q134" s="54">
        <v>1.9392</v>
      </c>
      <c r="R134" s="54">
        <v>0.378</v>
      </c>
      <c r="S134" s="54" t="s">
        <v>123</v>
      </c>
      <c r="T134" s="54">
        <v>519</v>
      </c>
      <c r="U134" s="54">
        <v>25.48</v>
      </c>
      <c r="V134" s="54">
        <v>-3.57</v>
      </c>
      <c r="W134" s="54"/>
      <c r="X134" s="54">
        <v>2</v>
      </c>
      <c r="Y134" s="58">
        <v>1.377</v>
      </c>
      <c r="Z134" s="58">
        <v>0.52329999999999999</v>
      </c>
      <c r="AA134" s="58">
        <v>6.1699999999999998E-2</v>
      </c>
      <c r="AB134" s="54">
        <v>-0.7</v>
      </c>
      <c r="AC134" s="54">
        <v>11.76</v>
      </c>
      <c r="AD134" s="54"/>
      <c r="AE134" s="54"/>
      <c r="AF134" s="54">
        <f t="shared" si="28"/>
        <v>1.0146627565982405</v>
      </c>
      <c r="AG134" s="123"/>
      <c r="AQ134" s="33">
        <f t="shared" si="29"/>
        <v>65.061840000000004</v>
      </c>
      <c r="AS134" s="27">
        <f t="shared" si="30"/>
        <v>1062.48768</v>
      </c>
      <c r="AT134" s="33">
        <f t="shared" si="31"/>
        <v>1062.48768</v>
      </c>
      <c r="BA134" s="33">
        <f t="shared" si="32"/>
        <v>65.875805</v>
      </c>
    </row>
    <row r="135" spans="1:53" x14ac:dyDescent="0.2">
      <c r="A135" s="55"/>
      <c r="B135" s="58">
        <v>3</v>
      </c>
      <c r="C135" s="58">
        <v>12.016</v>
      </c>
      <c r="D135" s="58">
        <v>17.93</v>
      </c>
      <c r="E135" s="58">
        <v>7.6315</v>
      </c>
      <c r="F135" s="58">
        <v>1.9024000000000001</v>
      </c>
      <c r="G135" s="58">
        <v>0.58199999999999996</v>
      </c>
      <c r="H135" s="54">
        <v>0</v>
      </c>
      <c r="I135" s="58">
        <v>561.79999999999995</v>
      </c>
      <c r="J135" s="58">
        <v>49.42</v>
      </c>
      <c r="K135" s="54">
        <v>-3.04</v>
      </c>
      <c r="L135" s="54"/>
      <c r="M135" s="58">
        <v>3</v>
      </c>
      <c r="N135" s="54">
        <v>11.98</v>
      </c>
      <c r="O135" s="54">
        <v>18.739000000000001</v>
      </c>
      <c r="P135" s="54">
        <v>7.548</v>
      </c>
      <c r="Q135" s="54">
        <v>1.9024000000000001</v>
      </c>
      <c r="R135" s="54">
        <v>0.38700000000000001</v>
      </c>
      <c r="S135" s="54" t="s">
        <v>123</v>
      </c>
      <c r="T135" s="54">
        <v>541.29999999999995</v>
      </c>
      <c r="U135" s="54">
        <v>21.97</v>
      </c>
      <c r="V135" s="54">
        <v>-2.98</v>
      </c>
      <c r="W135" s="54"/>
      <c r="X135" s="54">
        <v>3</v>
      </c>
      <c r="Y135" s="58">
        <v>1.377</v>
      </c>
      <c r="Z135" s="58">
        <v>0.50819999999999999</v>
      </c>
      <c r="AA135" s="58">
        <v>5.3800000000000001E-2</v>
      </c>
      <c r="AB135" s="54">
        <v>-0.35</v>
      </c>
      <c r="AC135" s="54">
        <v>9.7200000000000006</v>
      </c>
      <c r="AD135" s="54"/>
      <c r="AE135" s="54"/>
      <c r="AF135" s="54">
        <f t="shared" si="28"/>
        <v>0.9635101459594162</v>
      </c>
      <c r="AG135" s="123"/>
      <c r="AQ135" s="33">
        <f t="shared" si="29"/>
        <v>65.290199999999999</v>
      </c>
      <c r="AS135" s="27">
        <f t="shared" si="30"/>
        <v>1042.3249599999999</v>
      </c>
      <c r="AT135" s="33">
        <f t="shared" si="31"/>
        <v>1042.3249599999999</v>
      </c>
      <c r="BA135" s="33">
        <f t="shared" si="32"/>
        <v>66.012475000000009</v>
      </c>
    </row>
    <row r="136" spans="1:53" x14ac:dyDescent="0.2">
      <c r="A136" s="55"/>
      <c r="B136" s="58">
        <v>4</v>
      </c>
      <c r="C136" s="58">
        <v>11.853</v>
      </c>
      <c r="D136" s="58">
        <v>17.928000000000001</v>
      </c>
      <c r="E136" s="58">
        <v>7.6527000000000003</v>
      </c>
      <c r="F136" s="58">
        <v>1.8785000000000001</v>
      </c>
      <c r="G136" s="58">
        <v>0.58899999999999997</v>
      </c>
      <c r="H136" s="54">
        <v>0</v>
      </c>
      <c r="I136" s="58">
        <v>590.79999999999995</v>
      </c>
      <c r="J136" s="58">
        <v>47.09</v>
      </c>
      <c r="K136" s="54">
        <v>-2.59</v>
      </c>
      <c r="L136" s="54"/>
      <c r="M136" s="58">
        <v>4</v>
      </c>
      <c r="N136" s="54">
        <v>11.823</v>
      </c>
      <c r="O136" s="54">
        <v>18.739999999999998</v>
      </c>
      <c r="P136" s="54">
        <v>7.5782999999999996</v>
      </c>
      <c r="Q136" s="54">
        <v>1.8785000000000001</v>
      </c>
      <c r="R136" s="54">
        <v>0.39700000000000002</v>
      </c>
      <c r="S136" s="54" t="s">
        <v>123</v>
      </c>
      <c r="T136" s="54">
        <v>559.79999999999995</v>
      </c>
      <c r="U136" s="54">
        <v>19.760000000000002</v>
      </c>
      <c r="V136" s="54">
        <v>-2.5099999999999998</v>
      </c>
      <c r="W136" s="54"/>
      <c r="X136" s="54">
        <v>4</v>
      </c>
      <c r="Y136" s="58">
        <v>1.3769</v>
      </c>
      <c r="Z136" s="58">
        <v>0.49640000000000001</v>
      </c>
      <c r="AA136" s="58">
        <v>4.6800000000000001E-2</v>
      </c>
      <c r="AB136" s="54">
        <v>-0.12</v>
      </c>
      <c r="AC136" s="54">
        <v>8.27</v>
      </c>
      <c r="AD136" s="54"/>
      <c r="AE136" s="54"/>
      <c r="AF136" s="54">
        <f t="shared" si="28"/>
        <v>0.94752877454299256</v>
      </c>
      <c r="AG136" s="123"/>
      <c r="AQ136" s="33">
        <f t="shared" si="29"/>
        <v>65.552295000000001</v>
      </c>
      <c r="AS136" s="27">
        <f t="shared" si="30"/>
        <v>1029.2301500000001</v>
      </c>
      <c r="AT136" s="33">
        <f t="shared" si="31"/>
        <v>1029.2301500000001</v>
      </c>
      <c r="BA136" s="33">
        <f t="shared" si="32"/>
        <v>66.195855000000009</v>
      </c>
    </row>
    <row r="137" spans="1:53" x14ac:dyDescent="0.2">
      <c r="A137" s="55"/>
      <c r="B137" s="58">
        <v>5</v>
      </c>
      <c r="C137" s="58">
        <v>11.695</v>
      </c>
      <c r="D137" s="58">
        <v>17.931999999999999</v>
      </c>
      <c r="E137" s="58">
        <v>7.6738</v>
      </c>
      <c r="F137" s="58">
        <v>1.8691</v>
      </c>
      <c r="G137" s="58">
        <v>0.59599999999999997</v>
      </c>
      <c r="H137" s="54">
        <v>0</v>
      </c>
      <c r="I137" s="58">
        <v>601.1</v>
      </c>
      <c r="J137" s="58">
        <v>46.63</v>
      </c>
      <c r="K137" s="54">
        <v>-2.15</v>
      </c>
      <c r="L137" s="54"/>
      <c r="M137" s="58">
        <v>5</v>
      </c>
      <c r="N137" s="54">
        <v>11.669</v>
      </c>
      <c r="O137" s="54">
        <v>18.736999999999998</v>
      </c>
      <c r="P137" s="54">
        <v>7.6021000000000001</v>
      </c>
      <c r="Q137" s="54">
        <v>1.8691</v>
      </c>
      <c r="R137" s="54">
        <v>0.40500000000000003</v>
      </c>
      <c r="S137" s="54" t="s">
        <v>123</v>
      </c>
      <c r="T137" s="54">
        <v>570.9</v>
      </c>
      <c r="U137" s="54">
        <v>19.190000000000001</v>
      </c>
      <c r="V137" s="54">
        <v>-2.1</v>
      </c>
      <c r="W137" s="54"/>
      <c r="X137" s="54">
        <v>5</v>
      </c>
      <c r="Y137" s="58">
        <v>1.377</v>
      </c>
      <c r="Z137" s="58">
        <v>0.49109999999999998</v>
      </c>
      <c r="AA137" s="58">
        <v>4.41E-2</v>
      </c>
      <c r="AB137" s="54">
        <v>0</v>
      </c>
      <c r="AC137" s="54">
        <v>7.84</v>
      </c>
      <c r="AD137" s="54"/>
      <c r="AE137" s="54"/>
      <c r="AF137" s="54">
        <f t="shared" si="28"/>
        <v>0.94975877557810673</v>
      </c>
      <c r="AG137" s="123"/>
      <c r="AQ137" s="33">
        <f t="shared" si="29"/>
        <v>65.758165000000005</v>
      </c>
      <c r="AS137" s="27">
        <f t="shared" si="30"/>
        <v>1024.07989</v>
      </c>
      <c r="AT137" s="33">
        <f t="shared" si="31"/>
        <v>1024.07989</v>
      </c>
      <c r="BA137" s="33">
        <f t="shared" si="32"/>
        <v>66.378370000000004</v>
      </c>
    </row>
    <row r="138" spans="1:53" x14ac:dyDescent="0.2">
      <c r="A138" s="55">
        <f>(N133+N144)/2</f>
        <v>11.440999999999999</v>
      </c>
      <c r="B138" s="58">
        <v>6</v>
      </c>
      <c r="C138" s="58">
        <v>11.538</v>
      </c>
      <c r="D138" s="58">
        <v>17.937000000000001</v>
      </c>
      <c r="E138" s="58">
        <v>7.6950000000000003</v>
      </c>
      <c r="F138" s="58">
        <v>1.8665</v>
      </c>
      <c r="G138" s="58">
        <v>0.60299999999999998</v>
      </c>
      <c r="H138" s="54">
        <v>0</v>
      </c>
      <c r="I138" s="58">
        <v>607.70000000000005</v>
      </c>
      <c r="J138" s="58">
        <v>46.65</v>
      </c>
      <c r="K138" s="54">
        <v>-1.67</v>
      </c>
      <c r="L138" s="54"/>
      <c r="M138" s="58">
        <v>6</v>
      </c>
      <c r="N138" s="54">
        <v>11.516</v>
      </c>
      <c r="O138" s="54">
        <v>18.738</v>
      </c>
      <c r="P138" s="54">
        <v>7.6227999999999998</v>
      </c>
      <c r="Q138" s="54">
        <v>1.8665</v>
      </c>
      <c r="R138" s="54">
        <v>0.41099999999999998</v>
      </c>
      <c r="S138" s="54" t="s">
        <v>123</v>
      </c>
      <c r="T138" s="54">
        <v>579</v>
      </c>
      <c r="U138" s="54">
        <v>19.190000000000001</v>
      </c>
      <c r="V138" s="54">
        <v>-1.67</v>
      </c>
      <c r="W138" s="54"/>
      <c r="X138" s="54">
        <v>6</v>
      </c>
      <c r="Y138" s="58">
        <v>1.3817999999999999</v>
      </c>
      <c r="Z138" s="58">
        <v>0.48830000000000001</v>
      </c>
      <c r="AA138" s="58">
        <v>4.3299999999999998E-2</v>
      </c>
      <c r="AB138" s="54">
        <v>-0.01</v>
      </c>
      <c r="AC138" s="54">
        <v>8.1199999999999992</v>
      </c>
      <c r="AD138" s="54"/>
      <c r="AE138" s="54"/>
      <c r="AF138" s="54">
        <f t="shared" si="28"/>
        <v>0.95277274971202885</v>
      </c>
      <c r="AG138" s="123"/>
      <c r="AQ138" s="33">
        <f t="shared" si="29"/>
        <v>65.937219999999996</v>
      </c>
      <c r="AS138" s="27">
        <f t="shared" si="30"/>
        <v>1022.65535</v>
      </c>
      <c r="AT138" s="33">
        <f t="shared" si="31"/>
        <v>1022.65535</v>
      </c>
      <c r="BA138" s="33">
        <f t="shared" si="32"/>
        <v>66.561750000000004</v>
      </c>
    </row>
    <row r="139" spans="1:53" x14ac:dyDescent="0.2">
      <c r="A139" s="55">
        <f>PI()*(N133^2-N144^2)</f>
        <v>114.87370511290777</v>
      </c>
      <c r="B139" s="58">
        <v>7</v>
      </c>
      <c r="C139" s="58">
        <v>11.38</v>
      </c>
      <c r="D139" s="58">
        <v>17.940000000000001</v>
      </c>
      <c r="E139" s="58">
        <v>7.7161</v>
      </c>
      <c r="F139" s="58">
        <v>1.8667</v>
      </c>
      <c r="G139" s="58">
        <v>0.61199999999999999</v>
      </c>
      <c r="H139" s="54">
        <v>0</v>
      </c>
      <c r="I139" s="58">
        <v>614.9</v>
      </c>
      <c r="J139" s="58">
        <v>46.69</v>
      </c>
      <c r="K139" s="54">
        <v>-1.17</v>
      </c>
      <c r="L139" s="54"/>
      <c r="M139" s="58">
        <v>7</v>
      </c>
      <c r="N139" s="54">
        <v>11.363</v>
      </c>
      <c r="O139" s="54">
        <v>18.734999999999999</v>
      </c>
      <c r="P139" s="54">
        <v>7.6421000000000001</v>
      </c>
      <c r="Q139" s="54">
        <v>1.8667</v>
      </c>
      <c r="R139" s="54">
        <v>0.41599999999999998</v>
      </c>
      <c r="S139" s="54" t="s">
        <v>123</v>
      </c>
      <c r="T139" s="54">
        <v>586.5</v>
      </c>
      <c r="U139" s="54">
        <v>19.2</v>
      </c>
      <c r="V139" s="54">
        <v>-1.2</v>
      </c>
      <c r="W139" s="54"/>
      <c r="X139" s="54">
        <v>7</v>
      </c>
      <c r="Y139" s="58">
        <v>1.3953</v>
      </c>
      <c r="Z139" s="58">
        <v>0.48649999999999999</v>
      </c>
      <c r="AA139" s="58">
        <v>4.3299999999999998E-2</v>
      </c>
      <c r="AB139" s="54">
        <v>0</v>
      </c>
      <c r="AC139" s="54">
        <v>8.31</v>
      </c>
      <c r="AD139" s="54"/>
      <c r="AE139" s="54"/>
      <c r="AF139" s="54">
        <f t="shared" si="28"/>
        <v>0.95381362823223292</v>
      </c>
      <c r="AG139" s="123"/>
      <c r="AQ139" s="33">
        <f t="shared" si="29"/>
        <v>66.104165000000009</v>
      </c>
      <c r="AS139" s="27">
        <f t="shared" si="30"/>
        <v>1022.7649299999999</v>
      </c>
      <c r="AT139" s="33">
        <f t="shared" si="31"/>
        <v>1022.7649299999999</v>
      </c>
      <c r="BA139" s="33">
        <f t="shared" si="32"/>
        <v>66.744264999999999</v>
      </c>
    </row>
    <row r="140" spans="1:53" x14ac:dyDescent="0.2">
      <c r="A140" s="55"/>
      <c r="B140" s="58">
        <v>8</v>
      </c>
      <c r="C140" s="58">
        <v>11.221</v>
      </c>
      <c r="D140" s="58">
        <v>17.943999999999999</v>
      </c>
      <c r="E140" s="58">
        <v>7.7373000000000003</v>
      </c>
      <c r="F140" s="58">
        <v>1.8724000000000001</v>
      </c>
      <c r="G140" s="58">
        <v>0.62</v>
      </c>
      <c r="H140" s="54">
        <v>0</v>
      </c>
      <c r="I140" s="58">
        <v>623.20000000000005</v>
      </c>
      <c r="J140" s="58">
        <v>46.76</v>
      </c>
      <c r="K140" s="54">
        <v>-0.63</v>
      </c>
      <c r="L140" s="54"/>
      <c r="M140" s="58">
        <v>8</v>
      </c>
      <c r="N140" s="54">
        <v>11.21</v>
      </c>
      <c r="O140" s="54">
        <v>18.736999999999998</v>
      </c>
      <c r="P140" s="54">
        <v>7.6593</v>
      </c>
      <c r="Q140" s="54">
        <v>1.8724000000000001</v>
      </c>
      <c r="R140" s="54">
        <v>0.42099999999999999</v>
      </c>
      <c r="S140" s="54" t="s">
        <v>123</v>
      </c>
      <c r="T140" s="54">
        <v>593.70000000000005</v>
      </c>
      <c r="U140" s="54">
        <v>19.14</v>
      </c>
      <c r="V140" s="54">
        <v>-0.72</v>
      </c>
      <c r="W140" s="54"/>
      <c r="X140" s="54">
        <v>8</v>
      </c>
      <c r="Y140" s="58">
        <v>1.4120999999999999</v>
      </c>
      <c r="Z140" s="58">
        <v>0.48709999999999998</v>
      </c>
      <c r="AA140" s="58">
        <v>4.4400000000000002E-2</v>
      </c>
      <c r="AB140" s="54">
        <v>-0.19</v>
      </c>
      <c r="AC140" s="54">
        <v>8.42</v>
      </c>
      <c r="AD140" s="54"/>
      <c r="AE140" s="54"/>
      <c r="AF140" s="54">
        <f t="shared" si="28"/>
        <v>0.9526636713735559</v>
      </c>
      <c r="AG140" s="123"/>
      <c r="AQ140" s="33">
        <f t="shared" si="29"/>
        <v>66.252944999999997</v>
      </c>
      <c r="AS140" s="27">
        <f t="shared" si="30"/>
        <v>1025.88796</v>
      </c>
      <c r="AT140" s="33">
        <f t="shared" si="31"/>
        <v>1025.88796</v>
      </c>
      <c r="BA140" s="33">
        <f t="shared" si="32"/>
        <v>66.927644999999998</v>
      </c>
    </row>
    <row r="141" spans="1:53" x14ac:dyDescent="0.2">
      <c r="A141" s="55"/>
      <c r="B141" s="58">
        <v>9</v>
      </c>
      <c r="C141" s="58">
        <v>11.061</v>
      </c>
      <c r="D141" s="58">
        <v>17.949000000000002</v>
      </c>
      <c r="E141" s="58">
        <v>7.7584</v>
      </c>
      <c r="F141" s="58">
        <v>1.8826000000000001</v>
      </c>
      <c r="G141" s="58">
        <v>0.63</v>
      </c>
      <c r="H141" s="54">
        <v>0</v>
      </c>
      <c r="I141" s="58">
        <v>629.1</v>
      </c>
      <c r="J141" s="58">
        <v>47.14</v>
      </c>
      <c r="K141" s="54">
        <v>-0.1</v>
      </c>
      <c r="L141" s="54"/>
      <c r="M141" s="58">
        <v>9</v>
      </c>
      <c r="N141" s="54">
        <v>11.055</v>
      </c>
      <c r="O141" s="54">
        <v>18.738</v>
      </c>
      <c r="P141" s="54">
        <v>7.6707000000000001</v>
      </c>
      <c r="Q141" s="54">
        <v>1.8826000000000001</v>
      </c>
      <c r="R141" s="54">
        <v>0.42299999999999999</v>
      </c>
      <c r="S141" s="54" t="s">
        <v>123</v>
      </c>
      <c r="T141" s="54">
        <v>597.9</v>
      </c>
      <c r="U141" s="54">
        <v>19.43</v>
      </c>
      <c r="V141" s="54">
        <v>0.21</v>
      </c>
      <c r="W141" s="54"/>
      <c r="X141" s="54">
        <v>9</v>
      </c>
      <c r="Y141" s="58">
        <v>1.4312</v>
      </c>
      <c r="Z141" s="58">
        <v>0.49109999999999998</v>
      </c>
      <c r="AA141" s="58">
        <v>4.8599999999999997E-2</v>
      </c>
      <c r="AB141" s="54">
        <v>-0.6</v>
      </c>
      <c r="AC141" s="54">
        <v>8.82</v>
      </c>
      <c r="AD141" s="54"/>
      <c r="AE141" s="54"/>
      <c r="AF141" s="54">
        <f t="shared" si="28"/>
        <v>0.95040534096328078</v>
      </c>
      <c r="AG141" s="123"/>
      <c r="AQ141" s="33">
        <f t="shared" si="29"/>
        <v>66.351555000000005</v>
      </c>
      <c r="AS141" s="27">
        <f t="shared" si="30"/>
        <v>1031.4765399999999</v>
      </c>
      <c r="AT141" s="33">
        <f t="shared" si="31"/>
        <v>1031.4765399999999</v>
      </c>
      <c r="BA141" s="33">
        <f t="shared" si="32"/>
        <v>67.110160000000008</v>
      </c>
    </row>
    <row r="142" spans="1:53" x14ac:dyDescent="0.2">
      <c r="A142" s="55"/>
      <c r="B142" s="58">
        <v>10</v>
      </c>
      <c r="C142" s="58">
        <v>10.896000000000001</v>
      </c>
      <c r="D142" s="58">
        <v>17.957000000000001</v>
      </c>
      <c r="E142" s="58">
        <v>7.7796000000000003</v>
      </c>
      <c r="F142" s="58">
        <v>1.9056</v>
      </c>
      <c r="G142" s="58">
        <v>0.64</v>
      </c>
      <c r="H142" s="54">
        <v>0</v>
      </c>
      <c r="I142" s="58">
        <v>620.9</v>
      </c>
      <c r="J142" s="58">
        <v>48.9</v>
      </c>
      <c r="K142" s="54">
        <v>0.5</v>
      </c>
      <c r="L142" s="54"/>
      <c r="M142" s="58">
        <v>10</v>
      </c>
      <c r="N142" s="54">
        <v>10.898999999999999</v>
      </c>
      <c r="O142" s="54">
        <v>18.734999999999999</v>
      </c>
      <c r="P142" s="54">
        <v>7.6715</v>
      </c>
      <c r="Q142" s="54">
        <v>1.9056</v>
      </c>
      <c r="R142" s="54">
        <v>0.42299999999999999</v>
      </c>
      <c r="S142" s="54" t="s">
        <v>123</v>
      </c>
      <c r="T142" s="54">
        <v>595.20000000000005</v>
      </c>
      <c r="U142" s="54">
        <v>20.99</v>
      </c>
      <c r="V142" s="54">
        <v>0.37</v>
      </c>
      <c r="W142" s="54"/>
      <c r="X142" s="54">
        <v>10</v>
      </c>
      <c r="Y142" s="58">
        <v>1.4523999999999999</v>
      </c>
      <c r="Z142" s="58">
        <v>0.50119999999999998</v>
      </c>
      <c r="AA142" s="58">
        <v>5.8099999999999999E-2</v>
      </c>
      <c r="AB142" s="54">
        <v>-1.1000000000000001</v>
      </c>
      <c r="AC142" s="54">
        <v>9.68</v>
      </c>
      <c r="AD142" s="54"/>
      <c r="AE142" s="54"/>
      <c r="AF142" s="54">
        <f t="shared" si="28"/>
        <v>0.95860847157352247</v>
      </c>
      <c r="AG142" s="123"/>
      <c r="AQ142" s="33">
        <f t="shared" si="29"/>
        <v>66.358474999999999</v>
      </c>
      <c r="AS142" s="27">
        <f t="shared" si="30"/>
        <v>1044.0782399999998</v>
      </c>
      <c r="AT142" s="33">
        <f t="shared" si="31"/>
        <v>1044.0782399999998</v>
      </c>
      <c r="BA142" s="33">
        <f t="shared" si="32"/>
        <v>67.293540000000007</v>
      </c>
    </row>
    <row r="143" spans="1:53" x14ac:dyDescent="0.2">
      <c r="A143" s="55"/>
      <c r="B143" s="58">
        <v>11</v>
      </c>
      <c r="C143" s="58">
        <v>10.715999999999999</v>
      </c>
      <c r="D143" s="58">
        <v>17.98</v>
      </c>
      <c r="E143" s="58">
        <v>7.8007</v>
      </c>
      <c r="F143" s="58">
        <v>1.9467000000000001</v>
      </c>
      <c r="G143" s="58">
        <v>0.65200000000000002</v>
      </c>
      <c r="H143" s="54">
        <v>0</v>
      </c>
      <c r="I143" s="58">
        <v>565.20000000000005</v>
      </c>
      <c r="J143" s="58">
        <v>54.39</v>
      </c>
      <c r="K143" s="54">
        <v>1.45</v>
      </c>
      <c r="L143" s="54"/>
      <c r="M143" s="58">
        <v>11</v>
      </c>
      <c r="N143" s="54">
        <v>10.731</v>
      </c>
      <c r="O143" s="54">
        <v>18.716000000000001</v>
      </c>
      <c r="P143" s="54">
        <v>7.6616999999999997</v>
      </c>
      <c r="Q143" s="54">
        <v>1.9467000000000001</v>
      </c>
      <c r="R143" s="54">
        <v>0.42</v>
      </c>
      <c r="S143" s="54" t="s">
        <v>123</v>
      </c>
      <c r="T143" s="54">
        <v>577.20000000000005</v>
      </c>
      <c r="U143" s="54">
        <v>25.45</v>
      </c>
      <c r="V143" s="54">
        <v>1.36</v>
      </c>
      <c r="W143" s="54"/>
      <c r="X143" s="54">
        <v>11</v>
      </c>
      <c r="Y143" s="58">
        <v>1.4758</v>
      </c>
      <c r="Z143" s="58">
        <v>0.52070000000000005</v>
      </c>
      <c r="AA143" s="58">
        <v>7.2400000000000006E-2</v>
      </c>
      <c r="AB143" s="54">
        <v>-1.7</v>
      </c>
      <c r="AC143" s="54">
        <v>10.63</v>
      </c>
      <c r="AD143" s="54"/>
      <c r="AE143" s="54"/>
      <c r="AF143" s="54">
        <f t="shared" si="28"/>
        <v>1.0212314225053079</v>
      </c>
      <c r="AG143" s="123"/>
      <c r="AQ143" s="33">
        <f t="shared" si="29"/>
        <v>66.273705000000007</v>
      </c>
      <c r="AS143" s="27">
        <f t="shared" si="30"/>
        <v>1066.5969299999999</v>
      </c>
      <c r="AT143" s="33">
        <f t="shared" si="31"/>
        <v>1066.5969299999999</v>
      </c>
      <c r="BA143" s="33">
        <f t="shared" si="32"/>
        <v>67.476055000000002</v>
      </c>
    </row>
    <row r="144" spans="1:53" x14ac:dyDescent="0.2">
      <c r="A144" s="55"/>
      <c r="B144" s="58">
        <v>12</v>
      </c>
      <c r="C144" s="58">
        <v>10.612</v>
      </c>
      <c r="D144" s="58">
        <v>18.003</v>
      </c>
      <c r="E144" s="58">
        <v>7.8113000000000001</v>
      </c>
      <c r="F144" s="58">
        <v>1.9763999999999999</v>
      </c>
      <c r="G144" s="58">
        <v>0.65900000000000003</v>
      </c>
      <c r="H144" s="54">
        <v>0</v>
      </c>
      <c r="I144" s="58">
        <v>498.7</v>
      </c>
      <c r="J144" s="58">
        <v>59.67</v>
      </c>
      <c r="K144" s="54">
        <v>2.4500000000000002</v>
      </c>
      <c r="L144" s="54"/>
      <c r="M144" s="58">
        <v>12</v>
      </c>
      <c r="N144" s="54">
        <v>10.641999999999999</v>
      </c>
      <c r="O144" s="54">
        <v>18.695</v>
      </c>
      <c r="P144" s="54">
        <v>7.6508000000000003</v>
      </c>
      <c r="Q144" s="54">
        <v>1.9763999999999999</v>
      </c>
      <c r="R144" s="54">
        <v>0.41599999999999998</v>
      </c>
      <c r="S144" s="54" t="s">
        <v>123</v>
      </c>
      <c r="T144" s="54">
        <v>554.79999999999995</v>
      </c>
      <c r="U144" s="54">
        <v>29.6</v>
      </c>
      <c r="V144" s="54">
        <v>2.48</v>
      </c>
      <c r="W144" s="54"/>
      <c r="X144" s="54">
        <v>12</v>
      </c>
      <c r="Y144" s="58">
        <v>1.4892000000000001</v>
      </c>
      <c r="Z144" s="58">
        <v>0.53559999999999997</v>
      </c>
      <c r="AA144" s="58">
        <v>8.2000000000000003E-2</v>
      </c>
      <c r="AB144" s="54">
        <v>-1.99</v>
      </c>
      <c r="AC144" s="54">
        <v>11.4</v>
      </c>
      <c r="AD144" s="54"/>
      <c r="AE144" s="54"/>
      <c r="AF144" s="54">
        <f t="shared" si="28"/>
        <v>1.1124924804491678</v>
      </c>
      <c r="AG144" s="123"/>
      <c r="AQ144" s="33">
        <f t="shared" si="29"/>
        <v>66.179420000000007</v>
      </c>
      <c r="AS144" s="27">
        <f t="shared" si="30"/>
        <v>1082.8695599999999</v>
      </c>
      <c r="AT144" s="33">
        <f t="shared" si="31"/>
        <v>1082.8695599999999</v>
      </c>
      <c r="BA144" s="33">
        <f t="shared" si="32"/>
        <v>67.567745000000002</v>
      </c>
    </row>
    <row r="145" spans="1:53" x14ac:dyDescent="0.2">
      <c r="A145" s="43" t="s">
        <v>124</v>
      </c>
      <c r="B145" s="58"/>
      <c r="C145" s="58"/>
      <c r="D145" s="58"/>
      <c r="E145" s="58"/>
      <c r="F145" s="58"/>
      <c r="G145" s="58"/>
      <c r="H145" s="54"/>
      <c r="I145" s="58"/>
      <c r="J145" s="58"/>
      <c r="K145" s="54"/>
      <c r="L145" s="54"/>
      <c r="M145" s="58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8"/>
      <c r="Z145" s="58"/>
      <c r="AA145" s="58"/>
      <c r="AB145" s="54"/>
      <c r="AC145" s="54"/>
      <c r="AD145" s="54"/>
      <c r="AE145" s="54"/>
      <c r="AF145" s="54" t="e">
        <f t="shared" si="28"/>
        <v>#DIV/0!</v>
      </c>
      <c r="AG145" s="57"/>
    </row>
    <row r="146" spans="1:53" x14ac:dyDescent="0.2">
      <c r="A146" s="55"/>
      <c r="B146" s="58">
        <v>1</v>
      </c>
      <c r="C146" s="58">
        <v>12.145</v>
      </c>
      <c r="D146" s="58">
        <v>19.513000000000002</v>
      </c>
      <c r="E146" s="58">
        <v>7.4946999999999999</v>
      </c>
      <c r="F146" s="58">
        <v>1.9883</v>
      </c>
      <c r="G146" s="58">
        <v>0.39900000000000002</v>
      </c>
      <c r="H146" s="54">
        <v>0.748</v>
      </c>
      <c r="I146" s="58">
        <v>542</v>
      </c>
      <c r="J146" s="58">
        <v>61.92</v>
      </c>
      <c r="K146" s="54">
        <v>4.09</v>
      </c>
      <c r="L146" s="54"/>
      <c r="M146" s="58">
        <v>1</v>
      </c>
      <c r="N146" s="54">
        <v>12.099</v>
      </c>
      <c r="O146" s="54">
        <v>20.158000000000001</v>
      </c>
      <c r="P146" s="54">
        <v>9.8070000000000004</v>
      </c>
      <c r="Q146" s="54">
        <v>2.1549999999999998</v>
      </c>
      <c r="R146" s="54">
        <v>0.51800000000000002</v>
      </c>
      <c r="S146" s="54">
        <v>0.45700000000000002</v>
      </c>
      <c r="T146" s="54">
        <v>417.9</v>
      </c>
      <c r="U146" s="54">
        <v>54.78</v>
      </c>
      <c r="V146" s="54">
        <v>4.09</v>
      </c>
      <c r="W146" s="54"/>
      <c r="X146" s="54">
        <v>1</v>
      </c>
      <c r="Y146" s="58">
        <v>1.2078</v>
      </c>
      <c r="Z146" s="58">
        <v>0.52039999999999997</v>
      </c>
      <c r="AA146" s="58">
        <v>8.2000000000000003E-2</v>
      </c>
      <c r="AB146" s="54">
        <v>1.43</v>
      </c>
      <c r="AC146" s="54">
        <v>13.82</v>
      </c>
      <c r="AD146" s="54"/>
      <c r="AE146" s="54"/>
      <c r="AF146" s="54">
        <f t="shared" si="28"/>
        <v>0.77103321033210326</v>
      </c>
      <c r="AG146" s="122">
        <v>80</v>
      </c>
      <c r="AQ146" s="33">
        <f t="shared" si="29"/>
        <v>84.830550000000002</v>
      </c>
      <c r="AS146" s="27">
        <f t="shared" si="30"/>
        <v>1089.3895699999998</v>
      </c>
      <c r="AT146" s="33">
        <f t="shared" si="31"/>
        <v>1180.7244999999998</v>
      </c>
      <c r="BA146" s="33">
        <f t="shared" si="32"/>
        <v>64.829155</v>
      </c>
    </row>
    <row r="147" spans="1:53" x14ac:dyDescent="0.2">
      <c r="A147" s="55"/>
      <c r="B147" s="58">
        <v>2</v>
      </c>
      <c r="C147" s="58">
        <v>12.045999999999999</v>
      </c>
      <c r="D147" s="58">
        <v>19.504999999999999</v>
      </c>
      <c r="E147" s="58">
        <v>7.5216000000000003</v>
      </c>
      <c r="F147" s="58">
        <v>1.9392</v>
      </c>
      <c r="G147" s="58">
        <v>0.40699999999999997</v>
      </c>
      <c r="H147" s="54">
        <v>0.78100000000000003</v>
      </c>
      <c r="I147" s="58">
        <v>564.4</v>
      </c>
      <c r="J147" s="58">
        <v>61.62</v>
      </c>
      <c r="K147" s="54">
        <v>4.71</v>
      </c>
      <c r="L147" s="54"/>
      <c r="M147" s="58">
        <v>2</v>
      </c>
      <c r="N147" s="54">
        <v>11.992000000000001</v>
      </c>
      <c r="O147" s="54">
        <v>20.161000000000001</v>
      </c>
      <c r="P147" s="54">
        <v>9.8249999999999993</v>
      </c>
      <c r="Q147" s="54">
        <v>2.1000999999999999</v>
      </c>
      <c r="R147" s="54">
        <v>0.52400000000000002</v>
      </c>
      <c r="S147" s="54">
        <v>0.51200000000000001</v>
      </c>
      <c r="T147" s="54">
        <v>490.7</v>
      </c>
      <c r="U147" s="54">
        <v>52.18</v>
      </c>
      <c r="V147" s="54">
        <v>-4.0999999999999996</v>
      </c>
      <c r="W147" s="54"/>
      <c r="X147" s="54">
        <v>2</v>
      </c>
      <c r="Y147" s="58">
        <v>1.2181999999999999</v>
      </c>
      <c r="Z147" s="58">
        <v>0.46579999999999999</v>
      </c>
      <c r="AA147" s="58">
        <v>7.0400000000000004E-2</v>
      </c>
      <c r="AB147" s="54">
        <v>-1</v>
      </c>
      <c r="AC147" s="54">
        <v>10.15</v>
      </c>
      <c r="AD147" s="54"/>
      <c r="AE147" s="54"/>
      <c r="AF147" s="54">
        <f t="shared" si="28"/>
        <v>0.86941885187810064</v>
      </c>
      <c r="AG147" s="123"/>
      <c r="AQ147" s="33">
        <f t="shared" si="29"/>
        <v>84.986249999999998</v>
      </c>
      <c r="AS147" s="27">
        <f t="shared" si="30"/>
        <v>1062.48768</v>
      </c>
      <c r="AT147" s="33">
        <f t="shared" si="31"/>
        <v>1150.6447899999998</v>
      </c>
      <c r="BA147" s="33">
        <f t="shared" si="32"/>
        <v>65.061840000000004</v>
      </c>
    </row>
    <row r="148" spans="1:53" x14ac:dyDescent="0.2">
      <c r="A148" s="55"/>
      <c r="B148" s="58">
        <v>3</v>
      </c>
      <c r="C148" s="58">
        <v>11.930999999999999</v>
      </c>
      <c r="D148" s="58">
        <v>19.497</v>
      </c>
      <c r="E148" s="58">
        <v>7.548</v>
      </c>
      <c r="F148" s="58">
        <v>1.9024000000000001</v>
      </c>
      <c r="G148" s="58">
        <v>0.41399999999999998</v>
      </c>
      <c r="H148" s="54">
        <v>0.80500000000000005</v>
      </c>
      <c r="I148" s="58">
        <v>582.5</v>
      </c>
      <c r="J148" s="58">
        <v>61.25</v>
      </c>
      <c r="K148" s="54">
        <v>4.3600000000000003</v>
      </c>
      <c r="L148" s="54"/>
      <c r="M148" s="58">
        <v>3</v>
      </c>
      <c r="N148" s="54">
        <v>11.878</v>
      </c>
      <c r="O148" s="54">
        <v>20.164999999999999</v>
      </c>
      <c r="P148" s="54">
        <v>9.843</v>
      </c>
      <c r="Q148" s="54">
        <v>2.0581</v>
      </c>
      <c r="R148" s="54">
        <v>0.52800000000000002</v>
      </c>
      <c r="S148" s="54">
        <v>0.54900000000000004</v>
      </c>
      <c r="T148" s="54">
        <v>537.20000000000005</v>
      </c>
      <c r="U148" s="54">
        <v>50.84</v>
      </c>
      <c r="V148" s="54">
        <v>-3.77</v>
      </c>
      <c r="W148" s="54"/>
      <c r="X148" s="54">
        <v>3</v>
      </c>
      <c r="Y148" s="58">
        <v>1.23</v>
      </c>
      <c r="Z148" s="58">
        <v>0.42970000000000003</v>
      </c>
      <c r="AA148" s="58">
        <v>5.9299999999999999E-2</v>
      </c>
      <c r="AB148" s="54">
        <v>0.64</v>
      </c>
      <c r="AC148" s="54">
        <v>8.11</v>
      </c>
      <c r="AD148" s="54"/>
      <c r="AE148" s="54"/>
      <c r="AF148" s="54">
        <f t="shared" si="28"/>
        <v>0.92223175965665238</v>
      </c>
      <c r="AG148" s="123"/>
      <c r="AQ148" s="33">
        <f t="shared" si="29"/>
        <v>85.141950000000008</v>
      </c>
      <c r="AS148" s="27">
        <f t="shared" si="30"/>
        <v>1042.3249599999999</v>
      </c>
      <c r="AT148" s="33">
        <f t="shared" si="31"/>
        <v>1127.6329900000001</v>
      </c>
      <c r="BA148" s="33">
        <f t="shared" si="32"/>
        <v>65.290199999999999</v>
      </c>
    </row>
    <row r="149" spans="1:53" x14ac:dyDescent="0.2">
      <c r="A149" s="55"/>
      <c r="B149" s="58">
        <v>4</v>
      </c>
      <c r="C149" s="58">
        <v>11.782999999999999</v>
      </c>
      <c r="D149" s="58">
        <v>19.486000000000001</v>
      </c>
      <c r="E149" s="58">
        <v>7.5782999999999996</v>
      </c>
      <c r="F149" s="58">
        <v>1.8785000000000001</v>
      </c>
      <c r="G149" s="58">
        <v>0.42399999999999999</v>
      </c>
      <c r="H149" s="54">
        <v>0.81599999999999995</v>
      </c>
      <c r="I149" s="58">
        <v>599.4</v>
      </c>
      <c r="J149" s="58">
        <v>60.59</v>
      </c>
      <c r="K149" s="54">
        <v>3.59</v>
      </c>
      <c r="L149" s="54"/>
      <c r="M149" s="58">
        <v>4</v>
      </c>
      <c r="N149" s="54">
        <v>11.737</v>
      </c>
      <c r="O149" s="54">
        <v>20.172999999999998</v>
      </c>
      <c r="P149" s="54">
        <v>9.8671000000000006</v>
      </c>
      <c r="Q149" s="54">
        <v>2.0297999999999998</v>
      </c>
      <c r="R149" s="54">
        <v>0.53300000000000003</v>
      </c>
      <c r="S149" s="54">
        <v>0.57099999999999995</v>
      </c>
      <c r="T149" s="54">
        <v>567.5</v>
      </c>
      <c r="U149" s="54">
        <v>49.71</v>
      </c>
      <c r="V149" s="54">
        <v>3.12</v>
      </c>
      <c r="W149" s="54"/>
      <c r="X149" s="54">
        <v>4</v>
      </c>
      <c r="Y149" s="58">
        <v>1.2451000000000001</v>
      </c>
      <c r="Z149" s="58">
        <v>0.4083</v>
      </c>
      <c r="AA149" s="58">
        <v>4.8899999999999999E-2</v>
      </c>
      <c r="AB149" s="54">
        <v>0.32</v>
      </c>
      <c r="AC149" s="54">
        <v>6.84</v>
      </c>
      <c r="AD149" s="54"/>
      <c r="AE149" s="54"/>
      <c r="AF149" s="54">
        <f t="shared" si="28"/>
        <v>0.94678011344678015</v>
      </c>
      <c r="AG149" s="123"/>
      <c r="AQ149" s="33">
        <f t="shared" si="29"/>
        <v>85.350415000000012</v>
      </c>
      <c r="AS149" s="27">
        <f t="shared" si="30"/>
        <v>1029.2301500000001</v>
      </c>
      <c r="AT149" s="33">
        <f t="shared" si="31"/>
        <v>1112.1274199999998</v>
      </c>
      <c r="BA149" s="33">
        <f t="shared" si="32"/>
        <v>65.552295000000001</v>
      </c>
    </row>
    <row r="150" spans="1:53" x14ac:dyDescent="0.2">
      <c r="A150" s="55"/>
      <c r="B150" s="58">
        <v>5</v>
      </c>
      <c r="C150" s="58">
        <v>11.637</v>
      </c>
      <c r="D150" s="58">
        <v>19.457000000000001</v>
      </c>
      <c r="E150" s="58">
        <v>7.6021000000000001</v>
      </c>
      <c r="F150" s="58">
        <v>1.8691</v>
      </c>
      <c r="G150" s="58">
        <v>0.43099999999999999</v>
      </c>
      <c r="H150" s="54">
        <v>0.81499999999999995</v>
      </c>
      <c r="I150" s="58">
        <v>610.1</v>
      </c>
      <c r="J150" s="58">
        <v>59.84</v>
      </c>
      <c r="K150" s="54">
        <v>2.76</v>
      </c>
      <c r="L150" s="54"/>
      <c r="M150" s="58">
        <v>5</v>
      </c>
      <c r="N150" s="54">
        <v>11.602</v>
      </c>
      <c r="O150" s="54">
        <v>20.184000000000001</v>
      </c>
      <c r="P150" s="54">
        <v>9.8910999999999998</v>
      </c>
      <c r="Q150" s="54">
        <v>2.0194000000000001</v>
      </c>
      <c r="R150" s="54">
        <v>0.53800000000000003</v>
      </c>
      <c r="S150" s="54">
        <v>0.57199999999999995</v>
      </c>
      <c r="T150" s="54">
        <v>579.4</v>
      </c>
      <c r="U150" s="54">
        <v>48.65</v>
      </c>
      <c r="V150" s="54">
        <v>2.41</v>
      </c>
      <c r="W150" s="54"/>
      <c r="X150" s="54">
        <v>5</v>
      </c>
      <c r="Y150" s="58">
        <v>1.2602</v>
      </c>
      <c r="Z150" s="58">
        <v>0.4042</v>
      </c>
      <c r="AA150" s="58">
        <v>4.4499999999999998E-2</v>
      </c>
      <c r="AB150" s="54">
        <v>-0.18</v>
      </c>
      <c r="AC150" s="54">
        <v>6.19</v>
      </c>
      <c r="AD150" s="54"/>
      <c r="AE150" s="54"/>
      <c r="AF150" s="54">
        <f t="shared" si="28"/>
        <v>0.94968038026553014</v>
      </c>
      <c r="AG150" s="123"/>
      <c r="AQ150" s="33">
        <f t="shared" si="29"/>
        <v>85.558014999999997</v>
      </c>
      <c r="AS150" s="27">
        <f t="shared" si="30"/>
        <v>1024.07989</v>
      </c>
      <c r="AT150" s="33">
        <f t="shared" si="31"/>
        <v>1106.4292600000001</v>
      </c>
      <c r="BA150" s="33">
        <f t="shared" si="32"/>
        <v>65.758165000000005</v>
      </c>
    </row>
    <row r="151" spans="1:53" x14ac:dyDescent="0.2">
      <c r="A151" s="55">
        <f>(N146+N157)/2</f>
        <v>11.393000000000001</v>
      </c>
      <c r="B151" s="58">
        <v>6</v>
      </c>
      <c r="C151" s="58">
        <v>11.493</v>
      </c>
      <c r="D151" s="58">
        <v>19.466999999999999</v>
      </c>
      <c r="E151" s="58">
        <v>7.6227999999999998</v>
      </c>
      <c r="F151" s="58">
        <v>1.8665</v>
      </c>
      <c r="G151" s="58">
        <v>0.437</v>
      </c>
      <c r="H151" s="54">
        <v>0.80800000000000005</v>
      </c>
      <c r="I151" s="58">
        <v>618.20000000000005</v>
      </c>
      <c r="J151" s="58">
        <v>59.08</v>
      </c>
      <c r="K151" s="54">
        <v>1.96</v>
      </c>
      <c r="L151" s="54"/>
      <c r="M151" s="58">
        <v>6</v>
      </c>
      <c r="N151" s="54">
        <v>11.467000000000001</v>
      </c>
      <c r="O151" s="54">
        <v>20.195</v>
      </c>
      <c r="P151" s="54">
        <v>9.9151000000000007</v>
      </c>
      <c r="Q151" s="54">
        <v>2.0150999999999999</v>
      </c>
      <c r="R151" s="54">
        <v>0.54400000000000004</v>
      </c>
      <c r="S151" s="54">
        <v>0.56599999999999995</v>
      </c>
      <c r="T151" s="54">
        <v>585.70000000000005</v>
      </c>
      <c r="U151" s="54">
        <v>47.48</v>
      </c>
      <c r="V151" s="54">
        <v>1.71</v>
      </c>
      <c r="W151" s="54"/>
      <c r="X151" s="54">
        <v>6</v>
      </c>
      <c r="Y151" s="58">
        <v>1.2754000000000001</v>
      </c>
      <c r="Z151" s="58">
        <v>0.40649999999999997</v>
      </c>
      <c r="AA151" s="58">
        <v>4.3299999999999998E-2</v>
      </c>
      <c r="AB151" s="54">
        <v>0.11</v>
      </c>
      <c r="AC151" s="54">
        <v>5.79</v>
      </c>
      <c r="AD151" s="54"/>
      <c r="AE151" s="54"/>
      <c r="AF151" s="54">
        <f t="shared" si="28"/>
        <v>0.94742801682303457</v>
      </c>
      <c r="AG151" s="123"/>
      <c r="AQ151" s="33">
        <f t="shared" si="29"/>
        <v>85.765615000000011</v>
      </c>
      <c r="AS151" s="27">
        <f t="shared" si="30"/>
        <v>1022.65535</v>
      </c>
      <c r="AT151" s="33">
        <f t="shared" si="31"/>
        <v>1104.0732899999998</v>
      </c>
      <c r="BA151" s="33">
        <f t="shared" si="32"/>
        <v>65.937219999999996</v>
      </c>
    </row>
    <row r="152" spans="1:53" x14ac:dyDescent="0.2">
      <c r="A152" s="55">
        <f>PI()*(N146^2-N157^2)</f>
        <v>101.07707424903231</v>
      </c>
      <c r="B152" s="58">
        <v>7</v>
      </c>
      <c r="C152" s="58">
        <v>11.348000000000001</v>
      </c>
      <c r="D152" s="58">
        <v>19.459</v>
      </c>
      <c r="E152" s="58">
        <v>7.6421000000000001</v>
      </c>
      <c r="F152" s="58">
        <v>1.8667</v>
      </c>
      <c r="G152" s="58">
        <v>0.442</v>
      </c>
      <c r="H152" s="54">
        <v>0.8</v>
      </c>
      <c r="I152" s="58">
        <v>625.5</v>
      </c>
      <c r="J152" s="58">
        <v>58.33</v>
      </c>
      <c r="K152" s="54">
        <v>-1.19</v>
      </c>
      <c r="L152" s="54"/>
      <c r="M152" s="58">
        <v>7</v>
      </c>
      <c r="N152" s="54">
        <v>11.333</v>
      </c>
      <c r="O152" s="54">
        <v>20.207000000000001</v>
      </c>
      <c r="P152" s="54">
        <v>9.9390999999999998</v>
      </c>
      <c r="Q152" s="54">
        <v>2.0152000000000001</v>
      </c>
      <c r="R152" s="54">
        <v>0.55000000000000004</v>
      </c>
      <c r="S152" s="54">
        <v>0.55900000000000005</v>
      </c>
      <c r="T152" s="54">
        <v>592.5</v>
      </c>
      <c r="U152" s="54">
        <v>46.2</v>
      </c>
      <c r="V152" s="54">
        <v>1.02</v>
      </c>
      <c r="W152" s="54"/>
      <c r="X152" s="54">
        <v>7</v>
      </c>
      <c r="Y152" s="58">
        <v>1.2911999999999999</v>
      </c>
      <c r="Z152" s="58">
        <v>0.40939999999999999</v>
      </c>
      <c r="AA152" s="58">
        <v>4.3200000000000002E-2</v>
      </c>
      <c r="AB152" s="54">
        <v>7.0000000000000007E-2</v>
      </c>
      <c r="AC152" s="54">
        <v>5.68</v>
      </c>
      <c r="AD152" s="54"/>
      <c r="AE152" s="54"/>
      <c r="AF152" s="54">
        <f t="shared" si="28"/>
        <v>0.94724220623501199</v>
      </c>
      <c r="AG152" s="123"/>
      <c r="AQ152" s="33">
        <f t="shared" si="29"/>
        <v>85.973214999999996</v>
      </c>
      <c r="AS152" s="27">
        <f t="shared" si="30"/>
        <v>1022.7649299999999</v>
      </c>
      <c r="AT152" s="33">
        <f t="shared" si="31"/>
        <v>1104.12808</v>
      </c>
      <c r="BA152" s="33">
        <f t="shared" si="32"/>
        <v>66.104165000000009</v>
      </c>
    </row>
    <row r="153" spans="1:53" x14ac:dyDescent="0.2">
      <c r="A153" s="55"/>
      <c r="B153" s="58">
        <v>8</v>
      </c>
      <c r="C153" s="58">
        <v>11.202999999999999</v>
      </c>
      <c r="D153" s="58">
        <v>19.451000000000001</v>
      </c>
      <c r="E153" s="58">
        <v>7.6593</v>
      </c>
      <c r="F153" s="58">
        <v>1.8724000000000001</v>
      </c>
      <c r="G153" s="58">
        <v>0.44600000000000001</v>
      </c>
      <c r="H153" s="54">
        <v>0.79200000000000004</v>
      </c>
      <c r="I153" s="58">
        <v>632.5</v>
      </c>
      <c r="J153" s="58">
        <v>57.6</v>
      </c>
      <c r="K153" s="54">
        <v>-0.43</v>
      </c>
      <c r="L153" s="54"/>
      <c r="M153" s="58">
        <v>8</v>
      </c>
      <c r="N153" s="54">
        <v>11.198</v>
      </c>
      <c r="O153" s="54">
        <v>20.222000000000001</v>
      </c>
      <c r="P153" s="54">
        <v>9.9631000000000007</v>
      </c>
      <c r="Q153" s="54">
        <v>2.0213999999999999</v>
      </c>
      <c r="R153" s="54">
        <v>0.55700000000000005</v>
      </c>
      <c r="S153" s="54">
        <v>0.55200000000000005</v>
      </c>
      <c r="T153" s="54">
        <v>600.70000000000005</v>
      </c>
      <c r="U153" s="54">
        <v>44.75</v>
      </c>
      <c r="V153" s="54">
        <v>0.35</v>
      </c>
      <c r="W153" s="54"/>
      <c r="X153" s="54">
        <v>8</v>
      </c>
      <c r="Y153" s="58">
        <v>1.3072999999999999</v>
      </c>
      <c r="Z153" s="58">
        <v>0.41320000000000001</v>
      </c>
      <c r="AA153" s="58">
        <v>4.4499999999999998E-2</v>
      </c>
      <c r="AB153" s="54">
        <v>-0.08</v>
      </c>
      <c r="AC153" s="54">
        <v>5.74</v>
      </c>
      <c r="AD153" s="54"/>
      <c r="AE153" s="54"/>
      <c r="AF153" s="54">
        <f t="shared" si="28"/>
        <v>0.94972332015810279</v>
      </c>
      <c r="AG153" s="123"/>
      <c r="AQ153" s="33">
        <f t="shared" si="29"/>
        <v>86.18081500000001</v>
      </c>
      <c r="AS153" s="27">
        <f t="shared" si="30"/>
        <v>1025.88796</v>
      </c>
      <c r="AT153" s="33">
        <f t="shared" si="31"/>
        <v>1107.5250599999999</v>
      </c>
      <c r="BA153" s="33">
        <f t="shared" si="32"/>
        <v>66.252944999999997</v>
      </c>
    </row>
    <row r="154" spans="1:53" x14ac:dyDescent="0.2">
      <c r="A154" s="55"/>
      <c r="B154" s="58">
        <v>9</v>
      </c>
      <c r="C154" s="58">
        <v>11.055999999999999</v>
      </c>
      <c r="D154" s="58">
        <v>19.442</v>
      </c>
      <c r="E154" s="58">
        <v>7.6707000000000001</v>
      </c>
      <c r="F154" s="58">
        <v>1.8826000000000001</v>
      </c>
      <c r="G154" s="58">
        <v>0.44900000000000001</v>
      </c>
      <c r="H154" s="54">
        <v>0.78</v>
      </c>
      <c r="I154" s="58">
        <v>636.79999999999995</v>
      </c>
      <c r="J154" s="58">
        <v>56.88</v>
      </c>
      <c r="K154" s="54">
        <v>0.31</v>
      </c>
      <c r="L154" s="54"/>
      <c r="M154" s="58">
        <v>9</v>
      </c>
      <c r="N154" s="54">
        <v>11.063000000000001</v>
      </c>
      <c r="O154" s="54">
        <v>20.238</v>
      </c>
      <c r="P154" s="54">
        <v>9.9870999999999999</v>
      </c>
      <c r="Q154" s="54">
        <v>2.0331999999999999</v>
      </c>
      <c r="R154" s="54">
        <v>0.56499999999999995</v>
      </c>
      <c r="S154" s="54">
        <v>0.54</v>
      </c>
      <c r="T154" s="54">
        <v>605.5</v>
      </c>
      <c r="U154" s="54">
        <v>43.12</v>
      </c>
      <c r="V154" s="54">
        <v>0.32</v>
      </c>
      <c r="W154" s="54"/>
      <c r="X154" s="54">
        <v>9</v>
      </c>
      <c r="Y154" s="58">
        <v>1.3228</v>
      </c>
      <c r="Z154" s="58">
        <v>0.42130000000000001</v>
      </c>
      <c r="AA154" s="58">
        <v>4.7300000000000002E-2</v>
      </c>
      <c r="AB154" s="54">
        <v>0.03</v>
      </c>
      <c r="AC154" s="54">
        <v>6.04</v>
      </c>
      <c r="AD154" s="54"/>
      <c r="AE154" s="54"/>
      <c r="AF154" s="54">
        <f t="shared" si="28"/>
        <v>0.95084798994974884</v>
      </c>
      <c r="AG154" s="123"/>
      <c r="AQ154" s="33">
        <f t="shared" si="29"/>
        <v>86.388415000000009</v>
      </c>
      <c r="AS154" s="27">
        <f t="shared" si="30"/>
        <v>1031.4765399999999</v>
      </c>
      <c r="AT154" s="33">
        <f t="shared" si="31"/>
        <v>1113.99028</v>
      </c>
      <c r="BA154" s="33">
        <f t="shared" si="32"/>
        <v>66.351555000000005</v>
      </c>
    </row>
    <row r="155" spans="1:53" x14ac:dyDescent="0.2">
      <c r="A155" s="55"/>
      <c r="B155" s="58">
        <v>10</v>
      </c>
      <c r="C155" s="58">
        <v>10.907</v>
      </c>
      <c r="D155" s="58">
        <v>19.436</v>
      </c>
      <c r="E155" s="58">
        <v>7.6715</v>
      </c>
      <c r="F155" s="58">
        <v>1.9056</v>
      </c>
      <c r="G155" s="58">
        <v>0.44900000000000001</v>
      </c>
      <c r="H155" s="54">
        <v>0.75600000000000001</v>
      </c>
      <c r="I155" s="58">
        <v>635.20000000000005</v>
      </c>
      <c r="J155" s="58">
        <v>56.03</v>
      </c>
      <c r="K155" s="54">
        <v>1.03</v>
      </c>
      <c r="L155" s="54"/>
      <c r="M155" s="58">
        <v>10</v>
      </c>
      <c r="N155" s="54">
        <v>10.923999999999999</v>
      </c>
      <c r="O155" s="54">
        <v>20.256</v>
      </c>
      <c r="P155" s="54">
        <v>10.011100000000001</v>
      </c>
      <c r="Q155" s="54">
        <v>2.0598000000000001</v>
      </c>
      <c r="R155" s="54">
        <v>0.57299999999999995</v>
      </c>
      <c r="S155" s="54">
        <v>0.51200000000000001</v>
      </c>
      <c r="T155" s="54">
        <v>596</v>
      </c>
      <c r="U155" s="54">
        <v>41.07</v>
      </c>
      <c r="V155" s="54">
        <v>0.97</v>
      </c>
      <c r="W155" s="54"/>
      <c r="X155" s="54">
        <v>10</v>
      </c>
      <c r="Y155" s="58">
        <v>1.3320000000000001</v>
      </c>
      <c r="Z155" s="58">
        <v>0.44529999999999997</v>
      </c>
      <c r="AA155" s="58">
        <v>5.33E-2</v>
      </c>
      <c r="AB155" s="54">
        <v>0.01</v>
      </c>
      <c r="AC155" s="54">
        <v>6.62</v>
      </c>
      <c r="AD155" s="54"/>
      <c r="AE155" s="54"/>
      <c r="AF155" s="54">
        <f t="shared" si="28"/>
        <v>0.9382871536523929</v>
      </c>
      <c r="AG155" s="123"/>
      <c r="AQ155" s="33">
        <f t="shared" si="29"/>
        <v>86.596015000000008</v>
      </c>
      <c r="AS155" s="27">
        <f t="shared" si="30"/>
        <v>1044.0782399999998</v>
      </c>
      <c r="AT155" s="33">
        <f t="shared" si="31"/>
        <v>1128.5644199999999</v>
      </c>
      <c r="BA155" s="33">
        <f t="shared" si="32"/>
        <v>66.358474999999999</v>
      </c>
    </row>
    <row r="156" spans="1:53" x14ac:dyDescent="0.2">
      <c r="A156" s="55"/>
      <c r="B156" s="58">
        <v>11</v>
      </c>
      <c r="C156" s="58">
        <v>10.750999999999999</v>
      </c>
      <c r="D156" s="58">
        <v>19.431000000000001</v>
      </c>
      <c r="E156" s="58">
        <v>7.6616999999999997</v>
      </c>
      <c r="F156" s="58">
        <v>1.9167000000000001</v>
      </c>
      <c r="G156" s="58">
        <v>0.44800000000000001</v>
      </c>
      <c r="H156" s="54">
        <v>0.71</v>
      </c>
      <c r="I156" s="58">
        <v>622.70000000000005</v>
      </c>
      <c r="J156" s="58">
        <v>54.72</v>
      </c>
      <c r="K156" s="54">
        <v>1.55</v>
      </c>
      <c r="L156" s="54"/>
      <c r="M156" s="58">
        <v>11</v>
      </c>
      <c r="N156" s="54">
        <v>10.773</v>
      </c>
      <c r="O156" s="54">
        <v>20.274000000000001</v>
      </c>
      <c r="P156" s="54">
        <v>10.0351</v>
      </c>
      <c r="Q156" s="54">
        <v>2.1067999999999998</v>
      </c>
      <c r="R156" s="54">
        <v>0.58199999999999996</v>
      </c>
      <c r="S156" s="54">
        <v>0.44800000000000001</v>
      </c>
      <c r="T156" s="54">
        <v>547.1</v>
      </c>
      <c r="U156" s="54">
        <v>38.380000000000003</v>
      </c>
      <c r="V156" s="54">
        <v>1.57</v>
      </c>
      <c r="W156" s="54"/>
      <c r="X156" s="54">
        <v>11</v>
      </c>
      <c r="Y156" s="58">
        <v>1.3393999999999999</v>
      </c>
      <c r="Z156" s="58">
        <v>0.50849999999999995</v>
      </c>
      <c r="AA156" s="58">
        <v>6.5100000000000005E-2</v>
      </c>
      <c r="AB156" s="54">
        <v>0.32</v>
      </c>
      <c r="AC156" s="54">
        <v>7.54</v>
      </c>
      <c r="AD156" s="54"/>
      <c r="AE156" s="54"/>
      <c r="AF156" s="54">
        <f t="shared" si="28"/>
        <v>0.87859322306086396</v>
      </c>
      <c r="AG156" s="123"/>
      <c r="AQ156" s="33">
        <f t="shared" si="29"/>
        <v>86.803615000000008</v>
      </c>
      <c r="AS156" s="27">
        <f t="shared" si="30"/>
        <v>1050.15993</v>
      </c>
      <c r="AT156" s="33">
        <f t="shared" si="31"/>
        <v>1154.3157199999998</v>
      </c>
      <c r="BA156" s="33">
        <f t="shared" si="32"/>
        <v>66.273705000000007</v>
      </c>
    </row>
    <row r="157" spans="1:53" x14ac:dyDescent="0.2">
      <c r="A157" s="55"/>
      <c r="B157" s="58">
        <v>12</v>
      </c>
      <c r="C157" s="58">
        <v>10.667999999999999</v>
      </c>
      <c r="D157" s="58">
        <v>19.428000000000001</v>
      </c>
      <c r="E157" s="58">
        <v>7.6508000000000003</v>
      </c>
      <c r="F157" s="58">
        <v>1.9763999999999999</v>
      </c>
      <c r="G157" s="58">
        <v>0.44700000000000001</v>
      </c>
      <c r="H157" s="54">
        <v>0.67300000000000004</v>
      </c>
      <c r="I157" s="58">
        <v>607.20000000000005</v>
      </c>
      <c r="J157" s="58">
        <v>53.84</v>
      </c>
      <c r="K157" s="54">
        <v>1.23</v>
      </c>
      <c r="L157" s="54"/>
      <c r="M157" s="58">
        <v>12</v>
      </c>
      <c r="N157" s="54">
        <v>10.686999999999999</v>
      </c>
      <c r="O157" s="54">
        <v>20.286000000000001</v>
      </c>
      <c r="P157" s="54">
        <v>10.0471</v>
      </c>
      <c r="Q157" s="54">
        <v>2.1408</v>
      </c>
      <c r="R157" s="54">
        <v>0.58699999999999997</v>
      </c>
      <c r="S157" s="54">
        <v>0.39</v>
      </c>
      <c r="T157" s="54">
        <v>489.7</v>
      </c>
      <c r="U157" s="54">
        <v>36.86</v>
      </c>
      <c r="V157" s="54">
        <v>1.23</v>
      </c>
      <c r="W157" s="54"/>
      <c r="X157" s="54">
        <v>12</v>
      </c>
      <c r="Y157" s="58">
        <v>1.3472999999999999</v>
      </c>
      <c r="Z157" s="58">
        <v>0.57350000000000001</v>
      </c>
      <c r="AA157" s="58">
        <v>7.4999999999999997E-2</v>
      </c>
      <c r="AB157" s="54">
        <v>0.67</v>
      </c>
      <c r="AC157" s="54">
        <v>8.59</v>
      </c>
      <c r="AD157" s="54"/>
      <c r="AE157" s="54"/>
      <c r="AF157" s="54">
        <f t="shared" si="28"/>
        <v>0.80648880105401832</v>
      </c>
      <c r="AG157" s="123"/>
      <c r="AQ157" s="33">
        <f t="shared" si="29"/>
        <v>86.907415</v>
      </c>
      <c r="AS157" s="27">
        <f t="shared" si="30"/>
        <v>1082.8695599999999</v>
      </c>
      <c r="AT157" s="33">
        <f t="shared" si="31"/>
        <v>1172.9443200000001</v>
      </c>
      <c r="BA157" s="33">
        <f t="shared" si="32"/>
        <v>66.179420000000007</v>
      </c>
    </row>
    <row r="158" spans="1:53" x14ac:dyDescent="0.2">
      <c r="A158" s="43" t="s">
        <v>125</v>
      </c>
      <c r="B158" s="58"/>
      <c r="C158" s="58"/>
      <c r="D158" s="58"/>
      <c r="E158" s="58"/>
      <c r="F158" s="58"/>
      <c r="G158" s="58"/>
      <c r="H158" s="54"/>
      <c r="I158" s="58"/>
      <c r="J158" s="58"/>
      <c r="K158" s="54"/>
      <c r="L158" s="54"/>
      <c r="M158" s="58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8"/>
      <c r="Z158" s="58"/>
      <c r="AA158" s="58"/>
      <c r="AB158" s="54"/>
      <c r="AC158" s="54"/>
      <c r="AD158" s="54"/>
      <c r="AE158" s="54"/>
      <c r="AF158" s="54" t="e">
        <f t="shared" si="28"/>
        <v>#DIV/0!</v>
      </c>
      <c r="AG158" s="57"/>
    </row>
    <row r="159" spans="1:53" x14ac:dyDescent="0.2">
      <c r="A159" s="55"/>
      <c r="B159" s="58">
        <v>1</v>
      </c>
      <c r="C159" s="59">
        <v>12.066000000000001</v>
      </c>
      <c r="D159" s="58">
        <v>20.617999999999999</v>
      </c>
      <c r="E159" s="63">
        <v>9.8070000000000004</v>
      </c>
      <c r="F159" s="63">
        <v>2.1549999999999998</v>
      </c>
      <c r="G159" s="58">
        <v>0.52700000000000002</v>
      </c>
      <c r="H159" s="54">
        <v>0</v>
      </c>
      <c r="I159" s="61">
        <v>440</v>
      </c>
      <c r="J159" s="64">
        <v>58.18</v>
      </c>
      <c r="K159" s="66">
        <v>-4.09</v>
      </c>
      <c r="L159" s="54"/>
      <c r="M159" s="58">
        <v>1</v>
      </c>
      <c r="N159" s="60">
        <v>12.016</v>
      </c>
      <c r="O159" s="60">
        <v>21.321999999999999</v>
      </c>
      <c r="P159" s="65">
        <v>9.6820000000000004</v>
      </c>
      <c r="Q159" s="65">
        <v>2.1549999999999998</v>
      </c>
      <c r="R159" s="60">
        <v>0.36099999999999999</v>
      </c>
      <c r="S159" s="60"/>
      <c r="T159" s="62">
        <v>506.7</v>
      </c>
      <c r="U159" s="66">
        <v>28.9</v>
      </c>
      <c r="V159" s="66">
        <v>4.09</v>
      </c>
      <c r="W159" s="54"/>
      <c r="X159" s="54">
        <v>1</v>
      </c>
      <c r="Y159" s="63">
        <v>1.3991</v>
      </c>
      <c r="Z159" s="63">
        <v>0.49020000000000002</v>
      </c>
      <c r="AA159" s="63">
        <v>7.4999999999999997E-2</v>
      </c>
      <c r="AB159" s="66">
        <v>-2.68</v>
      </c>
      <c r="AC159" s="54">
        <v>15.03</v>
      </c>
      <c r="AD159" s="54"/>
      <c r="AE159" s="54"/>
      <c r="AF159" s="54">
        <f t="shared" si="28"/>
        <v>1.1515909090909091</v>
      </c>
      <c r="AG159" s="122">
        <v>120</v>
      </c>
      <c r="AQ159" s="33">
        <f t="shared" si="29"/>
        <v>83.749300000000005</v>
      </c>
      <c r="AS159" s="27">
        <f t="shared" si="30"/>
        <v>1180.7244999999998</v>
      </c>
      <c r="AT159" s="33">
        <f t="shared" si="31"/>
        <v>1180.7244999999998</v>
      </c>
      <c r="BA159" s="33">
        <f t="shared" si="32"/>
        <v>84.830550000000002</v>
      </c>
    </row>
    <row r="160" spans="1:53" x14ac:dyDescent="0.2">
      <c r="A160" s="55"/>
      <c r="B160" s="58">
        <v>2</v>
      </c>
      <c r="C160" s="59">
        <v>11.964</v>
      </c>
      <c r="D160" s="58">
        <v>20.6</v>
      </c>
      <c r="E160" s="63">
        <v>9.8249999999999993</v>
      </c>
      <c r="F160" s="63">
        <v>2.1000999999999999</v>
      </c>
      <c r="G160" s="58">
        <v>0.53200000000000003</v>
      </c>
      <c r="H160" s="54">
        <v>0</v>
      </c>
      <c r="I160" s="61">
        <v>510.3</v>
      </c>
      <c r="J160" s="64">
        <v>52.16</v>
      </c>
      <c r="K160" s="66">
        <v>3.26</v>
      </c>
      <c r="L160" s="54"/>
      <c r="M160" s="58">
        <v>2</v>
      </c>
      <c r="N160" s="60">
        <v>11.926</v>
      </c>
      <c r="O160" s="60">
        <v>21.335000000000001</v>
      </c>
      <c r="P160" s="65">
        <v>9.7164999999999999</v>
      </c>
      <c r="Q160" s="65">
        <v>2.1000999999999999</v>
      </c>
      <c r="R160" s="60">
        <v>0.37</v>
      </c>
      <c r="S160" s="60"/>
      <c r="T160" s="62">
        <v>534.4</v>
      </c>
      <c r="U160" s="66">
        <v>24.17</v>
      </c>
      <c r="V160" s="66">
        <v>-3.28</v>
      </c>
      <c r="W160" s="54"/>
      <c r="X160" s="54">
        <v>2</v>
      </c>
      <c r="Y160" s="63">
        <v>1.3985000000000001</v>
      </c>
      <c r="Z160" s="63">
        <v>0.47510000000000002</v>
      </c>
      <c r="AA160" s="63">
        <v>6.3799999999999996E-2</v>
      </c>
      <c r="AB160" s="66">
        <v>-2.13</v>
      </c>
      <c r="AC160" s="54">
        <v>12.71</v>
      </c>
      <c r="AD160" s="54"/>
      <c r="AE160" s="54"/>
      <c r="AF160" s="54">
        <f t="shared" si="28"/>
        <v>1.0472271213011952</v>
      </c>
      <c r="AG160" s="123"/>
      <c r="AQ160" s="33">
        <f t="shared" si="29"/>
        <v>84.047725</v>
      </c>
      <c r="AS160" s="27">
        <f t="shared" si="30"/>
        <v>1150.6447899999998</v>
      </c>
      <c r="AT160" s="33">
        <f t="shared" si="31"/>
        <v>1150.6447899999998</v>
      </c>
      <c r="BA160" s="33">
        <f t="shared" si="32"/>
        <v>84.986249999999998</v>
      </c>
    </row>
    <row r="161" spans="1:53" x14ac:dyDescent="0.2">
      <c r="A161" s="55"/>
      <c r="B161" s="58">
        <v>3</v>
      </c>
      <c r="C161" s="59">
        <v>11.853999999999999</v>
      </c>
      <c r="D161" s="58">
        <v>20.591000000000001</v>
      </c>
      <c r="E161" s="63">
        <v>9.843</v>
      </c>
      <c r="F161" s="63">
        <v>2.0581</v>
      </c>
      <c r="G161" s="58">
        <v>0.53700000000000003</v>
      </c>
      <c r="H161" s="54">
        <v>0</v>
      </c>
      <c r="I161" s="61">
        <v>556.70000000000005</v>
      </c>
      <c r="J161" s="64">
        <v>47.93</v>
      </c>
      <c r="K161" s="66">
        <v>2.73</v>
      </c>
      <c r="L161" s="54"/>
      <c r="M161" s="58">
        <v>3</v>
      </c>
      <c r="N161" s="60">
        <v>11.823</v>
      </c>
      <c r="O161" s="60">
        <v>21.344999999999999</v>
      </c>
      <c r="P161" s="65">
        <v>9.7478999999999996</v>
      </c>
      <c r="Q161" s="65">
        <v>2.0581</v>
      </c>
      <c r="R161" s="60">
        <v>0.378</v>
      </c>
      <c r="S161" s="60"/>
      <c r="T161" s="62">
        <v>555.29999999999995</v>
      </c>
      <c r="U161" s="66">
        <v>20.46</v>
      </c>
      <c r="V161" s="66">
        <v>2.76</v>
      </c>
      <c r="W161" s="54"/>
      <c r="X161" s="54">
        <v>3</v>
      </c>
      <c r="Y161" s="63">
        <v>1.3984000000000001</v>
      </c>
      <c r="Z161" s="63">
        <v>0.46300000000000002</v>
      </c>
      <c r="AA161" s="63">
        <v>5.4899999999999997E-2</v>
      </c>
      <c r="AB161" s="66">
        <v>-1.83</v>
      </c>
      <c r="AC161" s="54">
        <v>11.06</v>
      </c>
      <c r="AD161" s="54"/>
      <c r="AE161" s="54"/>
      <c r="AF161" s="54">
        <f t="shared" si="28"/>
        <v>0.99748518052811197</v>
      </c>
      <c r="AG161" s="123"/>
      <c r="AQ161" s="33">
        <f t="shared" si="29"/>
        <v>84.319334999999995</v>
      </c>
      <c r="AS161" s="27">
        <f t="shared" si="30"/>
        <v>1127.6329900000001</v>
      </c>
      <c r="AT161" s="33">
        <f t="shared" si="31"/>
        <v>1127.6329900000001</v>
      </c>
      <c r="BA161" s="33">
        <f t="shared" si="32"/>
        <v>85.141950000000008</v>
      </c>
    </row>
    <row r="162" spans="1:53" x14ac:dyDescent="0.2">
      <c r="A162" s="55"/>
      <c r="B162" s="58">
        <v>4</v>
      </c>
      <c r="C162" s="59">
        <v>11.718999999999999</v>
      </c>
      <c r="D162" s="58">
        <v>20.588000000000001</v>
      </c>
      <c r="E162" s="63">
        <v>9.8671000000000006</v>
      </c>
      <c r="F162" s="63">
        <v>2.0297999999999998</v>
      </c>
      <c r="G162" s="58">
        <v>0.54300000000000004</v>
      </c>
      <c r="H162" s="54">
        <v>0</v>
      </c>
      <c r="I162" s="61">
        <v>587.70000000000005</v>
      </c>
      <c r="J162" s="64">
        <v>45.19</v>
      </c>
      <c r="K162" s="66">
        <v>2.25</v>
      </c>
      <c r="L162" s="54"/>
      <c r="M162" s="58">
        <v>4</v>
      </c>
      <c r="N162" s="60">
        <v>11.693</v>
      </c>
      <c r="O162" s="60">
        <v>21.347999999999999</v>
      </c>
      <c r="P162" s="65">
        <v>9.7830999999999992</v>
      </c>
      <c r="Q162" s="65">
        <v>2.0297999999999998</v>
      </c>
      <c r="R162" s="60">
        <v>0.38700000000000001</v>
      </c>
      <c r="S162" s="60"/>
      <c r="T162" s="62">
        <v>573.9</v>
      </c>
      <c r="U162" s="66">
        <v>17.670000000000002</v>
      </c>
      <c r="V162" s="66">
        <v>-2.2999999999999998</v>
      </c>
      <c r="W162" s="54"/>
      <c r="X162" s="54">
        <v>4</v>
      </c>
      <c r="Y162" s="63">
        <v>1.3983000000000001</v>
      </c>
      <c r="Z162" s="63">
        <v>0.45319999999999999</v>
      </c>
      <c r="AA162" s="63">
        <v>4.7399999999999998E-2</v>
      </c>
      <c r="AB162" s="66">
        <v>-1.8</v>
      </c>
      <c r="AC162" s="54">
        <v>9.4700000000000006</v>
      </c>
      <c r="AD162" s="54"/>
      <c r="AE162" s="54"/>
      <c r="AF162" s="54">
        <f t="shared" si="28"/>
        <v>0.97651863195507904</v>
      </c>
      <c r="AG162" s="123"/>
      <c r="AQ162" s="33">
        <f t="shared" si="29"/>
        <v>84.623814999999993</v>
      </c>
      <c r="AS162" s="27">
        <f t="shared" si="30"/>
        <v>1112.1274199999998</v>
      </c>
      <c r="AT162" s="33">
        <f t="shared" si="31"/>
        <v>1112.1274199999998</v>
      </c>
      <c r="BA162" s="33">
        <f t="shared" si="32"/>
        <v>85.350415000000012</v>
      </c>
    </row>
    <row r="163" spans="1:53" x14ac:dyDescent="0.2">
      <c r="A163" s="55"/>
      <c r="B163" s="58">
        <v>5</v>
      </c>
      <c r="C163" s="59">
        <v>11.587</v>
      </c>
      <c r="D163" s="58">
        <v>20.591000000000001</v>
      </c>
      <c r="E163" s="63">
        <v>9.8910999999999998</v>
      </c>
      <c r="F163" s="63">
        <v>2.0184000000000002</v>
      </c>
      <c r="G163" s="58">
        <v>0.54900000000000004</v>
      </c>
      <c r="H163" s="54">
        <v>0</v>
      </c>
      <c r="I163" s="61">
        <v>600.20000000000005</v>
      </c>
      <c r="J163" s="64">
        <v>44.41</v>
      </c>
      <c r="K163" s="66">
        <v>1.83</v>
      </c>
      <c r="L163" s="54"/>
      <c r="M163" s="58">
        <v>5</v>
      </c>
      <c r="N163" s="60">
        <v>11.566000000000001</v>
      </c>
      <c r="O163" s="60">
        <v>21.344999999999999</v>
      </c>
      <c r="P163" s="65">
        <v>9.8110999999999997</v>
      </c>
      <c r="Q163" s="65">
        <v>2.0184000000000002</v>
      </c>
      <c r="R163" s="60">
        <v>0.39400000000000002</v>
      </c>
      <c r="S163" s="60"/>
      <c r="T163" s="62">
        <v>585.9</v>
      </c>
      <c r="U163" s="66">
        <v>16.52</v>
      </c>
      <c r="V163" s="66">
        <v>1.89</v>
      </c>
      <c r="W163" s="54"/>
      <c r="X163" s="54">
        <v>5</v>
      </c>
      <c r="Y163" s="63">
        <v>1.3978999999999999</v>
      </c>
      <c r="Z163" s="63">
        <v>0.44900000000000001</v>
      </c>
      <c r="AA163" s="63">
        <v>4.4200000000000003E-2</v>
      </c>
      <c r="AB163" s="66">
        <v>-1.92</v>
      </c>
      <c r="AC163" s="54">
        <v>8.59</v>
      </c>
      <c r="AD163" s="54"/>
      <c r="AE163" s="54"/>
      <c r="AF163" s="54">
        <f t="shared" si="28"/>
        <v>0.97617460846384529</v>
      </c>
      <c r="AG163" s="123"/>
      <c r="AQ163" s="33">
        <f t="shared" si="29"/>
        <v>84.866015000000004</v>
      </c>
      <c r="AS163" s="27">
        <f t="shared" si="30"/>
        <v>1105.8813600000001</v>
      </c>
      <c r="AT163" s="33">
        <f t="shared" si="31"/>
        <v>1105.8813600000001</v>
      </c>
      <c r="BA163" s="33">
        <f t="shared" si="32"/>
        <v>85.558014999999997</v>
      </c>
    </row>
    <row r="164" spans="1:53" x14ac:dyDescent="0.2">
      <c r="A164" s="55">
        <f>(N159+N170)/2</f>
        <v>11.372499999999999</v>
      </c>
      <c r="B164" s="58">
        <v>6</v>
      </c>
      <c r="C164" s="59">
        <v>11.457000000000001</v>
      </c>
      <c r="D164" s="58">
        <v>20.594999999999999</v>
      </c>
      <c r="E164" s="63">
        <v>9.9151000000000007</v>
      </c>
      <c r="F164" s="63">
        <v>2.0150999999999999</v>
      </c>
      <c r="G164" s="58">
        <v>0.55500000000000005</v>
      </c>
      <c r="H164" s="54">
        <v>0</v>
      </c>
      <c r="I164" s="61">
        <v>606.9</v>
      </c>
      <c r="J164" s="64">
        <v>44.33</v>
      </c>
      <c r="K164" s="66">
        <v>1.37</v>
      </c>
      <c r="L164" s="54"/>
      <c r="M164" s="58">
        <v>6</v>
      </c>
      <c r="N164" s="60">
        <v>11.44</v>
      </c>
      <c r="O164" s="60">
        <v>21.341999999999999</v>
      </c>
      <c r="P164" s="65">
        <v>9.8347999999999995</v>
      </c>
      <c r="Q164" s="65">
        <v>2.0150999999999999</v>
      </c>
      <c r="R164" s="60">
        <v>0.4</v>
      </c>
      <c r="S164" s="60"/>
      <c r="T164" s="62">
        <v>594.1</v>
      </c>
      <c r="U164" s="66">
        <v>16.37</v>
      </c>
      <c r="V164" s="66">
        <v>1.45</v>
      </c>
      <c r="W164" s="54"/>
      <c r="X164" s="54">
        <v>6</v>
      </c>
      <c r="Y164" s="63">
        <v>1.3989</v>
      </c>
      <c r="Z164" s="63">
        <v>0.44650000000000001</v>
      </c>
      <c r="AA164" s="63">
        <v>4.3400000000000001E-2</v>
      </c>
      <c r="AB164" s="66">
        <v>-2.02</v>
      </c>
      <c r="AC164" s="54">
        <v>8.5</v>
      </c>
      <c r="AD164" s="54"/>
      <c r="AE164" s="54"/>
      <c r="AF164" s="54">
        <f t="shared" si="28"/>
        <v>0.97890921074312087</v>
      </c>
      <c r="AG164" s="123"/>
      <c r="AQ164" s="33">
        <f t="shared" si="29"/>
        <v>85.071020000000004</v>
      </c>
      <c r="AS164" s="27">
        <f t="shared" si="30"/>
        <v>1104.0732899999998</v>
      </c>
      <c r="AT164" s="33">
        <f t="shared" si="31"/>
        <v>1104.0732899999998</v>
      </c>
      <c r="BA164" s="33">
        <f t="shared" si="32"/>
        <v>85.765615000000011</v>
      </c>
    </row>
    <row r="165" spans="1:53" x14ac:dyDescent="0.2">
      <c r="A165" s="55">
        <f>PI()*(N159^2-N170^2)</f>
        <v>91.963260553893122</v>
      </c>
      <c r="B165" s="58">
        <v>7</v>
      </c>
      <c r="C165" s="59">
        <v>11.326000000000001</v>
      </c>
      <c r="D165" s="58">
        <v>20.597999999999999</v>
      </c>
      <c r="E165" s="63">
        <v>9.9390999999999998</v>
      </c>
      <c r="F165" s="63">
        <v>2.0158</v>
      </c>
      <c r="G165" s="58">
        <v>0.56100000000000005</v>
      </c>
      <c r="H165" s="54">
        <v>0</v>
      </c>
      <c r="I165" s="61">
        <v>612.79999999999995</v>
      </c>
      <c r="J165" s="64">
        <v>44.31</v>
      </c>
      <c r="K165" s="66">
        <v>-0.89</v>
      </c>
      <c r="L165" s="54"/>
      <c r="M165" s="58">
        <v>7</v>
      </c>
      <c r="N165" s="60">
        <v>11.315</v>
      </c>
      <c r="O165" s="60">
        <v>21.341000000000001</v>
      </c>
      <c r="P165" s="65">
        <v>9.8572000000000006</v>
      </c>
      <c r="Q165" s="65">
        <v>2.0152000000000001</v>
      </c>
      <c r="R165" s="60">
        <v>0.40500000000000003</v>
      </c>
      <c r="S165" s="60"/>
      <c r="T165" s="62">
        <v>601.6</v>
      </c>
      <c r="U165" s="66">
        <v>16.39</v>
      </c>
      <c r="V165" s="66">
        <v>1</v>
      </c>
      <c r="W165" s="54"/>
      <c r="X165" s="54">
        <v>7</v>
      </c>
      <c r="Y165" s="63">
        <v>1.4068000000000001</v>
      </c>
      <c r="Z165" s="63">
        <v>0.44409999999999999</v>
      </c>
      <c r="AA165" s="63">
        <v>4.3299999999999998E-2</v>
      </c>
      <c r="AB165" s="66">
        <v>-2.11</v>
      </c>
      <c r="AC165" s="54">
        <v>8.6</v>
      </c>
      <c r="AD165" s="54"/>
      <c r="AE165" s="54"/>
      <c r="AF165" s="54">
        <f t="shared" si="28"/>
        <v>0.98172323759791136</v>
      </c>
      <c r="AG165" s="123"/>
      <c r="AQ165" s="33">
        <f t="shared" si="29"/>
        <v>85.264780000000016</v>
      </c>
      <c r="AS165" s="27">
        <f t="shared" si="30"/>
        <v>1104.4568199999999</v>
      </c>
      <c r="AT165" s="33">
        <f t="shared" si="31"/>
        <v>1104.12808</v>
      </c>
      <c r="BA165" s="33">
        <f t="shared" si="32"/>
        <v>85.973214999999996</v>
      </c>
    </row>
    <row r="166" spans="1:53" x14ac:dyDescent="0.2">
      <c r="A166" s="55"/>
      <c r="B166" s="58">
        <v>8</v>
      </c>
      <c r="C166" s="58">
        <v>11.196</v>
      </c>
      <c r="D166" s="58">
        <v>20.600999999999999</v>
      </c>
      <c r="E166" s="63">
        <v>9.9631000000000007</v>
      </c>
      <c r="F166" s="63">
        <v>2.0213999999999999</v>
      </c>
      <c r="G166" s="58">
        <v>0.56799999999999995</v>
      </c>
      <c r="H166" s="54">
        <v>0</v>
      </c>
      <c r="I166" s="61">
        <v>621.70000000000005</v>
      </c>
      <c r="J166" s="64">
        <v>44.31</v>
      </c>
      <c r="K166" s="66">
        <v>-0.41</v>
      </c>
      <c r="L166" s="54"/>
      <c r="M166" s="58">
        <v>8</v>
      </c>
      <c r="N166" s="60">
        <v>11.19</v>
      </c>
      <c r="O166" s="60">
        <v>21.343</v>
      </c>
      <c r="P166" s="65">
        <v>9.8771000000000004</v>
      </c>
      <c r="Q166" s="65">
        <v>2.0213999999999999</v>
      </c>
      <c r="R166" s="60">
        <v>0.40899999999999997</v>
      </c>
      <c r="S166" s="60"/>
      <c r="T166" s="62">
        <v>608.79999999999995</v>
      </c>
      <c r="U166" s="66">
        <v>16.399999999999999</v>
      </c>
      <c r="V166" s="66">
        <v>0.53</v>
      </c>
      <c r="W166" s="54"/>
      <c r="X166" s="54">
        <v>8</v>
      </c>
      <c r="Y166" s="63">
        <v>1.4214</v>
      </c>
      <c r="Z166" s="63">
        <v>0.44280000000000003</v>
      </c>
      <c r="AA166" s="63">
        <v>4.4400000000000002E-2</v>
      </c>
      <c r="AB166" s="66">
        <v>-2.2200000000000002</v>
      </c>
      <c r="AC166" s="54">
        <v>8.66</v>
      </c>
      <c r="AD166" s="54"/>
      <c r="AE166" s="54"/>
      <c r="AF166" s="54">
        <f t="shared" si="28"/>
        <v>0.97925044233553149</v>
      </c>
      <c r="AG166" s="123"/>
      <c r="AQ166" s="33">
        <f t="shared" si="29"/>
        <v>85.436915000000013</v>
      </c>
      <c r="AS166" s="27">
        <f t="shared" si="30"/>
        <v>1107.5250599999999</v>
      </c>
      <c r="AT166" s="33">
        <f t="shared" si="31"/>
        <v>1107.5250599999999</v>
      </c>
      <c r="BA166" s="33">
        <f t="shared" si="32"/>
        <v>86.18081500000001</v>
      </c>
    </row>
    <row r="167" spans="1:53" x14ac:dyDescent="0.2">
      <c r="A167" s="55"/>
      <c r="B167" s="58">
        <v>9</v>
      </c>
      <c r="C167" s="59">
        <v>11.064</v>
      </c>
      <c r="D167" s="58">
        <v>20.605</v>
      </c>
      <c r="E167" s="63">
        <v>9.9870999999999999</v>
      </c>
      <c r="F167" s="63">
        <v>2.0331999999999999</v>
      </c>
      <c r="G167" s="58">
        <v>0.57499999999999996</v>
      </c>
      <c r="H167" s="54">
        <v>0</v>
      </c>
      <c r="I167" s="61">
        <v>626.1</v>
      </c>
      <c r="J167" s="64">
        <v>44.75</v>
      </c>
      <c r="K167" s="66">
        <v>0.11</v>
      </c>
      <c r="L167" s="54"/>
      <c r="M167" s="58">
        <v>9</v>
      </c>
      <c r="N167" s="60">
        <v>11.063000000000001</v>
      </c>
      <c r="O167" s="60">
        <v>21.344000000000001</v>
      </c>
      <c r="P167" s="65">
        <v>9.8909000000000002</v>
      </c>
      <c r="Q167" s="65">
        <v>2.0331999999999999</v>
      </c>
      <c r="R167" s="60">
        <v>0.41199999999999998</v>
      </c>
      <c r="S167" s="60"/>
      <c r="T167" s="62">
        <v>613.20000000000005</v>
      </c>
      <c r="U167" s="66">
        <v>16.940000000000001</v>
      </c>
      <c r="V167" s="66">
        <v>-0.05</v>
      </c>
      <c r="W167" s="54"/>
      <c r="X167" s="54">
        <v>9</v>
      </c>
      <c r="Y167" s="63">
        <v>1.4379999999999999</v>
      </c>
      <c r="Z167" s="63">
        <v>0.44400000000000001</v>
      </c>
      <c r="AA167" s="63">
        <v>4.8500000000000001E-2</v>
      </c>
      <c r="AB167" s="66">
        <v>-2.2999999999999998</v>
      </c>
      <c r="AC167" s="54">
        <v>9.08</v>
      </c>
      <c r="AD167" s="54"/>
      <c r="AE167" s="54"/>
      <c r="AF167" s="54">
        <f t="shared" si="28"/>
        <v>0.97939626257786305</v>
      </c>
      <c r="AG167" s="123"/>
      <c r="AQ167" s="33">
        <f t="shared" si="29"/>
        <v>85.556285000000003</v>
      </c>
      <c r="AS167" s="27">
        <f t="shared" si="30"/>
        <v>1113.99028</v>
      </c>
      <c r="AT167" s="33">
        <f t="shared" si="31"/>
        <v>1113.99028</v>
      </c>
      <c r="BA167" s="33">
        <f t="shared" si="32"/>
        <v>86.388415000000009</v>
      </c>
    </row>
    <row r="168" spans="1:53" x14ac:dyDescent="0.2">
      <c r="A168" s="55"/>
      <c r="B168" s="58">
        <v>10</v>
      </c>
      <c r="C168" s="59">
        <v>10.929</v>
      </c>
      <c r="D168" s="58">
        <v>20.611999999999998</v>
      </c>
      <c r="E168" s="63">
        <v>10.011100000000001</v>
      </c>
      <c r="F168" s="63">
        <v>2.0598000000000001</v>
      </c>
      <c r="G168" s="58">
        <v>0.58199999999999996</v>
      </c>
      <c r="H168" s="54">
        <v>0</v>
      </c>
      <c r="I168" s="61">
        <v>616.6</v>
      </c>
      <c r="J168" s="64">
        <v>46.65</v>
      </c>
      <c r="K168" s="66">
        <v>0.68</v>
      </c>
      <c r="L168" s="54"/>
      <c r="M168" s="58">
        <v>10</v>
      </c>
      <c r="N168" s="60">
        <v>10.935</v>
      </c>
      <c r="O168" s="60">
        <v>21.341000000000001</v>
      </c>
      <c r="P168" s="65">
        <v>9.8927999999999994</v>
      </c>
      <c r="Q168" s="65">
        <v>2.0598000000000001</v>
      </c>
      <c r="R168" s="60">
        <v>0.41299999999999998</v>
      </c>
      <c r="S168" s="60"/>
      <c r="T168" s="62">
        <v>611.6</v>
      </c>
      <c r="U168" s="66">
        <v>18.79</v>
      </c>
      <c r="V168" s="66">
        <v>0.5</v>
      </c>
      <c r="W168" s="54"/>
      <c r="X168" s="54">
        <v>10</v>
      </c>
      <c r="Y168" s="63">
        <v>1.4553</v>
      </c>
      <c r="Z168" s="63">
        <v>0.45090000000000002</v>
      </c>
      <c r="AA168" s="63">
        <v>5.8200000000000002E-2</v>
      </c>
      <c r="AB168" s="66">
        <v>-2.4300000000000002</v>
      </c>
      <c r="AC168" s="54">
        <v>10.039999999999999</v>
      </c>
      <c r="AD168" s="54"/>
      <c r="AE168" s="54"/>
      <c r="AF168" s="54">
        <f t="shared" si="28"/>
        <v>0.99189101524489132</v>
      </c>
      <c r="AG168" s="123"/>
      <c r="AQ168" s="33">
        <f t="shared" si="29"/>
        <v>85.572720000000004</v>
      </c>
      <c r="AS168" s="27">
        <f t="shared" si="30"/>
        <v>1128.5644199999999</v>
      </c>
      <c r="AT168" s="33">
        <f t="shared" si="31"/>
        <v>1128.5644199999999</v>
      </c>
      <c r="BA168" s="33">
        <f t="shared" si="32"/>
        <v>86.596015000000008</v>
      </c>
    </row>
    <row r="169" spans="1:53" x14ac:dyDescent="0.2">
      <c r="A169" s="55"/>
      <c r="B169" s="58">
        <v>11</v>
      </c>
      <c r="C169" s="59">
        <v>10.782999999999999</v>
      </c>
      <c r="D169" s="58">
        <v>20.631</v>
      </c>
      <c r="E169" s="63">
        <v>10.0351</v>
      </c>
      <c r="F169" s="63">
        <v>2.1067999999999998</v>
      </c>
      <c r="G169" s="58">
        <v>0.59099999999999997</v>
      </c>
      <c r="H169" s="54">
        <v>0</v>
      </c>
      <c r="I169" s="48">
        <v>570.9</v>
      </c>
      <c r="J169" s="64">
        <v>51.69</v>
      </c>
      <c r="K169" s="66">
        <v>1.58</v>
      </c>
      <c r="L169" s="54"/>
      <c r="M169" s="58">
        <v>11</v>
      </c>
      <c r="N169" s="60">
        <v>10.8</v>
      </c>
      <c r="O169" s="60">
        <v>21.327999999999999</v>
      </c>
      <c r="P169" s="65">
        <v>9.8836999999999993</v>
      </c>
      <c r="Q169" s="65">
        <v>2.1067999999999998</v>
      </c>
      <c r="R169" s="60">
        <v>0.41099999999999998</v>
      </c>
      <c r="S169" s="60"/>
      <c r="T169" s="62">
        <v>598.20000000000005</v>
      </c>
      <c r="U169" s="66">
        <v>23.11</v>
      </c>
      <c r="V169" s="66">
        <v>1.32</v>
      </c>
      <c r="W169" s="54"/>
      <c r="X169" s="54">
        <v>11</v>
      </c>
      <c r="Y169" s="63">
        <v>1.4742999999999999</v>
      </c>
      <c r="Z169" s="63">
        <v>0.46560000000000001</v>
      </c>
      <c r="AA169" s="63">
        <v>7.2499999999999995E-2</v>
      </c>
      <c r="AB169" s="66">
        <v>-2.88</v>
      </c>
      <c r="AC169" s="54">
        <v>11.44</v>
      </c>
      <c r="AD169" s="54"/>
      <c r="AE169" s="54"/>
      <c r="AF169" s="54">
        <f t="shared" si="28"/>
        <v>1.0478192327903311</v>
      </c>
      <c r="AG169" s="123"/>
      <c r="AQ169" s="33">
        <f t="shared" si="29"/>
        <v>85.494005000000001</v>
      </c>
      <c r="AS169" s="27">
        <f t="shared" si="30"/>
        <v>1154.3157199999998</v>
      </c>
      <c r="AT169" s="33">
        <f t="shared" si="31"/>
        <v>1154.3157199999998</v>
      </c>
      <c r="BA169" s="33">
        <f t="shared" si="32"/>
        <v>86.803615000000008</v>
      </c>
    </row>
    <row r="170" spans="1:53" x14ac:dyDescent="0.2">
      <c r="A170" s="55"/>
      <c r="B170" s="58">
        <v>12</v>
      </c>
      <c r="C170" s="59">
        <v>10.701000000000001</v>
      </c>
      <c r="D170" s="58">
        <v>20.649000000000001</v>
      </c>
      <c r="E170" s="63">
        <v>10.0471</v>
      </c>
      <c r="F170" s="63">
        <v>2.1408</v>
      </c>
      <c r="G170" s="58">
        <v>0.59699999999999998</v>
      </c>
      <c r="H170" s="54">
        <v>0</v>
      </c>
      <c r="I170" s="61">
        <v>518.20000000000005</v>
      </c>
      <c r="J170" s="64">
        <v>56.37</v>
      </c>
      <c r="K170" s="66">
        <v>2.4300000000000002</v>
      </c>
      <c r="L170" s="54"/>
      <c r="M170" s="58">
        <v>12</v>
      </c>
      <c r="N170" s="60">
        <v>10.728999999999999</v>
      </c>
      <c r="O170" s="60">
        <v>21.312999999999999</v>
      </c>
      <c r="P170" s="65">
        <v>9.8729999999999993</v>
      </c>
      <c r="Q170" s="65">
        <v>2.1408</v>
      </c>
      <c r="R170" s="60">
        <v>0.40799999999999997</v>
      </c>
      <c r="S170" s="60"/>
      <c r="T170" s="62">
        <v>580.6</v>
      </c>
      <c r="U170" s="66">
        <v>28.8</v>
      </c>
      <c r="V170" s="66">
        <v>2.4300000000000002</v>
      </c>
      <c r="W170" s="54"/>
      <c r="X170" s="54">
        <v>12</v>
      </c>
      <c r="Y170" s="63">
        <v>1.4847999999999999</v>
      </c>
      <c r="Z170" s="63">
        <v>0.4788</v>
      </c>
      <c r="AA170" s="63">
        <v>8.2000000000000003E-2</v>
      </c>
      <c r="AB170" s="66">
        <v>-3.37</v>
      </c>
      <c r="AC170" s="54">
        <v>12.33</v>
      </c>
      <c r="AD170" s="54"/>
      <c r="AE170" s="54"/>
      <c r="AF170" s="54">
        <f t="shared" si="28"/>
        <v>1.1204168274797375</v>
      </c>
      <c r="AG170" s="123"/>
      <c r="AQ170" s="33">
        <f t="shared" si="29"/>
        <v>85.401449999999997</v>
      </c>
      <c r="AS170" s="27">
        <f t="shared" si="30"/>
        <v>1172.9443200000001</v>
      </c>
      <c r="AT170" s="33">
        <f t="shared" si="31"/>
        <v>1172.9443200000001</v>
      </c>
      <c r="BA170" s="33">
        <f t="shared" si="32"/>
        <v>86.907415</v>
      </c>
    </row>
    <row r="171" spans="1:53" x14ac:dyDescent="0.2">
      <c r="A171" s="43" t="s">
        <v>126</v>
      </c>
      <c r="B171" s="58"/>
      <c r="C171" s="58"/>
      <c r="D171" s="58"/>
      <c r="E171" s="58"/>
      <c r="F171" s="58"/>
      <c r="G171" s="58"/>
      <c r="H171" s="54"/>
      <c r="I171" s="58"/>
      <c r="J171" s="58"/>
      <c r="K171" s="54"/>
      <c r="L171" s="54"/>
      <c r="M171" s="58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8"/>
      <c r="Z171" s="58"/>
      <c r="AA171" s="58"/>
      <c r="AB171" s="54"/>
      <c r="AC171" s="54"/>
      <c r="AD171" s="54"/>
      <c r="AE171" s="54"/>
      <c r="AF171" s="54" t="e">
        <f t="shared" si="28"/>
        <v>#DIV/0!</v>
      </c>
      <c r="AG171" s="57"/>
    </row>
    <row r="172" spans="1:53" x14ac:dyDescent="0.2">
      <c r="A172" s="55"/>
      <c r="B172" s="44">
        <v>1</v>
      </c>
      <c r="C172" s="45">
        <v>11.978</v>
      </c>
      <c r="D172" s="45">
        <v>21.85</v>
      </c>
      <c r="E172" s="46">
        <v>9.6820000000000004</v>
      </c>
      <c r="F172" s="44">
        <v>2.1549999999999998</v>
      </c>
      <c r="G172" s="45">
        <v>0.378</v>
      </c>
      <c r="H172" s="47">
        <v>0.71099999999999997</v>
      </c>
      <c r="I172" s="48">
        <v>534.79999999999995</v>
      </c>
      <c r="J172" s="49">
        <v>61.99</v>
      </c>
      <c r="K172" s="54"/>
      <c r="L172" s="67"/>
      <c r="M172" s="44">
        <v>1</v>
      </c>
      <c r="N172" s="47">
        <v>11.930999999999999</v>
      </c>
      <c r="O172" s="47">
        <v>22.504999999999999</v>
      </c>
      <c r="P172" s="51">
        <v>12.569900000000001</v>
      </c>
      <c r="Q172" s="47">
        <v>2.3285</v>
      </c>
      <c r="R172" s="56">
        <v>0.50700000000000001</v>
      </c>
      <c r="S172" s="47">
        <v>0.41799999999999998</v>
      </c>
      <c r="T172" s="52">
        <v>409.4</v>
      </c>
      <c r="U172" s="53">
        <v>53.51</v>
      </c>
      <c r="V172" s="54"/>
      <c r="W172" s="54"/>
      <c r="X172" s="47">
        <v>1</v>
      </c>
      <c r="Y172" s="46">
        <v>1.2226999999999999</v>
      </c>
      <c r="Z172" s="68">
        <v>0.55510000000000004</v>
      </c>
      <c r="AA172" s="46">
        <v>8.7999999999999995E-2</v>
      </c>
      <c r="AB172" s="53">
        <v>1.7</v>
      </c>
      <c r="AC172" s="54">
        <v>15.58</v>
      </c>
      <c r="AD172" s="54"/>
      <c r="AE172" s="54"/>
      <c r="AF172" s="54">
        <f t="shared" si="28"/>
        <v>0.76551982049364253</v>
      </c>
      <c r="AG172" s="122">
        <v>82</v>
      </c>
      <c r="AQ172" s="33">
        <f t="shared" si="29"/>
        <v>108.72963500000002</v>
      </c>
      <c r="AS172" s="27">
        <f t="shared" si="30"/>
        <v>1180.7244999999998</v>
      </c>
      <c r="AT172" s="33">
        <f t="shared" si="31"/>
        <v>1275.7851499999999</v>
      </c>
      <c r="BA172" s="33">
        <f t="shared" si="32"/>
        <v>83.749300000000005</v>
      </c>
    </row>
    <row r="173" spans="1:53" x14ac:dyDescent="0.2">
      <c r="A173" s="55"/>
      <c r="B173" s="44">
        <v>2</v>
      </c>
      <c r="C173" s="45">
        <v>11.893000000000001</v>
      </c>
      <c r="D173" s="45">
        <v>21.844000000000001</v>
      </c>
      <c r="E173" s="46">
        <v>9.7164999999999999</v>
      </c>
      <c r="F173" s="44">
        <v>2.1000999999999999</v>
      </c>
      <c r="G173" s="45">
        <v>0.38500000000000001</v>
      </c>
      <c r="H173" s="47">
        <v>0.745</v>
      </c>
      <c r="I173" s="48">
        <v>559</v>
      </c>
      <c r="J173" s="49">
        <v>61.66</v>
      </c>
      <c r="K173" s="54"/>
      <c r="L173" s="67"/>
      <c r="M173" s="44">
        <v>2</v>
      </c>
      <c r="N173" s="47">
        <v>11.836</v>
      </c>
      <c r="O173" s="47">
        <v>22.506</v>
      </c>
      <c r="P173" s="51">
        <v>12.591900000000001</v>
      </c>
      <c r="Q173" s="47">
        <v>2.2679</v>
      </c>
      <c r="R173" s="56">
        <v>0.51200000000000001</v>
      </c>
      <c r="S173" s="47">
        <v>0.47399999999999998</v>
      </c>
      <c r="T173" s="52">
        <v>485.9</v>
      </c>
      <c r="U173" s="53">
        <v>50.82</v>
      </c>
      <c r="V173" s="54"/>
      <c r="W173" s="54"/>
      <c r="X173" s="47">
        <v>2</v>
      </c>
      <c r="Y173" s="46">
        <v>1.2318</v>
      </c>
      <c r="Z173" s="68">
        <v>0.4955</v>
      </c>
      <c r="AA173" s="46">
        <v>7.7600000000000002E-2</v>
      </c>
      <c r="AB173" s="53">
        <v>0.83</v>
      </c>
      <c r="AC173" s="54">
        <v>11.69</v>
      </c>
      <c r="AD173" s="54"/>
      <c r="AE173" s="54"/>
      <c r="AF173" s="54">
        <f t="shared" si="28"/>
        <v>0.86923076923076914</v>
      </c>
      <c r="AG173" s="123"/>
      <c r="AQ173" s="33">
        <f t="shared" si="29"/>
        <v>108.91993500000001</v>
      </c>
      <c r="AS173" s="27">
        <f t="shared" si="30"/>
        <v>1150.6447899999998</v>
      </c>
      <c r="AT173" s="33">
        <f t="shared" si="31"/>
        <v>1242.58241</v>
      </c>
      <c r="BA173" s="33">
        <f t="shared" si="32"/>
        <v>84.047725</v>
      </c>
    </row>
    <row r="174" spans="1:53" x14ac:dyDescent="0.2">
      <c r="A174" s="55"/>
      <c r="B174" s="44">
        <v>3</v>
      </c>
      <c r="C174" s="45">
        <v>11.795</v>
      </c>
      <c r="D174" s="45">
        <v>21.838000000000001</v>
      </c>
      <c r="E174" s="46">
        <v>9.7478999999999996</v>
      </c>
      <c r="F174" s="44">
        <v>2.0581</v>
      </c>
      <c r="G174" s="45">
        <v>0.39400000000000002</v>
      </c>
      <c r="H174" s="47">
        <v>0.77100000000000002</v>
      </c>
      <c r="I174" s="48">
        <v>579.29999999999995</v>
      </c>
      <c r="J174" s="49">
        <v>61.31</v>
      </c>
      <c r="K174" s="54"/>
      <c r="L174" s="67"/>
      <c r="M174" s="44">
        <v>3</v>
      </c>
      <c r="N174" s="47">
        <v>11.741</v>
      </c>
      <c r="O174" s="47">
        <v>22.507000000000001</v>
      </c>
      <c r="P174" s="51">
        <v>12.613799999999999</v>
      </c>
      <c r="Q174" s="47">
        <v>2.2208999999999999</v>
      </c>
      <c r="R174" s="56">
        <v>0.51600000000000001</v>
      </c>
      <c r="S174" s="47">
        <v>0.51500000000000001</v>
      </c>
      <c r="T174" s="52">
        <v>537.6</v>
      </c>
      <c r="U174" s="53">
        <v>49.49</v>
      </c>
      <c r="V174" s="54"/>
      <c r="W174" s="54"/>
      <c r="X174" s="47">
        <v>3</v>
      </c>
      <c r="Y174" s="46">
        <v>1.2421</v>
      </c>
      <c r="Z174" s="68">
        <v>0.45440000000000003</v>
      </c>
      <c r="AA174" s="46">
        <v>6.7299999999999999E-2</v>
      </c>
      <c r="AB174" s="53">
        <v>0.13</v>
      </c>
      <c r="AC174" s="54">
        <v>9.26</v>
      </c>
      <c r="AD174" s="54"/>
      <c r="AE174" s="54"/>
      <c r="AF174" s="54">
        <f t="shared" si="28"/>
        <v>0.92801657172449514</v>
      </c>
      <c r="AG174" s="123"/>
      <c r="AQ174" s="33">
        <f t="shared" si="29"/>
        <v>109.10937</v>
      </c>
      <c r="AS174" s="27">
        <f t="shared" si="30"/>
        <v>1127.6329900000001</v>
      </c>
      <c r="AT174" s="33">
        <f t="shared" si="31"/>
        <v>1216.8311099999999</v>
      </c>
      <c r="BA174" s="33">
        <f t="shared" si="32"/>
        <v>84.319334999999995</v>
      </c>
    </row>
    <row r="175" spans="1:53" x14ac:dyDescent="0.2">
      <c r="A175" s="55"/>
      <c r="B175" s="44">
        <v>4</v>
      </c>
      <c r="C175" s="45">
        <v>11.669</v>
      </c>
      <c r="D175" s="45">
        <v>21.831</v>
      </c>
      <c r="E175" s="46">
        <v>9.7830999999999992</v>
      </c>
      <c r="F175" s="44">
        <v>2.0297999999999998</v>
      </c>
      <c r="G175" s="45">
        <v>0.40300000000000002</v>
      </c>
      <c r="H175" s="47">
        <v>0.78900000000000003</v>
      </c>
      <c r="I175" s="48">
        <v>599</v>
      </c>
      <c r="J175" s="49">
        <v>60.75</v>
      </c>
      <c r="K175" s="54"/>
      <c r="L175" s="67"/>
      <c r="M175" s="44">
        <v>4</v>
      </c>
      <c r="N175" s="47">
        <v>11.622</v>
      </c>
      <c r="O175" s="47">
        <v>22.512</v>
      </c>
      <c r="P175" s="51">
        <v>12.6431</v>
      </c>
      <c r="Q175" s="47">
        <v>2.1884000000000001</v>
      </c>
      <c r="R175" s="56">
        <v>0.52</v>
      </c>
      <c r="S175" s="47">
        <v>0.54300000000000004</v>
      </c>
      <c r="T175" s="52">
        <v>575.1</v>
      </c>
      <c r="U175" s="53">
        <v>48.44</v>
      </c>
      <c r="V175" s="54"/>
      <c r="W175" s="54"/>
      <c r="X175" s="47">
        <v>4</v>
      </c>
      <c r="Y175" s="46">
        <v>1.2551000000000001</v>
      </c>
      <c r="Z175" s="68">
        <v>0.42709999999999998</v>
      </c>
      <c r="AA175" s="46">
        <v>5.7700000000000001E-2</v>
      </c>
      <c r="AB175" s="53">
        <v>0.45</v>
      </c>
      <c r="AC175" s="54">
        <v>7.91</v>
      </c>
      <c r="AD175" s="54"/>
      <c r="AE175" s="54"/>
      <c r="AF175" s="54">
        <f t="shared" si="28"/>
        <v>0.96010016694490818</v>
      </c>
      <c r="AG175" s="123"/>
      <c r="AQ175" s="33">
        <f t="shared" si="29"/>
        <v>109.36281500000001</v>
      </c>
      <c r="AS175" s="27">
        <f t="shared" si="30"/>
        <v>1112.1274199999998</v>
      </c>
      <c r="AT175" s="33">
        <f t="shared" si="31"/>
        <v>1199.0243600000001</v>
      </c>
      <c r="BA175" s="33">
        <f t="shared" si="32"/>
        <v>84.623814999999993</v>
      </c>
    </row>
    <row r="176" spans="1:53" x14ac:dyDescent="0.2">
      <c r="A176" s="55"/>
      <c r="B176" s="44">
        <v>5</v>
      </c>
      <c r="C176" s="45">
        <v>11.547000000000001</v>
      </c>
      <c r="D176" s="45">
        <v>21.821999999999999</v>
      </c>
      <c r="E176" s="46">
        <v>9.8110999999999997</v>
      </c>
      <c r="F176" s="44">
        <v>2.0184000000000002</v>
      </c>
      <c r="G176" s="45">
        <v>0.41099999999999998</v>
      </c>
      <c r="H176" s="47">
        <v>0.79300000000000004</v>
      </c>
      <c r="I176" s="48">
        <v>612.5</v>
      </c>
      <c r="J176" s="49">
        <v>60.11</v>
      </c>
      <c r="K176" s="54"/>
      <c r="L176" s="67"/>
      <c r="M176" s="44">
        <v>5</v>
      </c>
      <c r="N176" s="47">
        <v>11.509</v>
      </c>
      <c r="O176" s="47">
        <v>22.52</v>
      </c>
      <c r="P176" s="51">
        <v>12.6723</v>
      </c>
      <c r="Q176" s="47">
        <v>2.1745999999999999</v>
      </c>
      <c r="R176" s="56">
        <v>0.52500000000000002</v>
      </c>
      <c r="S176" s="47">
        <v>0.55300000000000005</v>
      </c>
      <c r="T176" s="52">
        <v>594.4</v>
      </c>
      <c r="U176" s="53">
        <v>47.49</v>
      </c>
      <c r="V176" s="54"/>
      <c r="W176" s="54"/>
      <c r="X176" s="47">
        <v>5</v>
      </c>
      <c r="Y176" s="46">
        <v>1.2679</v>
      </c>
      <c r="Z176" s="68">
        <v>0.41610000000000003</v>
      </c>
      <c r="AA176" s="46">
        <v>5.0599999999999999E-2</v>
      </c>
      <c r="AB176" s="53">
        <v>0.8</v>
      </c>
      <c r="AC176" s="54">
        <v>7.37</v>
      </c>
      <c r="AD176" s="54"/>
      <c r="AE176" s="54"/>
      <c r="AF176" s="54">
        <f t="shared" si="28"/>
        <v>0.97044897959183674</v>
      </c>
      <c r="AG176" s="123"/>
      <c r="AQ176" s="33">
        <f t="shared" si="29"/>
        <v>109.61539500000001</v>
      </c>
      <c r="AS176" s="27">
        <f t="shared" si="30"/>
        <v>1105.8813600000001</v>
      </c>
      <c r="AT176" s="33">
        <f t="shared" si="31"/>
        <v>1191.4633399999998</v>
      </c>
      <c r="BA176" s="33">
        <f t="shared" si="32"/>
        <v>84.866015000000004</v>
      </c>
    </row>
    <row r="177" spans="1:53" x14ac:dyDescent="0.2">
      <c r="A177" s="55">
        <f>(N172+N183)/2</f>
        <v>11.344999999999999</v>
      </c>
      <c r="B177" s="44">
        <v>6</v>
      </c>
      <c r="C177" s="45">
        <v>11.427</v>
      </c>
      <c r="D177" s="45">
        <v>21.812999999999999</v>
      </c>
      <c r="E177" s="46">
        <v>9.8347999999999995</v>
      </c>
      <c r="F177" s="44">
        <v>2.0150999999999999</v>
      </c>
      <c r="G177" s="45">
        <v>0.41699999999999998</v>
      </c>
      <c r="H177" s="47">
        <v>0.79</v>
      </c>
      <c r="I177" s="48">
        <v>621.79999999999995</v>
      </c>
      <c r="J177" s="49">
        <v>59.42</v>
      </c>
      <c r="K177" s="54"/>
      <c r="L177" s="67"/>
      <c r="M177" s="44">
        <v>6</v>
      </c>
      <c r="N177" s="47">
        <v>11.398</v>
      </c>
      <c r="O177" s="47">
        <v>22.530999999999999</v>
      </c>
      <c r="P177" s="51">
        <v>12.701599999999999</v>
      </c>
      <c r="Q177" s="47">
        <v>2.1701000000000001</v>
      </c>
      <c r="R177" s="56">
        <v>0.53100000000000003</v>
      </c>
      <c r="S177" s="47">
        <v>0.55200000000000005</v>
      </c>
      <c r="T177" s="52">
        <v>603.9</v>
      </c>
      <c r="U177" s="53">
        <v>46.46</v>
      </c>
      <c r="V177" s="54"/>
      <c r="W177" s="54"/>
      <c r="X177" s="47">
        <v>6</v>
      </c>
      <c r="Y177" s="46">
        <v>1.2807999999999999</v>
      </c>
      <c r="Z177" s="68">
        <v>0.41420000000000001</v>
      </c>
      <c r="AA177" s="46">
        <v>4.6399999999999997E-2</v>
      </c>
      <c r="AB177" s="53">
        <v>0.97</v>
      </c>
      <c r="AC177" s="54">
        <v>7.17</v>
      </c>
      <c r="AD177" s="54"/>
      <c r="AE177" s="54"/>
      <c r="AF177" s="54">
        <f t="shared" si="28"/>
        <v>0.97121260855580571</v>
      </c>
      <c r="AG177" s="123"/>
      <c r="AQ177" s="33">
        <f t="shared" si="29"/>
        <v>109.86883999999999</v>
      </c>
      <c r="AS177" s="27">
        <f t="shared" si="30"/>
        <v>1104.0732899999998</v>
      </c>
      <c r="AT177" s="33">
        <f t="shared" si="31"/>
        <v>1188.9977900000001</v>
      </c>
      <c r="BA177" s="33">
        <f t="shared" si="32"/>
        <v>85.071020000000004</v>
      </c>
    </row>
    <row r="178" spans="1:53" x14ac:dyDescent="0.2">
      <c r="A178" s="55">
        <f>PI()*(N172^2-N183^2)</f>
        <v>83.543368127264088</v>
      </c>
      <c r="B178" s="44">
        <v>7</v>
      </c>
      <c r="C178" s="45">
        <v>11.305999999999999</v>
      </c>
      <c r="D178" s="45">
        <v>21.81</v>
      </c>
      <c r="E178" s="46">
        <v>9.8572000000000006</v>
      </c>
      <c r="F178" s="44">
        <v>2.0152000000000001</v>
      </c>
      <c r="G178" s="45">
        <v>0.42299999999999999</v>
      </c>
      <c r="H178" s="47">
        <v>0.78400000000000003</v>
      </c>
      <c r="I178" s="48">
        <v>629.4</v>
      </c>
      <c r="J178" s="49">
        <v>58.74</v>
      </c>
      <c r="K178" s="54"/>
      <c r="L178" s="67"/>
      <c r="M178" s="44">
        <v>7</v>
      </c>
      <c r="N178" s="47">
        <v>11.288</v>
      </c>
      <c r="O178" s="47">
        <v>22.545000000000002</v>
      </c>
      <c r="P178" s="51">
        <v>12.7308</v>
      </c>
      <c r="Q178" s="47">
        <v>2.1701000000000001</v>
      </c>
      <c r="R178" s="56">
        <v>0.53700000000000003</v>
      </c>
      <c r="S178" s="47">
        <v>0.54700000000000004</v>
      </c>
      <c r="T178" s="52">
        <v>611.1</v>
      </c>
      <c r="U178" s="53">
        <v>45.3</v>
      </c>
      <c r="V178" s="54"/>
      <c r="W178" s="54"/>
      <c r="X178" s="47">
        <v>7</v>
      </c>
      <c r="Y178" s="46">
        <v>1.2939000000000001</v>
      </c>
      <c r="Z178" s="68">
        <v>0.41620000000000001</v>
      </c>
      <c r="AA178" s="46">
        <v>4.65E-2</v>
      </c>
      <c r="AB178" s="53">
        <v>1</v>
      </c>
      <c r="AC178" s="54">
        <v>7.19</v>
      </c>
      <c r="AD178" s="54"/>
      <c r="AE178" s="54"/>
      <c r="AF178" s="54">
        <f t="shared" si="28"/>
        <v>0.97092469018112493</v>
      </c>
      <c r="AG178" s="123"/>
      <c r="AQ178" s="33">
        <f t="shared" si="29"/>
        <v>110.12142</v>
      </c>
      <c r="AS178" s="27">
        <f t="shared" si="30"/>
        <v>1104.12808</v>
      </c>
      <c r="AT178" s="33">
        <f t="shared" si="31"/>
        <v>1188.9977900000001</v>
      </c>
      <c r="BA178" s="33">
        <f t="shared" si="32"/>
        <v>85.264780000000016</v>
      </c>
    </row>
    <row r="179" spans="1:53" x14ac:dyDescent="0.2">
      <c r="A179" s="55"/>
      <c r="B179" s="44">
        <v>8</v>
      </c>
      <c r="C179" s="45">
        <v>11.185</v>
      </c>
      <c r="D179" s="45">
        <v>21.803000000000001</v>
      </c>
      <c r="E179" s="46">
        <v>9.8771000000000004</v>
      </c>
      <c r="F179" s="44">
        <v>2.0213999999999999</v>
      </c>
      <c r="G179" s="45">
        <v>0.42699999999999999</v>
      </c>
      <c r="H179" s="47">
        <v>0.77700000000000002</v>
      </c>
      <c r="I179" s="48">
        <v>636.29999999999995</v>
      </c>
      <c r="J179" s="49">
        <v>58.08</v>
      </c>
      <c r="K179" s="54"/>
      <c r="L179" s="67"/>
      <c r="M179" s="44">
        <v>8</v>
      </c>
      <c r="N179" s="47">
        <v>11.178000000000001</v>
      </c>
      <c r="O179" s="47">
        <v>22.56</v>
      </c>
      <c r="P179" s="51">
        <v>12.7601</v>
      </c>
      <c r="Q179" s="47">
        <v>2.1774</v>
      </c>
      <c r="R179" s="56">
        <v>0.54400000000000004</v>
      </c>
      <c r="S179" s="47">
        <v>0.54</v>
      </c>
      <c r="T179" s="52">
        <v>618.5</v>
      </c>
      <c r="U179" s="53">
        <v>43.96</v>
      </c>
      <c r="V179" s="54"/>
      <c r="W179" s="54"/>
      <c r="X179" s="47">
        <v>8</v>
      </c>
      <c r="Y179" s="46">
        <v>1.3071999999999999</v>
      </c>
      <c r="Z179" s="68">
        <v>0.42070000000000002</v>
      </c>
      <c r="AA179" s="46">
        <v>4.9599999999999998E-2</v>
      </c>
      <c r="AB179" s="53">
        <v>0.94</v>
      </c>
      <c r="AC179" s="54">
        <v>7.45</v>
      </c>
      <c r="AD179" s="54"/>
      <c r="AE179" s="54"/>
      <c r="AF179" s="54">
        <f t="shared" si="28"/>
        <v>0.97202577400597212</v>
      </c>
      <c r="AG179" s="123"/>
      <c r="AQ179" s="33">
        <f t="shared" si="29"/>
        <v>110.374865</v>
      </c>
      <c r="AS179" s="27">
        <f t="shared" si="30"/>
        <v>1107.5250599999999</v>
      </c>
      <c r="AT179" s="33">
        <f t="shared" si="31"/>
        <v>1192.99746</v>
      </c>
      <c r="BA179" s="33">
        <f t="shared" si="32"/>
        <v>85.436915000000013</v>
      </c>
    </row>
    <row r="180" spans="1:53" x14ac:dyDescent="0.2">
      <c r="A180" s="55"/>
      <c r="B180" s="44">
        <v>9</v>
      </c>
      <c r="C180" s="45">
        <v>11.064</v>
      </c>
      <c r="D180" s="45">
        <v>21.795000000000002</v>
      </c>
      <c r="E180" s="46">
        <v>9.8909000000000002</v>
      </c>
      <c r="F180" s="44">
        <v>2.0331999999999999</v>
      </c>
      <c r="G180" s="45">
        <v>0.42899999999999999</v>
      </c>
      <c r="H180" s="47">
        <v>0.76500000000000001</v>
      </c>
      <c r="I180" s="48">
        <v>639.79999999999995</v>
      </c>
      <c r="J180" s="49">
        <v>57.41</v>
      </c>
      <c r="K180" s="54"/>
      <c r="L180" s="67"/>
      <c r="M180" s="44">
        <v>9</v>
      </c>
      <c r="N180" s="47">
        <v>11.066000000000001</v>
      </c>
      <c r="O180" s="47">
        <v>22.576000000000001</v>
      </c>
      <c r="P180" s="51">
        <v>12.789400000000001</v>
      </c>
      <c r="Q180" s="47">
        <v>2.1913999999999998</v>
      </c>
      <c r="R180" s="56">
        <v>0.55100000000000005</v>
      </c>
      <c r="S180" s="47">
        <v>0.52700000000000002</v>
      </c>
      <c r="T180" s="52">
        <v>620.5</v>
      </c>
      <c r="U180" s="53">
        <v>42.4</v>
      </c>
      <c r="V180" s="54"/>
      <c r="W180" s="54"/>
      <c r="X180" s="47">
        <v>9</v>
      </c>
      <c r="Y180" s="46">
        <v>1.321</v>
      </c>
      <c r="Z180" s="68">
        <v>0.43130000000000002</v>
      </c>
      <c r="AA180" s="46">
        <v>5.5500000000000001E-2</v>
      </c>
      <c r="AB180" s="53">
        <v>0.7</v>
      </c>
      <c r="AC180" s="54">
        <v>8.02</v>
      </c>
      <c r="AD180" s="54"/>
      <c r="AE180" s="54"/>
      <c r="AF180" s="54">
        <f t="shared" si="28"/>
        <v>0.96983432322600815</v>
      </c>
      <c r="AG180" s="123"/>
      <c r="AQ180" s="33">
        <f t="shared" si="29"/>
        <v>110.62831000000001</v>
      </c>
      <c r="AS180" s="27">
        <f t="shared" si="30"/>
        <v>1113.99028</v>
      </c>
      <c r="AT180" s="33">
        <f t="shared" si="31"/>
        <v>1200.6680599999997</v>
      </c>
      <c r="BA180" s="33">
        <f t="shared" si="32"/>
        <v>85.556285000000003</v>
      </c>
    </row>
    <row r="181" spans="1:53" x14ac:dyDescent="0.2">
      <c r="A181" s="55"/>
      <c r="B181" s="44">
        <v>10</v>
      </c>
      <c r="C181" s="45">
        <v>10.94</v>
      </c>
      <c r="D181" s="45">
        <v>21.785</v>
      </c>
      <c r="E181" s="46">
        <v>9.8927999999999994</v>
      </c>
      <c r="F181" s="44">
        <v>2.0598000000000001</v>
      </c>
      <c r="G181" s="45">
        <v>0.42899999999999999</v>
      </c>
      <c r="H181" s="47">
        <v>0.74099999999999999</v>
      </c>
      <c r="I181" s="48">
        <v>637.6</v>
      </c>
      <c r="J181" s="49">
        <v>56.59</v>
      </c>
      <c r="K181" s="54"/>
      <c r="L181" s="67"/>
      <c r="M181" s="44">
        <v>10</v>
      </c>
      <c r="N181" s="47">
        <v>10.952</v>
      </c>
      <c r="O181" s="47">
        <v>22.596</v>
      </c>
      <c r="P181" s="51">
        <v>12.8186</v>
      </c>
      <c r="Q181" s="47">
        <v>2.2221000000000002</v>
      </c>
      <c r="R181" s="56">
        <v>0.55900000000000005</v>
      </c>
      <c r="S181" s="47">
        <v>0.498</v>
      </c>
      <c r="T181" s="52">
        <v>607.9</v>
      </c>
      <c r="U181" s="53">
        <v>40.35</v>
      </c>
      <c r="V181" s="54"/>
      <c r="W181" s="54"/>
      <c r="X181" s="47">
        <v>10</v>
      </c>
      <c r="Y181" s="46">
        <v>1.3353999999999999</v>
      </c>
      <c r="Z181" s="68">
        <v>0.4572</v>
      </c>
      <c r="AA181" s="46">
        <v>6.4199999999999993E-2</v>
      </c>
      <c r="AB181" s="53">
        <v>0.17</v>
      </c>
      <c r="AC181" s="54">
        <v>9</v>
      </c>
      <c r="AD181" s="54"/>
      <c r="AE181" s="54"/>
      <c r="AF181" s="54">
        <f t="shared" si="28"/>
        <v>0.95341907151819316</v>
      </c>
      <c r="AG181" s="123"/>
      <c r="AQ181" s="33">
        <f t="shared" si="29"/>
        <v>110.88089000000001</v>
      </c>
      <c r="AS181" s="27">
        <f t="shared" si="30"/>
        <v>1128.5644199999999</v>
      </c>
      <c r="AT181" s="33">
        <f t="shared" si="31"/>
        <v>1217.4885900000002</v>
      </c>
      <c r="BA181" s="33">
        <f t="shared" si="32"/>
        <v>85.572720000000004</v>
      </c>
    </row>
    <row r="182" spans="1:53" x14ac:dyDescent="0.2">
      <c r="A182" s="55"/>
      <c r="B182" s="44">
        <v>11</v>
      </c>
      <c r="C182" s="45">
        <v>10.81</v>
      </c>
      <c r="D182" s="45">
        <v>21.773</v>
      </c>
      <c r="E182" s="46">
        <v>9.8836999999999993</v>
      </c>
      <c r="F182" s="44">
        <v>2.1067999999999998</v>
      </c>
      <c r="G182" s="45">
        <v>0.42799999999999999</v>
      </c>
      <c r="H182" s="47">
        <v>0.69699999999999995</v>
      </c>
      <c r="I182" s="48">
        <v>626.1</v>
      </c>
      <c r="J182" s="49">
        <v>55.34</v>
      </c>
      <c r="K182" s="54"/>
      <c r="L182" s="67"/>
      <c r="M182" s="44">
        <v>11</v>
      </c>
      <c r="N182" s="47">
        <v>10.827999999999999</v>
      </c>
      <c r="O182" s="47">
        <v>22.617999999999999</v>
      </c>
      <c r="P182" s="51">
        <v>12.847899999999999</v>
      </c>
      <c r="Q182" s="47">
        <v>2.2751000000000001</v>
      </c>
      <c r="R182" s="56">
        <v>0.56899999999999995</v>
      </c>
      <c r="S182" s="47">
        <v>0.438</v>
      </c>
      <c r="T182" s="52">
        <v>563.1</v>
      </c>
      <c r="U182" s="53">
        <v>37.549999999999997</v>
      </c>
      <c r="V182" s="54"/>
      <c r="W182" s="54"/>
      <c r="X182" s="47">
        <v>11</v>
      </c>
      <c r="Y182" s="46">
        <v>1.351</v>
      </c>
      <c r="Z182" s="68">
        <v>0.51470000000000005</v>
      </c>
      <c r="AA182" s="46">
        <v>7.5600000000000001E-2</v>
      </c>
      <c r="AB182" s="53">
        <v>0.78</v>
      </c>
      <c r="AC182" s="54">
        <v>10.11</v>
      </c>
      <c r="AD182" s="54"/>
      <c r="AE182" s="54"/>
      <c r="AF182" s="54">
        <f t="shared" si="28"/>
        <v>0.89937709631049356</v>
      </c>
      <c r="AG182" s="123"/>
      <c r="AQ182" s="33">
        <f t="shared" si="29"/>
        <v>111.13433499999999</v>
      </c>
      <c r="AS182" s="27">
        <f t="shared" si="30"/>
        <v>1154.3157199999998</v>
      </c>
      <c r="AT182" s="33">
        <f t="shared" si="31"/>
        <v>1246.52729</v>
      </c>
      <c r="BA182" s="33">
        <f t="shared" si="32"/>
        <v>85.494005000000001</v>
      </c>
    </row>
    <row r="183" spans="1:53" x14ac:dyDescent="0.2">
      <c r="A183" s="55"/>
      <c r="B183" s="44">
        <v>12</v>
      </c>
      <c r="C183" s="45">
        <v>10.743</v>
      </c>
      <c r="D183" s="45">
        <v>21.766999999999999</v>
      </c>
      <c r="E183" s="46">
        <v>9.8729999999999993</v>
      </c>
      <c r="F183" s="44">
        <v>2.1408</v>
      </c>
      <c r="G183" s="45">
        <v>0.42699999999999999</v>
      </c>
      <c r="H183" s="47">
        <v>0.66400000000000003</v>
      </c>
      <c r="I183" s="48">
        <v>613.6</v>
      </c>
      <c r="J183" s="49">
        <v>54.51</v>
      </c>
      <c r="K183" s="54"/>
      <c r="L183" s="67"/>
      <c r="M183" s="44">
        <v>12</v>
      </c>
      <c r="N183" s="47">
        <v>10.759</v>
      </c>
      <c r="O183" s="47">
        <v>22.63</v>
      </c>
      <c r="P183" s="51">
        <v>12.862500000000001</v>
      </c>
      <c r="Q183" s="47">
        <v>2.3130000000000002</v>
      </c>
      <c r="R183" s="56">
        <v>0.57399999999999995</v>
      </c>
      <c r="S183" s="47">
        <v>0.39</v>
      </c>
      <c r="T183" s="52">
        <v>515.20000000000005</v>
      </c>
      <c r="U183" s="53">
        <v>35.86</v>
      </c>
      <c r="V183" s="54"/>
      <c r="W183" s="54"/>
      <c r="X183" s="47">
        <v>12</v>
      </c>
      <c r="Y183" s="46">
        <v>1.3595999999999999</v>
      </c>
      <c r="Z183" s="68">
        <v>0.56910000000000005</v>
      </c>
      <c r="AA183" s="46">
        <v>8.3000000000000004E-2</v>
      </c>
      <c r="AB183" s="53">
        <v>1.5</v>
      </c>
      <c r="AC183" s="54">
        <v>10.59</v>
      </c>
      <c r="AD183" s="54"/>
      <c r="AE183" s="54"/>
      <c r="AF183" s="54">
        <f t="shared" si="28"/>
        <v>0.83963494132985661</v>
      </c>
      <c r="AG183" s="123"/>
      <c r="AQ183" s="33">
        <f t="shared" si="29"/>
        <v>111.260625</v>
      </c>
      <c r="AS183" s="27">
        <f t="shared" si="30"/>
        <v>1172.9443200000001</v>
      </c>
      <c r="AT183" s="33">
        <f t="shared" si="31"/>
        <v>1267.2927</v>
      </c>
      <c r="BA183" s="33">
        <f t="shared" si="32"/>
        <v>85.401449999999997</v>
      </c>
    </row>
    <row r="184" spans="1:53" x14ac:dyDescent="0.2">
      <c r="A184" s="128" t="s">
        <v>127</v>
      </c>
      <c r="B184" s="58"/>
      <c r="C184" s="58"/>
      <c r="D184" s="58"/>
      <c r="E184" s="58"/>
      <c r="F184" s="58"/>
      <c r="G184" s="58"/>
      <c r="H184" s="54"/>
      <c r="I184" s="58"/>
      <c r="J184" s="58"/>
      <c r="K184" s="54"/>
      <c r="L184" s="54"/>
      <c r="M184" s="58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8"/>
      <c r="Z184" s="58"/>
      <c r="AA184" s="58"/>
      <c r="AB184" s="54"/>
      <c r="AC184" s="54"/>
      <c r="AD184" s="54"/>
      <c r="AE184" s="54"/>
      <c r="AF184" s="54" t="e">
        <f t="shared" si="28"/>
        <v>#DIV/0!</v>
      </c>
      <c r="AG184" s="57"/>
    </row>
    <row r="185" spans="1:53" x14ac:dyDescent="0.2">
      <c r="A185" s="55"/>
      <c r="B185" s="58">
        <v>1</v>
      </c>
      <c r="C185" s="69">
        <v>11.897</v>
      </c>
      <c r="D185" s="70">
        <v>22.98</v>
      </c>
      <c r="E185" s="71">
        <v>12.569900000000001</v>
      </c>
      <c r="F185" s="71">
        <v>2.3285</v>
      </c>
      <c r="G185" s="70">
        <v>0.51500000000000001</v>
      </c>
      <c r="H185" s="54">
        <v>0</v>
      </c>
      <c r="I185" s="72">
        <v>403.6</v>
      </c>
      <c r="J185" s="70">
        <v>59.45</v>
      </c>
      <c r="K185" s="73">
        <v>-4.09</v>
      </c>
      <c r="L185" s="54"/>
      <c r="M185" s="58">
        <v>1</v>
      </c>
      <c r="N185" s="74">
        <v>11.843999999999999</v>
      </c>
      <c r="O185" s="73">
        <v>23.722000000000001</v>
      </c>
      <c r="P185" s="75">
        <v>12.4023</v>
      </c>
      <c r="Q185" s="75">
        <v>2.3285</v>
      </c>
      <c r="R185" s="76">
        <v>0.35499999999999998</v>
      </c>
      <c r="S185" s="77">
        <v>523.6</v>
      </c>
      <c r="T185" s="73">
        <v>27.5</v>
      </c>
      <c r="U185" s="73">
        <v>-4.09</v>
      </c>
      <c r="V185" s="54"/>
      <c r="W185" s="54"/>
      <c r="X185" s="54">
        <v>1</v>
      </c>
      <c r="Y185" s="58">
        <v>1.4</v>
      </c>
      <c r="Z185" s="58">
        <v>0.49580000000000002</v>
      </c>
      <c r="AA185" s="44">
        <v>8.2000000000000003E-2</v>
      </c>
      <c r="AB185" s="54">
        <v>-2.2999999999999998</v>
      </c>
      <c r="AC185" s="54">
        <v>14.59</v>
      </c>
      <c r="AD185" s="54"/>
      <c r="AE185" s="54"/>
      <c r="AF185" s="54">
        <f t="shared" si="28"/>
        <v>6.8136769078295342E-2</v>
      </c>
      <c r="AG185" s="122">
        <v>112</v>
      </c>
      <c r="AQ185" s="33">
        <f t="shared" si="29"/>
        <v>107.27989500000001</v>
      </c>
      <c r="AS185" s="27">
        <f t="shared" si="30"/>
        <v>1275.7851499999999</v>
      </c>
      <c r="AT185" s="33">
        <f t="shared" si="31"/>
        <v>1275.7851499999999</v>
      </c>
      <c r="BA185" s="33">
        <f t="shared" si="32"/>
        <v>108.72963500000002</v>
      </c>
    </row>
    <row r="186" spans="1:53" x14ac:dyDescent="0.2">
      <c r="A186" s="55"/>
      <c r="B186" s="58">
        <v>2</v>
      </c>
      <c r="C186" s="69">
        <v>11.808999999999999</v>
      </c>
      <c r="D186" s="70">
        <v>22.959</v>
      </c>
      <c r="E186" s="71">
        <v>12.591900000000001</v>
      </c>
      <c r="F186" s="71">
        <v>2.2679</v>
      </c>
      <c r="G186" s="70">
        <v>0.52</v>
      </c>
      <c r="H186" s="54">
        <v>0</v>
      </c>
      <c r="I186" s="78">
        <v>504.8</v>
      </c>
      <c r="J186" s="70">
        <v>53.27</v>
      </c>
      <c r="K186" s="73">
        <v>-3.42</v>
      </c>
      <c r="L186" s="54"/>
      <c r="M186" s="58">
        <v>2</v>
      </c>
      <c r="N186" s="74">
        <v>11.768000000000001</v>
      </c>
      <c r="O186" s="73">
        <v>23.739000000000001</v>
      </c>
      <c r="P186" s="75">
        <v>12.4374</v>
      </c>
      <c r="Q186" s="75">
        <v>2.2679</v>
      </c>
      <c r="R186" s="76">
        <v>0.36399999999999999</v>
      </c>
      <c r="S186" s="77">
        <v>548</v>
      </c>
      <c r="T186" s="73">
        <v>23.49</v>
      </c>
      <c r="U186" s="73">
        <v>-2.0699999999999998</v>
      </c>
      <c r="V186" s="54"/>
      <c r="W186" s="54"/>
      <c r="X186" s="54">
        <v>2</v>
      </c>
      <c r="Y186" s="58">
        <v>1.4</v>
      </c>
      <c r="Z186" s="58">
        <v>0.47810000000000002</v>
      </c>
      <c r="AA186" s="58">
        <v>7.4099999999999999E-2</v>
      </c>
      <c r="AB186" s="54">
        <v>-1.6</v>
      </c>
      <c r="AC186" s="54">
        <v>12.75</v>
      </c>
      <c r="AD186" s="54"/>
      <c r="AE186" s="54"/>
      <c r="AF186" s="54">
        <f t="shared" si="28"/>
        <v>4.6533280507131534E-2</v>
      </c>
      <c r="AG186" s="123"/>
      <c r="AQ186" s="33">
        <f t="shared" si="29"/>
        <v>107.58351</v>
      </c>
      <c r="AS186" s="27">
        <f t="shared" si="30"/>
        <v>1242.58241</v>
      </c>
      <c r="AT186" s="33">
        <f t="shared" si="31"/>
        <v>1242.58241</v>
      </c>
      <c r="BA186" s="33">
        <f t="shared" si="32"/>
        <v>108.91993500000001</v>
      </c>
    </row>
    <row r="187" spans="1:53" x14ac:dyDescent="0.2">
      <c r="A187" s="55"/>
      <c r="B187" s="58">
        <v>3</v>
      </c>
      <c r="C187" s="69">
        <v>11.715</v>
      </c>
      <c r="D187" s="70">
        <v>22.946999999999999</v>
      </c>
      <c r="E187" s="71">
        <v>12.613799999999999</v>
      </c>
      <c r="F187" s="71">
        <v>2.2208999999999999</v>
      </c>
      <c r="G187" s="70">
        <v>0.52400000000000002</v>
      </c>
      <c r="H187" s="54">
        <v>0</v>
      </c>
      <c r="I187" s="78">
        <v>556.79999999999995</v>
      </c>
      <c r="J187" s="70">
        <v>48.64</v>
      </c>
      <c r="K187" s="73">
        <v>-2.94</v>
      </c>
      <c r="L187" s="54"/>
      <c r="M187" s="58">
        <v>3</v>
      </c>
      <c r="N187" s="74">
        <v>11.682</v>
      </c>
      <c r="O187" s="73">
        <v>23.748999999999999</v>
      </c>
      <c r="P187" s="75">
        <v>12.4742</v>
      </c>
      <c r="Q187" s="75">
        <v>2.2208999999999999</v>
      </c>
      <c r="R187" s="76">
        <v>0.36899999999999999</v>
      </c>
      <c r="S187" s="77">
        <v>564.29999999999995</v>
      </c>
      <c r="T187" s="73">
        <v>20.03</v>
      </c>
      <c r="U187" s="73">
        <v>-1.69</v>
      </c>
      <c r="V187" s="54"/>
      <c r="W187" s="54"/>
      <c r="X187" s="54">
        <v>3</v>
      </c>
      <c r="Y187" s="58">
        <v>1.399</v>
      </c>
      <c r="Z187" s="58">
        <v>0.46870000000000001</v>
      </c>
      <c r="AA187" s="44">
        <v>6.5799999999999997E-2</v>
      </c>
      <c r="AB187" s="54">
        <v>-1.2</v>
      </c>
      <c r="AC187" s="54">
        <v>11.22</v>
      </c>
      <c r="AD187" s="54"/>
      <c r="AE187" s="54"/>
      <c r="AF187" s="54">
        <f t="shared" si="28"/>
        <v>3.5973419540229888E-2</v>
      </c>
      <c r="AG187" s="123"/>
      <c r="AQ187" s="33">
        <f t="shared" si="29"/>
        <v>107.90183</v>
      </c>
      <c r="AS187" s="27">
        <f t="shared" si="30"/>
        <v>1216.8311099999999</v>
      </c>
      <c r="AT187" s="33">
        <f t="shared" si="31"/>
        <v>1216.8311099999999</v>
      </c>
      <c r="BA187" s="33">
        <f t="shared" si="32"/>
        <v>109.10937</v>
      </c>
    </row>
    <row r="188" spans="1:53" x14ac:dyDescent="0.2">
      <c r="A188" s="55"/>
      <c r="B188" s="58">
        <v>4</v>
      </c>
      <c r="C188" s="69">
        <v>11.6</v>
      </c>
      <c r="D188" s="70">
        <v>22.942</v>
      </c>
      <c r="E188" s="71">
        <v>12.6431</v>
      </c>
      <c r="F188" s="71">
        <v>2.1884000000000001</v>
      </c>
      <c r="G188" s="70">
        <v>0.53</v>
      </c>
      <c r="H188" s="54">
        <v>0</v>
      </c>
      <c r="I188" s="78">
        <v>595.20000000000005</v>
      </c>
      <c r="J188" s="70">
        <v>45.23</v>
      </c>
      <c r="K188" s="73">
        <v>-2.5499999999999998</v>
      </c>
      <c r="L188" s="54"/>
      <c r="M188" s="58">
        <v>4</v>
      </c>
      <c r="N188" s="74">
        <v>11.571999999999999</v>
      </c>
      <c r="O188" s="73">
        <v>23.754000000000001</v>
      </c>
      <c r="P188" s="75">
        <v>12.520300000000001</v>
      </c>
      <c r="Q188" s="75">
        <v>2.1884000000000001</v>
      </c>
      <c r="R188" s="76">
        <v>0.376</v>
      </c>
      <c r="S188" s="77">
        <v>579.9</v>
      </c>
      <c r="T188" s="73">
        <v>17.100000000000001</v>
      </c>
      <c r="U188" s="73">
        <v>-1.5</v>
      </c>
      <c r="V188" s="54"/>
      <c r="W188" s="54"/>
      <c r="X188" s="54">
        <v>4</v>
      </c>
      <c r="Y188" s="58">
        <v>1.4003000000000001</v>
      </c>
      <c r="Z188" s="58">
        <v>0.46079999999999999</v>
      </c>
      <c r="AA188" s="58">
        <v>5.6599999999999998E-2</v>
      </c>
      <c r="AB188" s="54">
        <v>-1</v>
      </c>
      <c r="AC188" s="54">
        <v>9.64</v>
      </c>
      <c r="AD188" s="54"/>
      <c r="AE188" s="54"/>
      <c r="AF188" s="54">
        <f t="shared" si="28"/>
        <v>2.8729838709677418E-2</v>
      </c>
      <c r="AG188" s="123"/>
      <c r="AQ188" s="33">
        <f t="shared" si="29"/>
        <v>108.30059500000002</v>
      </c>
      <c r="AS188" s="27">
        <f t="shared" si="30"/>
        <v>1199.0243600000001</v>
      </c>
      <c r="AT188" s="33">
        <f t="shared" si="31"/>
        <v>1199.0243600000001</v>
      </c>
      <c r="BA188" s="33">
        <f t="shared" si="32"/>
        <v>109.36281500000001</v>
      </c>
    </row>
    <row r="189" spans="1:53" x14ac:dyDescent="0.2">
      <c r="A189" s="55"/>
      <c r="B189" s="58">
        <v>5</v>
      </c>
      <c r="C189" s="69">
        <v>11.491</v>
      </c>
      <c r="D189" s="70">
        <v>22.940999999999999</v>
      </c>
      <c r="E189" s="71">
        <v>12.6723</v>
      </c>
      <c r="F189" s="71">
        <v>2.1745999999999999</v>
      </c>
      <c r="G189" s="70">
        <v>0.53500000000000003</v>
      </c>
      <c r="H189" s="54">
        <v>0</v>
      </c>
      <c r="I189" s="78">
        <v>615</v>
      </c>
      <c r="J189" s="70">
        <v>43.71</v>
      </c>
      <c r="K189" s="73">
        <v>-2.2599999999999998</v>
      </c>
      <c r="L189" s="54"/>
      <c r="M189" s="58">
        <v>5</v>
      </c>
      <c r="N189" s="74">
        <v>11.464</v>
      </c>
      <c r="O189" s="73">
        <v>23.754999999999999</v>
      </c>
      <c r="P189" s="75">
        <v>12.561299999999999</v>
      </c>
      <c r="Q189" s="75">
        <v>2.1745999999999999</v>
      </c>
      <c r="R189" s="76">
        <v>0.38100000000000001</v>
      </c>
      <c r="S189" s="77">
        <v>591.5</v>
      </c>
      <c r="T189" s="73">
        <v>15.52</v>
      </c>
      <c r="U189" s="73">
        <v>-1.42</v>
      </c>
      <c r="V189" s="54"/>
      <c r="W189" s="54"/>
      <c r="X189" s="54">
        <v>5</v>
      </c>
      <c r="Y189" s="58">
        <v>1.403</v>
      </c>
      <c r="Z189" s="58">
        <v>0.45639999999999997</v>
      </c>
      <c r="AA189" s="58">
        <v>5.0099999999999999E-2</v>
      </c>
      <c r="AB189" s="54">
        <v>-1.02</v>
      </c>
      <c r="AC189" s="54">
        <v>8.7200000000000006</v>
      </c>
      <c r="AD189" s="54"/>
      <c r="AE189" s="54"/>
      <c r="AF189" s="54">
        <f t="shared" si="28"/>
        <v>2.5235772357723577E-2</v>
      </c>
      <c r="AG189" s="123"/>
      <c r="AQ189" s="33">
        <f t="shared" si="29"/>
        <v>108.65524499999999</v>
      </c>
      <c r="AS189" s="27">
        <f t="shared" si="30"/>
        <v>1191.4633399999998</v>
      </c>
      <c r="AT189" s="33">
        <f t="shared" si="31"/>
        <v>1191.4633399999998</v>
      </c>
      <c r="BA189" s="33">
        <f t="shared" si="32"/>
        <v>109.61539500000001</v>
      </c>
    </row>
    <row r="190" spans="1:53" x14ac:dyDescent="0.2">
      <c r="A190" s="55">
        <f>(N185+N196)/2</f>
        <v>11.2995</v>
      </c>
      <c r="B190" s="58">
        <v>6</v>
      </c>
      <c r="C190" s="69">
        <v>11.382999999999999</v>
      </c>
      <c r="D190" s="70">
        <v>22.943999999999999</v>
      </c>
      <c r="E190" s="71">
        <v>12.701599999999999</v>
      </c>
      <c r="F190" s="71">
        <v>2.1701000000000001</v>
      </c>
      <c r="G190" s="70">
        <v>0.54100000000000004</v>
      </c>
      <c r="H190" s="54">
        <v>0</v>
      </c>
      <c r="I190" s="78">
        <v>624.5</v>
      </c>
      <c r="J190" s="70">
        <v>43.33</v>
      </c>
      <c r="K190" s="73">
        <v>-1.99</v>
      </c>
      <c r="L190" s="54"/>
      <c r="M190" s="58">
        <v>6</v>
      </c>
      <c r="N190" s="74">
        <v>11.358000000000001</v>
      </c>
      <c r="O190" s="73">
        <v>23.754999999999999</v>
      </c>
      <c r="P190" s="75">
        <v>12.5962</v>
      </c>
      <c r="Q190" s="75">
        <v>2.1701000000000001</v>
      </c>
      <c r="R190" s="76">
        <v>0.38600000000000001</v>
      </c>
      <c r="S190" s="77">
        <v>599.5</v>
      </c>
      <c r="T190" s="79">
        <v>14.98</v>
      </c>
      <c r="U190" s="73">
        <v>-1.36</v>
      </c>
      <c r="V190" s="54"/>
      <c r="W190" s="54"/>
      <c r="X190" s="54">
        <v>6</v>
      </c>
      <c r="Y190" s="58">
        <v>1.4094</v>
      </c>
      <c r="Z190" s="58">
        <v>0.45450000000000002</v>
      </c>
      <c r="AA190" s="58">
        <v>4.6600000000000003E-2</v>
      </c>
      <c r="AB190" s="54">
        <v>-1.07</v>
      </c>
      <c r="AC190" s="54">
        <v>8.31</v>
      </c>
      <c r="AD190" s="54"/>
      <c r="AE190" s="54"/>
      <c r="AF190" s="54">
        <f t="shared" si="28"/>
        <v>2.3987189751801443E-2</v>
      </c>
      <c r="AG190" s="123"/>
      <c r="AQ190" s="33">
        <f t="shared" si="29"/>
        <v>108.95713000000001</v>
      </c>
      <c r="AS190" s="27">
        <f t="shared" si="30"/>
        <v>1188.9977900000001</v>
      </c>
      <c r="AT190" s="33">
        <f t="shared" si="31"/>
        <v>1188.9977900000001</v>
      </c>
      <c r="BA190" s="33">
        <f t="shared" si="32"/>
        <v>109.86883999999999</v>
      </c>
    </row>
    <row r="191" spans="1:53" x14ac:dyDescent="0.2">
      <c r="A191" s="55">
        <f>PI()*(N185^2-N196^2)</f>
        <v>77.315572240159923</v>
      </c>
      <c r="B191" s="58">
        <v>7</v>
      </c>
      <c r="C191" s="80">
        <v>11.276</v>
      </c>
      <c r="D191" s="70">
        <v>22.946999999999999</v>
      </c>
      <c r="E191" s="71">
        <v>12.7308</v>
      </c>
      <c r="F191" s="71">
        <v>2.1701000000000001</v>
      </c>
      <c r="G191" s="70">
        <v>0.54700000000000004</v>
      </c>
      <c r="H191" s="54">
        <v>0</v>
      </c>
      <c r="I191" s="78">
        <v>631.79999999999995</v>
      </c>
      <c r="J191" s="70">
        <v>43.31</v>
      </c>
      <c r="K191" s="73">
        <v>-1.73</v>
      </c>
      <c r="L191" s="54"/>
      <c r="M191" s="58">
        <v>7</v>
      </c>
      <c r="N191" s="74">
        <v>11.252000000000001</v>
      </c>
      <c r="O191" s="73">
        <v>23.756</v>
      </c>
      <c r="P191" s="75">
        <v>12.623900000000001</v>
      </c>
      <c r="Q191" s="75">
        <v>2.1701000000000001</v>
      </c>
      <c r="R191" s="76">
        <v>0.39</v>
      </c>
      <c r="S191" s="77">
        <v>604.79999999999995</v>
      </c>
      <c r="T191" s="73">
        <v>14.99</v>
      </c>
      <c r="U191" s="73">
        <v>-1.28</v>
      </c>
      <c r="V191" s="54"/>
      <c r="W191" s="54"/>
      <c r="X191" s="54">
        <v>7</v>
      </c>
      <c r="Y191" s="58">
        <v>1.4197</v>
      </c>
      <c r="Z191" s="58">
        <v>0.4541</v>
      </c>
      <c r="AA191" s="58">
        <v>4.6300000000000001E-2</v>
      </c>
      <c r="AB191" s="54">
        <v>-1.1000000000000001</v>
      </c>
      <c r="AC191" s="54">
        <v>8.2899999999999991</v>
      </c>
      <c r="AD191" s="54"/>
      <c r="AE191" s="54"/>
      <c r="AF191" s="54">
        <f t="shared" si="28"/>
        <v>2.3725862614751507E-2</v>
      </c>
      <c r="AG191" s="123"/>
      <c r="AQ191" s="33">
        <f t="shared" si="29"/>
        <v>109.19673500000002</v>
      </c>
      <c r="AS191" s="27">
        <f t="shared" si="30"/>
        <v>1188.9977900000001</v>
      </c>
      <c r="AT191" s="33">
        <f t="shared" si="31"/>
        <v>1188.9977900000001</v>
      </c>
      <c r="BA191" s="33">
        <f t="shared" si="32"/>
        <v>110.12142</v>
      </c>
    </row>
    <row r="192" spans="1:53" x14ac:dyDescent="0.2">
      <c r="A192" s="55"/>
      <c r="B192" s="58">
        <v>8</v>
      </c>
      <c r="C192" s="69">
        <v>11.169</v>
      </c>
      <c r="D192" s="70">
        <v>22.949000000000002</v>
      </c>
      <c r="E192" s="71">
        <v>12.7601</v>
      </c>
      <c r="F192" s="71">
        <v>2.1774</v>
      </c>
      <c r="G192" s="70">
        <v>0.55300000000000005</v>
      </c>
      <c r="H192" s="54">
        <v>0</v>
      </c>
      <c r="I192" s="72">
        <v>637.20000000000005</v>
      </c>
      <c r="J192" s="70">
        <v>43.47</v>
      </c>
      <c r="K192" s="73">
        <v>-1.47</v>
      </c>
      <c r="L192" s="54"/>
      <c r="M192" s="58">
        <v>8</v>
      </c>
      <c r="N192" s="74">
        <v>11.146000000000001</v>
      </c>
      <c r="O192" s="73">
        <v>23.757999999999999</v>
      </c>
      <c r="P192" s="75">
        <v>12.641</v>
      </c>
      <c r="Q192" s="75">
        <v>2.1774</v>
      </c>
      <c r="R192" s="76">
        <v>0.39200000000000002</v>
      </c>
      <c r="S192" s="77">
        <v>607.79999999999995</v>
      </c>
      <c r="T192" s="79">
        <v>15.29</v>
      </c>
      <c r="U192" s="73">
        <v>-1.19</v>
      </c>
      <c r="V192" s="54"/>
      <c r="W192" s="54"/>
      <c r="X192" s="54">
        <v>8</v>
      </c>
      <c r="Y192" s="58">
        <v>1.4329000000000001</v>
      </c>
      <c r="Z192" s="58">
        <v>0.45660000000000001</v>
      </c>
      <c r="AA192" s="58">
        <v>5.0500000000000003E-2</v>
      </c>
      <c r="AB192" s="54">
        <v>-1.1200000000000001</v>
      </c>
      <c r="AC192" s="54">
        <v>8.73</v>
      </c>
      <c r="AD192" s="54"/>
      <c r="AE192" s="54"/>
      <c r="AF192" s="54">
        <f t="shared" si="28"/>
        <v>2.3995605775266788E-2</v>
      </c>
      <c r="AG192" s="123"/>
      <c r="AQ192" s="33">
        <f t="shared" si="29"/>
        <v>109.34465</v>
      </c>
      <c r="AS192" s="27">
        <f t="shared" si="30"/>
        <v>1192.99746</v>
      </c>
      <c r="AT192" s="33">
        <f t="shared" si="31"/>
        <v>1192.99746</v>
      </c>
      <c r="BA192" s="33">
        <f t="shared" si="32"/>
        <v>110.374865</v>
      </c>
    </row>
    <row r="193" spans="1:53" x14ac:dyDescent="0.2">
      <c r="A193" s="55"/>
      <c r="B193" s="58">
        <v>9</v>
      </c>
      <c r="C193" s="69">
        <v>11.06</v>
      </c>
      <c r="D193" s="70">
        <v>22.952999999999999</v>
      </c>
      <c r="E193" s="71">
        <v>12.789400000000001</v>
      </c>
      <c r="F193" s="71">
        <v>2.1913999999999998</v>
      </c>
      <c r="G193" s="70">
        <v>0.55900000000000005</v>
      </c>
      <c r="H193" s="54">
        <v>0</v>
      </c>
      <c r="I193" s="78">
        <v>637.70000000000005</v>
      </c>
      <c r="J193" s="70">
        <v>44.28</v>
      </c>
      <c r="K193" s="73">
        <v>-1.23</v>
      </c>
      <c r="L193" s="54"/>
      <c r="M193" s="58">
        <v>9</v>
      </c>
      <c r="N193" s="81">
        <v>11.039</v>
      </c>
      <c r="O193" s="73">
        <v>23.759</v>
      </c>
      <c r="P193" s="75">
        <v>12.649800000000001</v>
      </c>
      <c r="Q193" s="75">
        <v>2.1913999999999998</v>
      </c>
      <c r="R193" s="76">
        <v>0.39200000000000002</v>
      </c>
      <c r="S193" s="77">
        <v>607.5</v>
      </c>
      <c r="T193" s="73">
        <v>16.29</v>
      </c>
      <c r="U193" s="73">
        <v>-1.1000000000000001</v>
      </c>
      <c r="V193" s="54"/>
      <c r="W193" s="54"/>
      <c r="X193" s="54">
        <v>9</v>
      </c>
      <c r="Y193" s="58">
        <v>1.4470000000000001</v>
      </c>
      <c r="Z193" s="58">
        <v>0.46210000000000001</v>
      </c>
      <c r="AA193" s="58">
        <v>5.7799999999999997E-2</v>
      </c>
      <c r="AB193" s="54">
        <v>-1.22</v>
      </c>
      <c r="AC193" s="54">
        <v>9.56</v>
      </c>
      <c r="AD193" s="54"/>
      <c r="AE193" s="54"/>
      <c r="AF193" s="54">
        <f t="shared" si="28"/>
        <v>2.5544927081699857E-2</v>
      </c>
      <c r="AG193" s="123"/>
      <c r="AQ193" s="33">
        <f t="shared" si="29"/>
        <v>109.42077</v>
      </c>
      <c r="AS193" s="27">
        <f t="shared" si="30"/>
        <v>1200.6680599999997</v>
      </c>
      <c r="AT193" s="33">
        <f t="shared" si="31"/>
        <v>1200.6680599999997</v>
      </c>
      <c r="BA193" s="33">
        <f t="shared" si="32"/>
        <v>110.62831000000001</v>
      </c>
    </row>
    <row r="194" spans="1:53" x14ac:dyDescent="0.2">
      <c r="A194" s="55"/>
      <c r="B194" s="58">
        <v>10</v>
      </c>
      <c r="C194" s="69">
        <v>10.848000000000001</v>
      </c>
      <c r="D194" s="70">
        <v>22.963000000000001</v>
      </c>
      <c r="E194" s="71">
        <v>12.8186</v>
      </c>
      <c r="F194" s="71">
        <v>2.2221000000000002</v>
      </c>
      <c r="G194" s="70">
        <v>0.56699999999999995</v>
      </c>
      <c r="H194" s="54">
        <v>0</v>
      </c>
      <c r="I194" s="78">
        <v>623.70000000000005</v>
      </c>
      <c r="J194" s="70">
        <v>46.6</v>
      </c>
      <c r="K194" s="73">
        <v>-0.97</v>
      </c>
      <c r="L194" s="54"/>
      <c r="M194" s="58">
        <v>10</v>
      </c>
      <c r="N194" s="74">
        <v>10.929</v>
      </c>
      <c r="O194" s="73">
        <v>23.756</v>
      </c>
      <c r="P194" s="75">
        <v>12.651999999999999</v>
      </c>
      <c r="Q194" s="75">
        <v>2.2221000000000002</v>
      </c>
      <c r="R194" s="76">
        <v>0.39200000000000002</v>
      </c>
      <c r="S194" s="77">
        <v>604.29999999999995</v>
      </c>
      <c r="T194" s="73">
        <v>18.27</v>
      </c>
      <c r="U194" s="73">
        <v>-0.96</v>
      </c>
      <c r="V194" s="54"/>
      <c r="W194" s="54"/>
      <c r="X194" s="54">
        <v>10</v>
      </c>
      <c r="Y194" s="58">
        <v>1.4617</v>
      </c>
      <c r="Z194" s="58">
        <v>0.47249999999999998</v>
      </c>
      <c r="AA194" s="58">
        <v>6.7400000000000002E-2</v>
      </c>
      <c r="AB194" s="54">
        <v>-1.5</v>
      </c>
      <c r="AC194" s="54">
        <v>10.8</v>
      </c>
      <c r="AD194" s="54"/>
      <c r="AE194" s="54"/>
      <c r="AF194" s="54">
        <f t="shared" si="28"/>
        <v>2.9292929292929291E-2</v>
      </c>
      <c r="AG194" s="123"/>
      <c r="AQ194" s="33">
        <f t="shared" si="29"/>
        <v>109.43979999999999</v>
      </c>
      <c r="AS194" s="27">
        <f t="shared" si="30"/>
        <v>1217.4885900000002</v>
      </c>
      <c r="AT194" s="33">
        <f t="shared" si="31"/>
        <v>1217.4885900000002</v>
      </c>
      <c r="BA194" s="33">
        <f t="shared" si="32"/>
        <v>110.88089000000001</v>
      </c>
    </row>
    <row r="195" spans="1:53" x14ac:dyDescent="0.2">
      <c r="A195" s="55"/>
      <c r="B195" s="58">
        <v>11</v>
      </c>
      <c r="C195" s="69">
        <v>10.826000000000001</v>
      </c>
      <c r="D195" s="70">
        <v>22.981999999999999</v>
      </c>
      <c r="E195" s="71">
        <v>12.847899999999999</v>
      </c>
      <c r="F195" s="71">
        <v>2.2751000000000001</v>
      </c>
      <c r="G195" s="70">
        <v>0.57499999999999996</v>
      </c>
      <c r="H195" s="54">
        <v>0</v>
      </c>
      <c r="I195" s="78">
        <v>577.5</v>
      </c>
      <c r="J195" s="70">
        <v>51.64</v>
      </c>
      <c r="K195" s="73">
        <v>-0.56999999999999995</v>
      </c>
      <c r="L195" s="54"/>
      <c r="M195" s="58">
        <v>11</v>
      </c>
      <c r="N195" s="74">
        <v>10.815</v>
      </c>
      <c r="O195" s="73">
        <v>23.742999999999999</v>
      </c>
      <c r="P195" s="75">
        <v>12.6432</v>
      </c>
      <c r="Q195" s="75">
        <v>2.2751000000000001</v>
      </c>
      <c r="R195" s="76">
        <v>0.39</v>
      </c>
      <c r="S195" s="77">
        <v>593</v>
      </c>
      <c r="T195" s="73">
        <v>22.19</v>
      </c>
      <c r="U195" s="73">
        <v>-0.57999999999999996</v>
      </c>
      <c r="V195" s="54"/>
      <c r="W195" s="54"/>
      <c r="X195" s="54">
        <v>11</v>
      </c>
      <c r="Y195" s="58">
        <v>1.4777</v>
      </c>
      <c r="Z195" s="58">
        <v>0.4894</v>
      </c>
      <c r="AA195" s="58">
        <v>8.0600000000000005E-2</v>
      </c>
      <c r="AB195" s="54">
        <v>-2.15</v>
      </c>
      <c r="AC195" s="54">
        <v>12.49</v>
      </c>
      <c r="AD195" s="54"/>
      <c r="AE195" s="54"/>
      <c r="AF195" s="54">
        <f t="shared" ref="AF195:AF258" si="33">T195/I195</f>
        <v>3.8424242424242423E-2</v>
      </c>
      <c r="AG195" s="123"/>
      <c r="AQ195" s="33">
        <f t="shared" si="29"/>
        <v>109.36368</v>
      </c>
      <c r="AS195" s="27">
        <f t="shared" si="30"/>
        <v>1246.52729</v>
      </c>
      <c r="AT195" s="33">
        <f t="shared" si="31"/>
        <v>1246.52729</v>
      </c>
      <c r="BA195" s="33">
        <f t="shared" si="32"/>
        <v>111.13433499999999</v>
      </c>
    </row>
    <row r="196" spans="1:53" x14ac:dyDescent="0.2">
      <c r="A196" s="55"/>
      <c r="B196" s="58">
        <v>12</v>
      </c>
      <c r="C196" s="69">
        <v>10.757999999999999</v>
      </c>
      <c r="D196" s="70">
        <v>22.998999999999999</v>
      </c>
      <c r="E196" s="71">
        <v>12.862500000000001</v>
      </c>
      <c r="F196" s="71">
        <v>2.3130000000000002</v>
      </c>
      <c r="G196" s="70">
        <v>0.57499999999999996</v>
      </c>
      <c r="H196" s="54">
        <v>0</v>
      </c>
      <c r="I196" s="78">
        <v>529.29999999999995</v>
      </c>
      <c r="J196" s="70">
        <v>55.93</v>
      </c>
      <c r="K196" s="73">
        <v>-0.3</v>
      </c>
      <c r="L196" s="54"/>
      <c r="M196" s="58">
        <v>12</v>
      </c>
      <c r="N196" s="74">
        <v>10.755000000000001</v>
      </c>
      <c r="O196" s="73">
        <v>23.731000000000002</v>
      </c>
      <c r="P196" s="75">
        <v>12.635899999999999</v>
      </c>
      <c r="Q196" s="75">
        <v>2.3130000000000002</v>
      </c>
      <c r="R196" s="76">
        <v>0.38800000000000001</v>
      </c>
      <c r="S196" s="77">
        <v>581.4</v>
      </c>
      <c r="T196" s="73">
        <v>25.4</v>
      </c>
      <c r="U196" s="73">
        <v>-0.3</v>
      </c>
      <c r="V196" s="54"/>
      <c r="W196" s="54"/>
      <c r="X196" s="54">
        <v>12</v>
      </c>
      <c r="Y196" s="58">
        <v>1.4864999999999999</v>
      </c>
      <c r="Z196" s="58">
        <v>0.49919999999999998</v>
      </c>
      <c r="AA196" s="126">
        <v>0.88</v>
      </c>
      <c r="AB196" s="54">
        <v>-2.82</v>
      </c>
      <c r="AC196" s="54">
        <v>13.48</v>
      </c>
      <c r="AD196" s="54"/>
      <c r="AE196" s="54"/>
      <c r="AF196" s="54">
        <f t="shared" si="33"/>
        <v>4.7987908558473458E-2</v>
      </c>
      <c r="AG196" s="123"/>
      <c r="AQ196" s="33">
        <f t="shared" ref="AQ196:AQ259" si="34">P196*8.65</f>
        <v>109.300535</v>
      </c>
      <c r="AS196" s="27">
        <f t="shared" ref="AS196:AS259" si="35">F196*547.9</f>
        <v>1267.2927</v>
      </c>
      <c r="AT196" s="33">
        <f t="shared" ref="AT196:AT259" si="36">Q196*547.9</f>
        <v>1267.2927</v>
      </c>
      <c r="BA196" s="33">
        <f t="shared" ref="BA196:BA259" si="37">E196*8.65</f>
        <v>111.260625</v>
      </c>
    </row>
    <row r="197" spans="1:53" x14ac:dyDescent="0.2">
      <c r="A197" s="43" t="s">
        <v>128</v>
      </c>
      <c r="B197" s="58"/>
      <c r="C197" s="58"/>
      <c r="D197" s="58"/>
      <c r="E197" s="58"/>
      <c r="F197" s="58"/>
      <c r="G197" s="58"/>
      <c r="H197" s="54"/>
      <c r="I197" s="58"/>
      <c r="J197" s="58"/>
      <c r="K197" s="54"/>
      <c r="L197" s="54"/>
      <c r="M197" s="58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8"/>
      <c r="Z197" s="58"/>
      <c r="AA197" s="58"/>
      <c r="AB197" s="54"/>
      <c r="AC197" s="54"/>
      <c r="AD197" s="54"/>
      <c r="AE197" s="54"/>
      <c r="AF197" s="54" t="e">
        <f t="shared" si="33"/>
        <v>#DIV/0!</v>
      </c>
      <c r="AG197" s="57"/>
    </row>
    <row r="198" spans="1:53" x14ac:dyDescent="0.2">
      <c r="A198" s="55"/>
      <c r="B198" s="58">
        <v>1</v>
      </c>
      <c r="C198" s="58">
        <v>11.794</v>
      </c>
      <c r="D198" s="58">
        <v>24.548999999999999</v>
      </c>
      <c r="E198" s="58">
        <v>12.415900000000001</v>
      </c>
      <c r="F198" s="58">
        <v>2.3035999999999999</v>
      </c>
      <c r="G198" s="58">
        <v>0.36</v>
      </c>
      <c r="H198" s="54">
        <v>0.68899999999999995</v>
      </c>
      <c r="I198" s="58">
        <v>536</v>
      </c>
      <c r="J198" s="58">
        <v>61.97</v>
      </c>
      <c r="K198" s="54">
        <v>-2.52</v>
      </c>
      <c r="L198" s="54"/>
      <c r="M198" s="58">
        <v>1</v>
      </c>
      <c r="N198" s="54">
        <v>11.766</v>
      </c>
      <c r="O198" s="54">
        <v>25.187000000000001</v>
      </c>
      <c r="P198" s="54">
        <v>16.013200000000001</v>
      </c>
      <c r="Q198" s="54">
        <v>2.4824000000000002</v>
      </c>
      <c r="R198" s="54">
        <v>0.49299999999999999</v>
      </c>
      <c r="S198" s="54">
        <v>0.39500000000000002</v>
      </c>
      <c r="T198" s="54">
        <v>409.9</v>
      </c>
      <c r="U198" s="54">
        <v>52.42</v>
      </c>
      <c r="V198" s="54">
        <v>-2.52</v>
      </c>
      <c r="W198" s="54"/>
      <c r="X198" s="54">
        <v>1</v>
      </c>
      <c r="Y198" s="58">
        <v>1.2143999999999999</v>
      </c>
      <c r="Z198" s="58">
        <v>0.58030000000000004</v>
      </c>
      <c r="AA198" s="58">
        <v>9.0999999999999998E-2</v>
      </c>
      <c r="AB198" s="54">
        <v>-2</v>
      </c>
      <c r="AC198" s="54">
        <v>15.73</v>
      </c>
      <c r="AD198" s="54"/>
      <c r="AE198" s="54"/>
      <c r="AF198" s="54">
        <f t="shared" si="33"/>
        <v>0.7647388059701492</v>
      </c>
      <c r="AG198" s="122">
        <v>84</v>
      </c>
      <c r="AQ198" s="33">
        <f t="shared" si="34"/>
        <v>138.51418000000001</v>
      </c>
      <c r="AS198" s="27">
        <f t="shared" si="35"/>
        <v>1262.1424399999999</v>
      </c>
      <c r="AT198" s="33">
        <f t="shared" si="36"/>
        <v>1360.1069600000001</v>
      </c>
      <c r="BA198" s="33">
        <f t="shared" si="37"/>
        <v>107.397535</v>
      </c>
    </row>
    <row r="199" spans="1:53" x14ac:dyDescent="0.2">
      <c r="A199" s="55"/>
      <c r="B199" s="58">
        <v>2</v>
      </c>
      <c r="C199" s="58">
        <v>11.747999999999999</v>
      </c>
      <c r="D199" s="58">
        <v>24.547000000000001</v>
      </c>
      <c r="E199" s="58">
        <v>12.4374</v>
      </c>
      <c r="F199" s="58">
        <v>2.2679</v>
      </c>
      <c r="G199" s="58">
        <v>0.36399999999999999</v>
      </c>
      <c r="H199" s="54">
        <v>0.70599999999999996</v>
      </c>
      <c r="I199" s="58">
        <v>548</v>
      </c>
      <c r="J199" s="58">
        <v>61.81</v>
      </c>
      <c r="K199" s="54">
        <v>-2.2999999999999998</v>
      </c>
      <c r="L199" s="54"/>
      <c r="M199" s="58">
        <v>2</v>
      </c>
      <c r="N199" s="54">
        <v>11.715</v>
      </c>
      <c r="O199" s="54">
        <v>25.181999999999999</v>
      </c>
      <c r="P199" s="54">
        <v>16.036200000000001</v>
      </c>
      <c r="Q199" s="54">
        <v>2.4436</v>
      </c>
      <c r="R199" s="54">
        <v>0.496</v>
      </c>
      <c r="S199" s="54">
        <v>0.42599999999999999</v>
      </c>
      <c r="T199" s="54">
        <v>455.2</v>
      </c>
      <c r="U199" s="54">
        <v>50.65</v>
      </c>
      <c r="V199" s="54">
        <v>-2.72</v>
      </c>
      <c r="W199" s="54"/>
      <c r="X199" s="54">
        <v>2</v>
      </c>
      <c r="Y199" s="58">
        <v>1.2194</v>
      </c>
      <c r="Z199" s="58">
        <v>0.54449999999999998</v>
      </c>
      <c r="AA199" s="58">
        <v>8.4199999999999997E-2</v>
      </c>
      <c r="AB199" s="54">
        <v>-1.3</v>
      </c>
      <c r="AC199" s="54">
        <v>12.84</v>
      </c>
      <c r="AD199" s="54"/>
      <c r="AE199" s="54"/>
      <c r="AF199" s="54">
        <f t="shared" si="33"/>
        <v>0.83065693430656928</v>
      </c>
      <c r="AG199" s="123"/>
      <c r="AQ199" s="33">
        <f t="shared" si="34"/>
        <v>138.71313000000001</v>
      </c>
      <c r="AS199" s="27">
        <f t="shared" si="35"/>
        <v>1242.58241</v>
      </c>
      <c r="AT199" s="33">
        <f t="shared" si="36"/>
        <v>1338.84844</v>
      </c>
      <c r="BA199" s="33">
        <f t="shared" si="37"/>
        <v>107.58351</v>
      </c>
    </row>
    <row r="200" spans="1:53" x14ac:dyDescent="0.2">
      <c r="A200" s="55"/>
      <c r="B200" s="58">
        <v>3</v>
      </c>
      <c r="C200" s="58">
        <v>11.662000000000001</v>
      </c>
      <c r="D200" s="58">
        <v>24.542999999999999</v>
      </c>
      <c r="E200" s="58">
        <v>12.4742</v>
      </c>
      <c r="F200" s="58">
        <v>2.2208999999999999</v>
      </c>
      <c r="G200" s="58">
        <v>0.372</v>
      </c>
      <c r="H200" s="54">
        <v>0.73199999999999998</v>
      </c>
      <c r="I200" s="58">
        <v>568.5</v>
      </c>
      <c r="J200" s="58">
        <v>61.47</v>
      </c>
      <c r="K200" s="54">
        <v>-2.4700000000000002</v>
      </c>
      <c r="L200" s="54"/>
      <c r="M200" s="58">
        <v>3</v>
      </c>
      <c r="N200" s="54">
        <v>11.625999999999999</v>
      </c>
      <c r="O200" s="54">
        <v>25.181000000000001</v>
      </c>
      <c r="P200" s="54">
        <v>16.0593</v>
      </c>
      <c r="Q200" s="54">
        <v>2.3913000000000002</v>
      </c>
      <c r="R200" s="54">
        <v>0.5</v>
      </c>
      <c r="S200" s="54">
        <v>0.46899999999999997</v>
      </c>
      <c r="T200" s="54">
        <v>513.1</v>
      </c>
      <c r="U200" s="54">
        <v>49</v>
      </c>
      <c r="V200" s="54">
        <v>-2.67</v>
      </c>
      <c r="W200" s="54"/>
      <c r="X200" s="54">
        <v>3</v>
      </c>
      <c r="Y200" s="58">
        <v>1.2282999999999999</v>
      </c>
      <c r="Z200" s="58">
        <v>0.49690000000000001</v>
      </c>
      <c r="AA200" s="58">
        <v>7.2900000000000006E-2</v>
      </c>
      <c r="AB200" s="54">
        <v>-0.68</v>
      </c>
      <c r="AC200" s="54">
        <v>10.78</v>
      </c>
      <c r="AD200" s="54"/>
      <c r="AE200" s="54"/>
      <c r="AF200" s="54">
        <f t="shared" si="33"/>
        <v>0.9025505716798593</v>
      </c>
      <c r="AG200" s="123"/>
      <c r="AQ200" s="33">
        <f t="shared" si="34"/>
        <v>138.91294500000001</v>
      </c>
      <c r="AS200" s="27">
        <f t="shared" si="35"/>
        <v>1216.8311099999999</v>
      </c>
      <c r="AT200" s="33">
        <f t="shared" si="36"/>
        <v>1310.19327</v>
      </c>
      <c r="BA200" s="33">
        <f t="shared" si="37"/>
        <v>107.90183</v>
      </c>
    </row>
    <row r="201" spans="1:53" x14ac:dyDescent="0.2">
      <c r="A201" s="55"/>
      <c r="B201" s="58">
        <v>4</v>
      </c>
      <c r="C201" s="58">
        <v>11.553000000000001</v>
      </c>
      <c r="D201" s="58">
        <v>24.536999999999999</v>
      </c>
      <c r="E201" s="58">
        <v>12.520300000000001</v>
      </c>
      <c r="F201" s="58">
        <v>2.1884000000000001</v>
      </c>
      <c r="G201" s="58">
        <v>0.38200000000000001</v>
      </c>
      <c r="H201" s="54">
        <v>0.752</v>
      </c>
      <c r="I201" s="58">
        <v>590</v>
      </c>
      <c r="J201" s="58">
        <v>60.94</v>
      </c>
      <c r="K201" s="54">
        <v>-2.21</v>
      </c>
      <c r="L201" s="54"/>
      <c r="M201" s="58">
        <v>4</v>
      </c>
      <c r="N201" s="54">
        <v>11.521000000000001</v>
      </c>
      <c r="O201" s="54">
        <v>25.187000000000001</v>
      </c>
      <c r="P201" s="54">
        <v>16.09</v>
      </c>
      <c r="Q201" s="54">
        <v>2.3540000000000001</v>
      </c>
      <c r="R201" s="54">
        <v>0.504</v>
      </c>
      <c r="S201" s="54">
        <v>0.502</v>
      </c>
      <c r="T201" s="54">
        <v>558.1</v>
      </c>
      <c r="U201" s="54">
        <v>47.83</v>
      </c>
      <c r="V201" s="54">
        <v>-2.3199999999999998</v>
      </c>
      <c r="W201" s="54"/>
      <c r="X201" s="54">
        <v>4</v>
      </c>
      <c r="Y201" s="58">
        <v>1.2395</v>
      </c>
      <c r="Z201" s="58">
        <v>0.46189999999999998</v>
      </c>
      <c r="AA201" s="58">
        <v>6.2100000000000002E-2</v>
      </c>
      <c r="AB201" s="54">
        <v>-0.27</v>
      </c>
      <c r="AC201" s="54">
        <v>9.57</v>
      </c>
      <c r="AD201" s="54"/>
      <c r="AE201" s="54"/>
      <c r="AF201" s="54">
        <f t="shared" si="33"/>
        <v>0.94593220338983053</v>
      </c>
      <c r="AG201" s="123"/>
      <c r="AQ201" s="33">
        <f t="shared" si="34"/>
        <v>139.17850000000001</v>
      </c>
      <c r="AS201" s="27">
        <f t="shared" si="35"/>
        <v>1199.0243600000001</v>
      </c>
      <c r="AT201" s="33">
        <f t="shared" si="36"/>
        <v>1289.7565999999999</v>
      </c>
      <c r="BA201" s="33">
        <f t="shared" si="37"/>
        <v>108.30059500000002</v>
      </c>
    </row>
    <row r="202" spans="1:53" x14ac:dyDescent="0.2">
      <c r="A202" s="55"/>
      <c r="B202" s="58">
        <v>5</v>
      </c>
      <c r="C202" s="58">
        <v>11.448</v>
      </c>
      <c r="D202" s="58">
        <v>24.530999999999999</v>
      </c>
      <c r="E202" s="58">
        <v>12.561299999999999</v>
      </c>
      <c r="F202" s="58">
        <v>2.1745999999999999</v>
      </c>
      <c r="G202" s="58">
        <v>0.39100000000000001</v>
      </c>
      <c r="H202" s="54">
        <v>0.76200000000000001</v>
      </c>
      <c r="I202" s="58">
        <v>606.1</v>
      </c>
      <c r="J202" s="58">
        <v>60.34</v>
      </c>
      <c r="K202" s="54">
        <v>-1.76</v>
      </c>
      <c r="L202" s="54"/>
      <c r="M202" s="58">
        <v>5</v>
      </c>
      <c r="N202" s="54">
        <v>11.422000000000001</v>
      </c>
      <c r="O202" s="54">
        <v>25.193000000000001</v>
      </c>
      <c r="P202" s="54">
        <v>16.120799999999999</v>
      </c>
      <c r="Q202" s="54">
        <v>2.3372000000000002</v>
      </c>
      <c r="R202" s="54">
        <v>0.50800000000000001</v>
      </c>
      <c r="S202" s="54">
        <v>0.51800000000000002</v>
      </c>
      <c r="T202" s="54">
        <v>584.1</v>
      </c>
      <c r="U202" s="54">
        <v>46.91</v>
      </c>
      <c r="V202" s="54">
        <v>-1.85</v>
      </c>
      <c r="W202" s="54"/>
      <c r="X202" s="54">
        <v>5</v>
      </c>
      <c r="Y202" s="58">
        <v>1.2504</v>
      </c>
      <c r="Z202" s="58">
        <v>0.44419999999999998</v>
      </c>
      <c r="AA202" s="58">
        <v>5.45E-2</v>
      </c>
      <c r="AB202" s="54">
        <v>-0.08</v>
      </c>
      <c r="AC202" s="54">
        <v>8.8699999999999992</v>
      </c>
      <c r="AD202" s="54"/>
      <c r="AE202" s="54"/>
      <c r="AF202" s="54">
        <f t="shared" si="33"/>
        <v>0.9637023593466425</v>
      </c>
      <c r="AG202" s="123"/>
      <c r="AQ202" s="33">
        <f t="shared" si="34"/>
        <v>139.44492</v>
      </c>
      <c r="AS202" s="27">
        <f t="shared" si="35"/>
        <v>1191.4633399999998</v>
      </c>
      <c r="AT202" s="33">
        <f t="shared" si="36"/>
        <v>1280.55188</v>
      </c>
      <c r="BA202" s="33">
        <f t="shared" si="37"/>
        <v>108.65524499999999</v>
      </c>
    </row>
    <row r="203" spans="1:53" x14ac:dyDescent="0.2">
      <c r="A203" s="55">
        <f>(N198+N209)/2</f>
        <v>11.2705</v>
      </c>
      <c r="B203" s="58">
        <v>6</v>
      </c>
      <c r="C203" s="58">
        <v>11.343999999999999</v>
      </c>
      <c r="D203" s="58">
        <v>24.524999999999999</v>
      </c>
      <c r="E203" s="58">
        <v>12.5962</v>
      </c>
      <c r="F203" s="58">
        <v>2.1701000000000001</v>
      </c>
      <c r="G203" s="58">
        <v>0.39700000000000002</v>
      </c>
      <c r="H203" s="54">
        <v>0.76200000000000001</v>
      </c>
      <c r="I203" s="58">
        <v>617.4</v>
      </c>
      <c r="J203" s="58">
        <v>59.72</v>
      </c>
      <c r="K203" s="54">
        <v>-1.23</v>
      </c>
      <c r="L203" s="54"/>
      <c r="M203" s="58">
        <v>6</v>
      </c>
      <c r="N203" s="54">
        <v>11.327</v>
      </c>
      <c r="O203" s="54">
        <v>25.199000000000002</v>
      </c>
      <c r="P203" s="54">
        <v>16.151599999999998</v>
      </c>
      <c r="Q203" s="54">
        <v>2.3309000000000002</v>
      </c>
      <c r="R203" s="54">
        <v>0.51300000000000001</v>
      </c>
      <c r="S203" s="54">
        <v>0.52300000000000002</v>
      </c>
      <c r="T203" s="54">
        <v>598.5</v>
      </c>
      <c r="U203" s="54">
        <v>46</v>
      </c>
      <c r="V203" s="54">
        <v>-1.37</v>
      </c>
      <c r="W203" s="54"/>
      <c r="X203" s="54">
        <v>6</v>
      </c>
      <c r="Y203" s="58">
        <v>1.2613000000000001</v>
      </c>
      <c r="Z203" s="58">
        <v>0.43719999999999998</v>
      </c>
      <c r="AA203" s="58">
        <v>4.9700000000000001E-2</v>
      </c>
      <c r="AB203" s="54">
        <v>0</v>
      </c>
      <c r="AC203" s="54">
        <v>8.49</v>
      </c>
      <c r="AD203" s="54"/>
      <c r="AE203" s="54"/>
      <c r="AF203" s="54">
        <f t="shared" si="33"/>
        <v>0.96938775510204089</v>
      </c>
      <c r="AG203" s="123"/>
      <c r="AQ203" s="33">
        <f t="shared" si="34"/>
        <v>139.71133999999998</v>
      </c>
      <c r="AS203" s="27">
        <f t="shared" si="35"/>
        <v>1188.9977900000001</v>
      </c>
      <c r="AT203" s="33">
        <f t="shared" si="36"/>
        <v>1277.1001100000001</v>
      </c>
      <c r="BA203" s="33">
        <f t="shared" si="37"/>
        <v>108.95713000000001</v>
      </c>
    </row>
    <row r="204" spans="1:53" x14ac:dyDescent="0.2">
      <c r="A204" s="55">
        <f>PI()*(N198^2-N209^2)</f>
        <v>70.177308244526429</v>
      </c>
      <c r="B204" s="58">
        <v>7</v>
      </c>
      <c r="C204" s="58">
        <v>11.241</v>
      </c>
      <c r="D204" s="58">
        <v>24.518999999999998</v>
      </c>
      <c r="E204" s="58">
        <v>12.623900000000001</v>
      </c>
      <c r="F204" s="58">
        <v>2.1701000000000001</v>
      </c>
      <c r="G204" s="58">
        <v>0.40200000000000002</v>
      </c>
      <c r="H204" s="54">
        <v>0.75800000000000001</v>
      </c>
      <c r="I204" s="58">
        <v>624.70000000000005</v>
      </c>
      <c r="J204" s="58">
        <v>59.12</v>
      </c>
      <c r="K204" s="54">
        <v>-0.69</v>
      </c>
      <c r="L204" s="54"/>
      <c r="M204" s="58">
        <v>7</v>
      </c>
      <c r="N204" s="54">
        <v>11.233000000000001</v>
      </c>
      <c r="O204" s="54">
        <v>25.207999999999998</v>
      </c>
      <c r="P204" s="54">
        <v>16.182300000000001</v>
      </c>
      <c r="Q204" s="54">
        <v>2.3304999999999998</v>
      </c>
      <c r="R204" s="54">
        <v>0.51800000000000002</v>
      </c>
      <c r="S204" s="54">
        <v>0.52</v>
      </c>
      <c r="T204" s="54">
        <v>605.79999999999995</v>
      </c>
      <c r="U204" s="54">
        <v>44.98</v>
      </c>
      <c r="V204" s="54">
        <v>0.89</v>
      </c>
      <c r="W204" s="54"/>
      <c r="X204" s="54">
        <v>7</v>
      </c>
      <c r="Y204" s="58">
        <v>1.2721</v>
      </c>
      <c r="Z204" s="58">
        <v>0.43780000000000002</v>
      </c>
      <c r="AA204" s="58">
        <v>4.9299999999999997E-2</v>
      </c>
      <c r="AB204" s="54">
        <v>0</v>
      </c>
      <c r="AC204" s="54">
        <v>8.3000000000000007</v>
      </c>
      <c r="AD204" s="54"/>
      <c r="AE204" s="54"/>
      <c r="AF204" s="54">
        <f t="shared" si="33"/>
        <v>0.96974547782935794</v>
      </c>
      <c r="AG204" s="123"/>
      <c r="AQ204" s="33">
        <f t="shared" si="34"/>
        <v>139.97689500000001</v>
      </c>
      <c r="AS204" s="27">
        <f t="shared" si="35"/>
        <v>1188.9977900000001</v>
      </c>
      <c r="AT204" s="33">
        <f t="shared" si="36"/>
        <v>1276.8809499999998</v>
      </c>
      <c r="BA204" s="33">
        <f t="shared" si="37"/>
        <v>109.19673500000002</v>
      </c>
    </row>
    <row r="205" spans="1:53" x14ac:dyDescent="0.2">
      <c r="A205" s="55"/>
      <c r="B205" s="58">
        <v>8</v>
      </c>
      <c r="C205" s="58">
        <v>11.138</v>
      </c>
      <c r="D205" s="58">
        <v>24.512</v>
      </c>
      <c r="E205" s="58">
        <v>12.641</v>
      </c>
      <c r="F205" s="58">
        <v>2.1774</v>
      </c>
      <c r="G205" s="58">
        <v>0.40400000000000003</v>
      </c>
      <c r="H205" s="54">
        <v>0.75</v>
      </c>
      <c r="I205" s="58">
        <v>628.6</v>
      </c>
      <c r="J205" s="58">
        <v>58.59</v>
      </c>
      <c r="K205" s="54">
        <v>-0.16</v>
      </c>
      <c r="L205" s="54"/>
      <c r="M205" s="58">
        <v>8</v>
      </c>
      <c r="N205" s="54">
        <v>11.138</v>
      </c>
      <c r="O205" s="54">
        <v>25.219000000000001</v>
      </c>
      <c r="P205" s="54">
        <v>16.213100000000001</v>
      </c>
      <c r="Q205" s="54">
        <v>2.339</v>
      </c>
      <c r="R205" s="54">
        <v>0.52400000000000002</v>
      </c>
      <c r="S205" s="54">
        <v>0.51200000000000001</v>
      </c>
      <c r="T205" s="54">
        <v>609.79999999999995</v>
      </c>
      <c r="U205" s="54">
        <v>43.76</v>
      </c>
      <c r="V205" s="54">
        <v>0.45</v>
      </c>
      <c r="W205" s="54"/>
      <c r="X205" s="54">
        <v>8</v>
      </c>
      <c r="Y205" s="58">
        <v>1.2833000000000001</v>
      </c>
      <c r="Z205" s="58">
        <v>0.44390000000000002</v>
      </c>
      <c r="AA205" s="58">
        <v>5.2200000000000003E-2</v>
      </c>
      <c r="AB205" s="54">
        <v>7.0000000000000007E-2</v>
      </c>
      <c r="AC205" s="54">
        <v>8.27</v>
      </c>
      <c r="AD205" s="54"/>
      <c r="AE205" s="54"/>
      <c r="AF205" s="54">
        <f t="shared" si="33"/>
        <v>0.97009226853324837</v>
      </c>
      <c r="AG205" s="123"/>
      <c r="AQ205" s="33">
        <f t="shared" si="34"/>
        <v>140.24331500000002</v>
      </c>
      <c r="AS205" s="27">
        <f t="shared" si="35"/>
        <v>1192.99746</v>
      </c>
      <c r="AT205" s="33">
        <f t="shared" si="36"/>
        <v>1281.5381</v>
      </c>
      <c r="BA205" s="33">
        <f t="shared" si="37"/>
        <v>109.34465</v>
      </c>
    </row>
    <row r="206" spans="1:53" x14ac:dyDescent="0.2">
      <c r="A206" s="55"/>
      <c r="B206" s="58">
        <v>9</v>
      </c>
      <c r="C206" s="58">
        <v>11.038</v>
      </c>
      <c r="D206" s="58">
        <v>24.504999999999999</v>
      </c>
      <c r="E206" s="58">
        <v>12.649800000000001</v>
      </c>
      <c r="F206" s="58">
        <v>2.1913999999999998</v>
      </c>
      <c r="G206" s="58">
        <v>0.40500000000000003</v>
      </c>
      <c r="H206" s="54">
        <v>0.73599999999999999</v>
      </c>
      <c r="I206" s="58">
        <v>628.5</v>
      </c>
      <c r="J206" s="58">
        <v>58.03</v>
      </c>
      <c r="K206" s="54">
        <v>0.33</v>
      </c>
      <c r="L206" s="54"/>
      <c r="M206" s="58">
        <v>9</v>
      </c>
      <c r="N206" s="54">
        <v>11.042</v>
      </c>
      <c r="O206" s="54">
        <v>25.231999999999999</v>
      </c>
      <c r="P206" s="54">
        <v>16.2438</v>
      </c>
      <c r="Q206" s="54">
        <v>2.3555000000000001</v>
      </c>
      <c r="R206" s="54">
        <v>0.53100000000000003</v>
      </c>
      <c r="S206" s="54">
        <v>0.496</v>
      </c>
      <c r="T206" s="54">
        <v>606</v>
      </c>
      <c r="U206" s="54">
        <v>42.3</v>
      </c>
      <c r="V206" s="54">
        <v>0.05</v>
      </c>
      <c r="W206" s="54"/>
      <c r="X206" s="54">
        <v>9</v>
      </c>
      <c r="Y206" s="58">
        <v>1.2948</v>
      </c>
      <c r="Z206" s="58">
        <v>0.45829999999999999</v>
      </c>
      <c r="AA206" s="58">
        <v>5.79E-2</v>
      </c>
      <c r="AB206" s="54">
        <v>0.28000000000000003</v>
      </c>
      <c r="AC206" s="54">
        <v>8.5</v>
      </c>
      <c r="AD206" s="54"/>
      <c r="AE206" s="54"/>
      <c r="AF206" s="54">
        <f t="shared" si="33"/>
        <v>0.96420047732696901</v>
      </c>
      <c r="AG206" s="123"/>
      <c r="AQ206" s="33">
        <f t="shared" si="34"/>
        <v>140.50887</v>
      </c>
      <c r="AS206" s="27">
        <f t="shared" si="35"/>
        <v>1200.6680599999997</v>
      </c>
      <c r="AT206" s="33">
        <f t="shared" si="36"/>
        <v>1290.57845</v>
      </c>
      <c r="BA206" s="33">
        <f t="shared" si="37"/>
        <v>109.42077</v>
      </c>
    </row>
    <row r="207" spans="1:53" x14ac:dyDescent="0.2">
      <c r="A207" s="55"/>
      <c r="B207" s="58">
        <v>10</v>
      </c>
      <c r="C207" s="58">
        <v>10.927</v>
      </c>
      <c r="D207" s="58">
        <v>24.498000000000001</v>
      </c>
      <c r="E207" s="58">
        <v>12.651999999999999</v>
      </c>
      <c r="F207" s="58">
        <v>2.2221000000000002</v>
      </c>
      <c r="G207" s="58">
        <v>0.40400000000000003</v>
      </c>
      <c r="H207" s="54">
        <v>0.71299999999999997</v>
      </c>
      <c r="I207" s="58">
        <v>625</v>
      </c>
      <c r="J207" s="58">
        <v>57.3</v>
      </c>
      <c r="K207" s="54">
        <v>0.74</v>
      </c>
      <c r="L207" s="54"/>
      <c r="M207" s="58">
        <v>10</v>
      </c>
      <c r="N207" s="54">
        <v>10.943</v>
      </c>
      <c r="O207" s="54">
        <v>25.248999999999999</v>
      </c>
      <c r="P207" s="54">
        <v>16.2746</v>
      </c>
      <c r="Q207" s="54">
        <v>2.3902000000000001</v>
      </c>
      <c r="R207" s="54">
        <v>0.53800000000000003</v>
      </c>
      <c r="S207" s="54">
        <v>0.46600000000000003</v>
      </c>
      <c r="T207" s="54">
        <v>590.5</v>
      </c>
      <c r="U207" s="54">
        <v>40.39</v>
      </c>
      <c r="V207" s="54">
        <v>0.25</v>
      </c>
      <c r="W207" s="54"/>
      <c r="X207" s="54">
        <v>10</v>
      </c>
      <c r="Y207" s="58">
        <v>1.3067</v>
      </c>
      <c r="Z207" s="58">
        <v>0.4864</v>
      </c>
      <c r="AA207" s="58">
        <v>6.6699999999999995E-2</v>
      </c>
      <c r="AB207" s="54">
        <v>0.7</v>
      </c>
      <c r="AC207" s="54">
        <v>9.1</v>
      </c>
      <c r="AD207" s="54"/>
      <c r="AE207" s="54"/>
      <c r="AF207" s="54">
        <f t="shared" si="33"/>
        <v>0.94479999999999997</v>
      </c>
      <c r="AG207" s="123"/>
      <c r="AQ207" s="33">
        <f t="shared" si="34"/>
        <v>140.77529000000001</v>
      </c>
      <c r="AS207" s="27">
        <f t="shared" si="35"/>
        <v>1217.4885900000002</v>
      </c>
      <c r="AT207" s="33">
        <f t="shared" si="36"/>
        <v>1309.59058</v>
      </c>
      <c r="BA207" s="33">
        <f t="shared" si="37"/>
        <v>109.43979999999999</v>
      </c>
    </row>
    <row r="208" spans="1:53" x14ac:dyDescent="0.2">
      <c r="A208" s="55"/>
      <c r="B208" s="58">
        <v>11</v>
      </c>
      <c r="C208" s="58">
        <v>10.815</v>
      </c>
      <c r="D208" s="58">
        <v>24.488</v>
      </c>
      <c r="E208" s="58">
        <v>12.6432</v>
      </c>
      <c r="F208" s="58">
        <v>2.2751000000000001</v>
      </c>
      <c r="G208" s="58">
        <v>0.40200000000000002</v>
      </c>
      <c r="H208" s="54">
        <v>0.67300000000000004</v>
      </c>
      <c r="I208" s="58">
        <v>613.6</v>
      </c>
      <c r="J208" s="58">
        <v>56.27</v>
      </c>
      <c r="K208" s="54">
        <v>0.94</v>
      </c>
      <c r="L208" s="54"/>
      <c r="M208" s="58">
        <v>11</v>
      </c>
      <c r="N208" s="54">
        <v>10.835000000000001</v>
      </c>
      <c r="O208" s="54">
        <v>25.271000000000001</v>
      </c>
      <c r="P208" s="54">
        <v>16.305399999999999</v>
      </c>
      <c r="Q208" s="54">
        <v>2.4491000000000001</v>
      </c>
      <c r="R208" s="54">
        <v>0.54700000000000004</v>
      </c>
      <c r="S208" s="54">
        <v>0.41299999999999998</v>
      </c>
      <c r="T208" s="54">
        <v>548.20000000000005</v>
      </c>
      <c r="U208" s="54">
        <v>37.82</v>
      </c>
      <c r="V208" s="54">
        <v>0.4</v>
      </c>
      <c r="W208" s="54"/>
      <c r="X208" s="54">
        <v>11</v>
      </c>
      <c r="Y208" s="58">
        <v>1.3198000000000001</v>
      </c>
      <c r="Z208" s="58">
        <v>0.54249999999999998</v>
      </c>
      <c r="AA208" s="58">
        <v>7.8100000000000003E-2</v>
      </c>
      <c r="AB208" s="54">
        <v>-1.42</v>
      </c>
      <c r="AC208" s="54">
        <v>10.3</v>
      </c>
      <c r="AD208" s="54"/>
      <c r="AE208" s="54"/>
      <c r="AF208" s="54">
        <f t="shared" si="33"/>
        <v>0.89341590612777055</v>
      </c>
      <c r="AG208" s="123"/>
      <c r="AQ208" s="33">
        <f t="shared" si="34"/>
        <v>141.04170999999999</v>
      </c>
      <c r="AS208" s="27">
        <f t="shared" si="35"/>
        <v>1246.52729</v>
      </c>
      <c r="AT208" s="33">
        <f t="shared" si="36"/>
        <v>1341.8618899999999</v>
      </c>
      <c r="BA208" s="33">
        <f t="shared" si="37"/>
        <v>109.36368</v>
      </c>
    </row>
    <row r="209" spans="1:53" x14ac:dyDescent="0.2">
      <c r="A209" s="55"/>
      <c r="B209" s="58">
        <v>12</v>
      </c>
      <c r="C209" s="58">
        <v>10.757</v>
      </c>
      <c r="D209" s="58">
        <v>24.483000000000001</v>
      </c>
      <c r="E209" s="58">
        <v>12.635899999999999</v>
      </c>
      <c r="F209" s="58">
        <v>2.3130000000000002</v>
      </c>
      <c r="G209" s="58">
        <v>0.40100000000000002</v>
      </c>
      <c r="H209" s="54">
        <v>0.64400000000000002</v>
      </c>
      <c r="I209" s="58">
        <v>602.79999999999995</v>
      </c>
      <c r="J209" s="58">
        <v>55.56</v>
      </c>
      <c r="K209" s="54">
        <v>1.26</v>
      </c>
      <c r="L209" s="54"/>
      <c r="M209" s="58">
        <v>12</v>
      </c>
      <c r="N209" s="54">
        <v>10.775</v>
      </c>
      <c r="O209" s="54">
        <v>25.286000000000001</v>
      </c>
      <c r="P209" s="54">
        <v>16.320699999999999</v>
      </c>
      <c r="Q209" s="54">
        <v>2.4906000000000001</v>
      </c>
      <c r="R209" s="54">
        <v>0.55100000000000005</v>
      </c>
      <c r="S209" s="54">
        <v>0.37</v>
      </c>
      <c r="T209" s="54">
        <v>504.5</v>
      </c>
      <c r="U209" s="54">
        <v>36.299999999999997</v>
      </c>
      <c r="V209" s="54">
        <v>1.26</v>
      </c>
      <c r="W209" s="54"/>
      <c r="X209" s="54">
        <v>12</v>
      </c>
      <c r="Y209" s="58">
        <v>1.3269</v>
      </c>
      <c r="Z209" s="58">
        <v>0.59330000000000005</v>
      </c>
      <c r="AA209" s="58">
        <v>8.5000000000000006E-2</v>
      </c>
      <c r="AB209" s="54">
        <v>-2</v>
      </c>
      <c r="AC209" s="54">
        <v>11.32</v>
      </c>
      <c r="AD209" s="54"/>
      <c r="AE209" s="54"/>
      <c r="AF209" s="54">
        <f t="shared" si="33"/>
        <v>0.83692767086927677</v>
      </c>
      <c r="AG209" s="123"/>
      <c r="AQ209" s="33">
        <f t="shared" si="34"/>
        <v>141.17405499999998</v>
      </c>
      <c r="AS209" s="27">
        <f t="shared" si="35"/>
        <v>1267.2927</v>
      </c>
      <c r="AT209" s="33">
        <f t="shared" si="36"/>
        <v>1364.5997400000001</v>
      </c>
      <c r="BA209" s="33">
        <f t="shared" si="37"/>
        <v>109.300535</v>
      </c>
    </row>
    <row r="210" spans="1:53" x14ac:dyDescent="0.2">
      <c r="A210" s="43" t="s">
        <v>129</v>
      </c>
      <c r="B210" s="58"/>
      <c r="C210" s="58"/>
      <c r="D210" s="58"/>
      <c r="E210" s="58"/>
      <c r="F210" s="58"/>
      <c r="G210" s="58"/>
      <c r="H210" s="54"/>
      <c r="I210" s="58"/>
      <c r="J210" s="58"/>
      <c r="K210" s="54"/>
      <c r="L210" s="54"/>
      <c r="M210" s="58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8"/>
      <c r="Z210" s="58"/>
      <c r="AA210" s="58"/>
      <c r="AB210" s="54"/>
      <c r="AC210" s="54"/>
      <c r="AD210" s="54"/>
      <c r="AE210" s="54"/>
      <c r="AF210" s="54" t="e">
        <f t="shared" si="33"/>
        <v>#DIV/0!</v>
      </c>
      <c r="AG210" s="57"/>
    </row>
    <row r="211" spans="1:53" x14ac:dyDescent="0.2">
      <c r="A211" s="55"/>
      <c r="B211" s="58">
        <v>1</v>
      </c>
      <c r="C211" s="58">
        <v>11.784000000000001</v>
      </c>
      <c r="D211" s="58">
        <v>25.588999999999999</v>
      </c>
      <c r="E211" s="58">
        <v>16.013200000000001</v>
      </c>
      <c r="F211" s="58">
        <v>2.4824000000000002</v>
      </c>
      <c r="G211" s="58">
        <v>0.497</v>
      </c>
      <c r="H211" s="54">
        <v>0</v>
      </c>
      <c r="I211" s="58">
        <v>422.6</v>
      </c>
      <c r="J211" s="58">
        <v>59.99</v>
      </c>
      <c r="K211" s="54">
        <v>-2.52</v>
      </c>
      <c r="L211" s="54"/>
      <c r="M211" s="58">
        <v>1</v>
      </c>
      <c r="N211" s="54">
        <v>11.711</v>
      </c>
      <c r="O211" s="54">
        <v>26.44</v>
      </c>
      <c r="P211" s="54">
        <v>15.805899999999999</v>
      </c>
      <c r="Q211" s="54">
        <v>2.4824000000000002</v>
      </c>
      <c r="R211" s="54">
        <v>0.32100000000000001</v>
      </c>
      <c r="S211" s="54" t="s">
        <v>123</v>
      </c>
      <c r="T211" s="54">
        <v>496.6</v>
      </c>
      <c r="U211" s="54">
        <v>26</v>
      </c>
      <c r="V211" s="54">
        <v>-2.52</v>
      </c>
      <c r="W211" s="54"/>
      <c r="X211" s="54">
        <v>1</v>
      </c>
      <c r="Y211" s="58">
        <v>1.5006999999999999</v>
      </c>
      <c r="Z211" s="58">
        <v>0.53920000000000001</v>
      </c>
      <c r="AA211" s="58">
        <v>8.5000000000000006E-2</v>
      </c>
      <c r="AB211" s="54">
        <v>-1</v>
      </c>
      <c r="AC211" s="54">
        <v>14.91</v>
      </c>
      <c r="AD211" s="54"/>
      <c r="AE211" s="54"/>
      <c r="AF211" s="54">
        <f t="shared" si="33"/>
        <v>1.1751064836725036</v>
      </c>
      <c r="AG211" s="122">
        <v>104</v>
      </c>
      <c r="AQ211" s="33">
        <f t="shared" si="34"/>
        <v>136.721035</v>
      </c>
      <c r="AS211" s="27">
        <f t="shared" si="35"/>
        <v>1360.1069600000001</v>
      </c>
      <c r="AT211" s="33">
        <f t="shared" si="36"/>
        <v>1360.1069600000001</v>
      </c>
      <c r="BA211" s="33">
        <f t="shared" si="37"/>
        <v>138.51418000000001</v>
      </c>
    </row>
    <row r="212" spans="1:53" x14ac:dyDescent="0.2">
      <c r="A212" s="55"/>
      <c r="B212" s="58">
        <v>2</v>
      </c>
      <c r="C212" s="58">
        <v>11.698</v>
      </c>
      <c r="D212" s="58">
        <v>25.584</v>
      </c>
      <c r="E212" s="58">
        <v>16.036200000000001</v>
      </c>
      <c r="F212" s="58">
        <v>2.4436</v>
      </c>
      <c r="G212" s="58">
        <v>0.501</v>
      </c>
      <c r="H212" s="54">
        <v>0</v>
      </c>
      <c r="I212" s="58">
        <v>466.9</v>
      </c>
      <c r="J212" s="58">
        <v>56.43</v>
      </c>
      <c r="K212" s="54">
        <v>-2.13</v>
      </c>
      <c r="L212" s="54"/>
      <c r="M212" s="58">
        <v>2</v>
      </c>
      <c r="N212" s="54">
        <v>11.669</v>
      </c>
      <c r="O212" s="54">
        <v>26.43</v>
      </c>
      <c r="P212" s="54">
        <v>15.8383</v>
      </c>
      <c r="Q212" s="54">
        <v>2.4436</v>
      </c>
      <c r="R212" s="54">
        <v>0.32600000000000001</v>
      </c>
      <c r="S212" s="54" t="s">
        <v>123</v>
      </c>
      <c r="T212" s="54">
        <v>510.2</v>
      </c>
      <c r="U212" s="54">
        <v>23.5</v>
      </c>
      <c r="V212" s="54">
        <v>-2.21</v>
      </c>
      <c r="W212" s="54"/>
      <c r="X212" s="54">
        <v>2</v>
      </c>
      <c r="Y212" s="58">
        <v>1.45</v>
      </c>
      <c r="Z212" s="58">
        <v>0.53790000000000004</v>
      </c>
      <c r="AA212" s="58">
        <v>7.9899999999999999E-2</v>
      </c>
      <c r="AB212" s="54">
        <v>-1.1000000000000001</v>
      </c>
      <c r="AC212" s="54">
        <v>14.23</v>
      </c>
      <c r="AD212" s="54"/>
      <c r="AE212" s="54"/>
      <c r="AF212" s="54">
        <f t="shared" si="33"/>
        <v>1.0927393446134077</v>
      </c>
      <c r="AG212" s="123"/>
      <c r="AQ212" s="33">
        <f t="shared" si="34"/>
        <v>137.001295</v>
      </c>
      <c r="AS212" s="27">
        <f t="shared" si="35"/>
        <v>1338.84844</v>
      </c>
      <c r="AT212" s="33">
        <f t="shared" si="36"/>
        <v>1338.84844</v>
      </c>
      <c r="BA212" s="33">
        <f t="shared" si="37"/>
        <v>138.71313000000001</v>
      </c>
    </row>
    <row r="213" spans="1:53" x14ac:dyDescent="0.2">
      <c r="A213" s="55"/>
      <c r="B213" s="58">
        <v>3</v>
      </c>
      <c r="C213" s="58">
        <v>11.612</v>
      </c>
      <c r="D213" s="58">
        <v>25.58</v>
      </c>
      <c r="E213" s="58">
        <v>16.0593</v>
      </c>
      <c r="F213" s="58">
        <v>2.3913000000000002</v>
      </c>
      <c r="G213" s="58">
        <v>0.505</v>
      </c>
      <c r="H213" s="54">
        <v>0</v>
      </c>
      <c r="I213" s="58">
        <v>525</v>
      </c>
      <c r="J213" s="58">
        <v>51.45</v>
      </c>
      <c r="K213" s="54">
        <v>-1.72</v>
      </c>
      <c r="L213" s="54"/>
      <c r="M213" s="58">
        <v>3</v>
      </c>
      <c r="N213" s="54">
        <v>11.590999999999999</v>
      </c>
      <c r="O213" s="54">
        <v>26.416</v>
      </c>
      <c r="P213" s="54">
        <v>15.8804</v>
      </c>
      <c r="Q213" s="54">
        <v>2.3913000000000002</v>
      </c>
      <c r="R213" s="54">
        <v>0.33200000000000002</v>
      </c>
      <c r="S213" s="54" t="s">
        <v>123</v>
      </c>
      <c r="T213" s="54">
        <v>528</v>
      </c>
      <c r="U213" s="54">
        <v>19.79</v>
      </c>
      <c r="V213" s="54">
        <v>-1.84</v>
      </c>
      <c r="W213" s="54"/>
      <c r="X213" s="54">
        <v>3</v>
      </c>
      <c r="Y213" s="58">
        <v>1.3795999999999999</v>
      </c>
      <c r="Z213" s="58">
        <v>0.53559999999999997</v>
      </c>
      <c r="AA213" s="58">
        <v>7.0999999999999994E-2</v>
      </c>
      <c r="AB213" s="54">
        <v>-1.32</v>
      </c>
      <c r="AC213" s="54">
        <v>12.72</v>
      </c>
      <c r="AD213" s="54"/>
      <c r="AE213" s="54"/>
      <c r="AF213" s="54">
        <f t="shared" si="33"/>
        <v>1.0057142857142858</v>
      </c>
      <c r="AG213" s="123"/>
      <c r="AQ213" s="33">
        <f t="shared" si="34"/>
        <v>137.36546000000001</v>
      </c>
      <c r="AS213" s="27">
        <f t="shared" si="35"/>
        <v>1310.19327</v>
      </c>
      <c r="AT213" s="33">
        <f t="shared" si="36"/>
        <v>1310.19327</v>
      </c>
      <c r="BA213" s="33">
        <f t="shared" si="37"/>
        <v>138.91294500000001</v>
      </c>
    </row>
    <row r="214" spans="1:53" x14ac:dyDescent="0.2">
      <c r="A214" s="55"/>
      <c r="B214" s="58">
        <v>4</v>
      </c>
      <c r="C214" s="58">
        <v>11.509</v>
      </c>
      <c r="D214" s="58">
        <v>25.58</v>
      </c>
      <c r="E214" s="58">
        <v>16.09</v>
      </c>
      <c r="F214" s="58">
        <v>2.3540000000000001</v>
      </c>
      <c r="G214" s="58">
        <v>0.51</v>
      </c>
      <c r="H214" s="54">
        <v>0</v>
      </c>
      <c r="I214" s="58">
        <v>570.70000000000005</v>
      </c>
      <c r="J214" s="58">
        <v>47.44</v>
      </c>
      <c r="K214" s="54">
        <v>-1.45</v>
      </c>
      <c r="L214" s="54"/>
      <c r="M214" s="58">
        <v>4</v>
      </c>
      <c r="N214" s="54">
        <v>11.492000000000001</v>
      </c>
      <c r="O214" s="54">
        <v>26.396999999999998</v>
      </c>
      <c r="P214" s="54">
        <v>15.9335</v>
      </c>
      <c r="Q214" s="54">
        <v>2.3540000000000001</v>
      </c>
      <c r="R214" s="54">
        <v>0.34100000000000003</v>
      </c>
      <c r="S214" s="54" t="s">
        <v>123</v>
      </c>
      <c r="T214" s="54">
        <v>546.9</v>
      </c>
      <c r="U214" s="54">
        <v>16.54</v>
      </c>
      <c r="V214" s="54">
        <v>-1.57</v>
      </c>
      <c r="W214" s="54"/>
      <c r="X214" s="54">
        <v>4</v>
      </c>
      <c r="Y214" s="58">
        <v>1.3228</v>
      </c>
      <c r="Z214" s="58">
        <v>0.52959999999999996</v>
      </c>
      <c r="AA214" s="58">
        <v>6.0900000000000003E-2</v>
      </c>
      <c r="AB214" s="54">
        <v>-1.59</v>
      </c>
      <c r="AC214" s="54">
        <v>10.89</v>
      </c>
      <c r="AD214" s="54"/>
      <c r="AE214" s="54"/>
      <c r="AF214" s="54">
        <f t="shared" si="33"/>
        <v>0.95829682845628161</v>
      </c>
      <c r="AG214" s="123"/>
      <c r="AQ214" s="33">
        <f t="shared" si="34"/>
        <v>137.82477500000002</v>
      </c>
      <c r="AS214" s="27">
        <f t="shared" si="35"/>
        <v>1289.7565999999999</v>
      </c>
      <c r="AT214" s="33">
        <f t="shared" si="36"/>
        <v>1289.7565999999999</v>
      </c>
      <c r="BA214" s="33">
        <f t="shared" si="37"/>
        <v>139.17850000000001</v>
      </c>
    </row>
    <row r="215" spans="1:53" x14ac:dyDescent="0.2">
      <c r="A215" s="55"/>
      <c r="B215" s="58">
        <v>5</v>
      </c>
      <c r="C215" s="58">
        <v>11.412000000000001</v>
      </c>
      <c r="D215" s="58">
        <v>25.58</v>
      </c>
      <c r="E215" s="58">
        <v>16.120799999999999</v>
      </c>
      <c r="F215" s="58">
        <v>2.3372000000000002</v>
      </c>
      <c r="G215" s="58">
        <v>0.51400000000000001</v>
      </c>
      <c r="H215" s="54">
        <v>0</v>
      </c>
      <c r="I215" s="58">
        <v>597.20000000000005</v>
      </c>
      <c r="J215" s="58">
        <v>45.24</v>
      </c>
      <c r="K215" s="54">
        <v>-1.32</v>
      </c>
      <c r="L215" s="54"/>
      <c r="M215" s="58">
        <v>5</v>
      </c>
      <c r="N215" s="54">
        <v>11.396000000000001</v>
      </c>
      <c r="O215" s="54">
        <v>26.385000000000002</v>
      </c>
      <c r="P215" s="54">
        <v>15.98</v>
      </c>
      <c r="Q215" s="54">
        <v>2.3372000000000002</v>
      </c>
      <c r="R215" s="54">
        <v>0.34799999999999998</v>
      </c>
      <c r="S215" s="54" t="s">
        <v>123</v>
      </c>
      <c r="T215" s="54">
        <v>561.6</v>
      </c>
      <c r="U215" s="54">
        <v>14.54</v>
      </c>
      <c r="V215" s="54">
        <v>-1.41</v>
      </c>
      <c r="W215" s="54"/>
      <c r="X215" s="54">
        <v>5</v>
      </c>
      <c r="Y215" s="58">
        <v>1.3019000000000001</v>
      </c>
      <c r="Z215" s="58">
        <v>0.52280000000000004</v>
      </c>
      <c r="AA215" s="58">
        <v>5.3800000000000001E-2</v>
      </c>
      <c r="AB215" s="54">
        <v>-1.81</v>
      </c>
      <c r="AC215" s="54">
        <v>9.7799999999999994</v>
      </c>
      <c r="AD215" s="54"/>
      <c r="AE215" s="54"/>
      <c r="AF215" s="54">
        <f t="shared" si="33"/>
        <v>0.94038847957133287</v>
      </c>
      <c r="AG215" s="123"/>
      <c r="AQ215" s="33">
        <f t="shared" si="34"/>
        <v>138.227</v>
      </c>
      <c r="AS215" s="27">
        <f t="shared" si="35"/>
        <v>1280.55188</v>
      </c>
      <c r="AT215" s="33">
        <f t="shared" si="36"/>
        <v>1280.55188</v>
      </c>
      <c r="BA215" s="33">
        <f t="shared" si="37"/>
        <v>139.44492</v>
      </c>
    </row>
    <row r="216" spans="1:53" x14ac:dyDescent="0.2">
      <c r="A216" s="55">
        <f>(N211+N222)/2</f>
        <v>11.24</v>
      </c>
      <c r="B216" s="58">
        <v>6</v>
      </c>
      <c r="C216" s="58">
        <v>11.319000000000001</v>
      </c>
      <c r="D216" s="58">
        <v>25.58</v>
      </c>
      <c r="E216" s="58">
        <v>16.151599999999998</v>
      </c>
      <c r="F216" s="58">
        <v>2.3309000000000002</v>
      </c>
      <c r="G216" s="58">
        <v>0.51900000000000002</v>
      </c>
      <c r="H216" s="54">
        <v>0</v>
      </c>
      <c r="I216" s="58">
        <v>611.6</v>
      </c>
      <c r="J216" s="58">
        <v>44.3</v>
      </c>
      <c r="K216" s="54">
        <v>-1.22</v>
      </c>
      <c r="L216" s="54"/>
      <c r="M216" s="58">
        <v>6</v>
      </c>
      <c r="N216" s="54">
        <v>11.302</v>
      </c>
      <c r="O216" s="54">
        <v>26.378</v>
      </c>
      <c r="P216" s="54">
        <v>16.018699999999999</v>
      </c>
      <c r="Q216" s="54">
        <v>2.3309000000000002</v>
      </c>
      <c r="R216" s="54">
        <v>0.35299999999999998</v>
      </c>
      <c r="S216" s="54" t="s">
        <v>123</v>
      </c>
      <c r="T216" s="54">
        <v>572</v>
      </c>
      <c r="U216" s="54">
        <v>13.71</v>
      </c>
      <c r="V216" s="54">
        <v>-1.3</v>
      </c>
      <c r="W216" s="54"/>
      <c r="X216" s="54">
        <v>6</v>
      </c>
      <c r="Y216" s="58">
        <v>1.2923</v>
      </c>
      <c r="Z216" s="58">
        <v>0.51829999999999998</v>
      </c>
      <c r="AA216" s="58">
        <v>4.99E-2</v>
      </c>
      <c r="AB216" s="54">
        <v>-1.95</v>
      </c>
      <c r="AC216" s="54">
        <v>9.27</v>
      </c>
      <c r="AD216" s="54"/>
      <c r="AE216" s="54"/>
      <c r="AF216" s="54">
        <f t="shared" si="33"/>
        <v>0.93525179856115104</v>
      </c>
      <c r="AG216" s="123"/>
      <c r="AQ216" s="33">
        <f t="shared" si="34"/>
        <v>138.56175500000001</v>
      </c>
      <c r="AS216" s="27">
        <f t="shared" si="35"/>
        <v>1277.1001100000001</v>
      </c>
      <c r="AT216" s="33">
        <f t="shared" si="36"/>
        <v>1277.1001100000001</v>
      </c>
      <c r="BA216" s="33">
        <f t="shared" si="37"/>
        <v>139.71133999999998</v>
      </c>
    </row>
    <row r="217" spans="1:53" x14ac:dyDescent="0.2">
      <c r="A217" s="55">
        <f>PI()*(N211^2-N222^2)</f>
        <v>66.526868687242072</v>
      </c>
      <c r="B217" s="58">
        <v>7</v>
      </c>
      <c r="C217" s="58">
        <v>11.226000000000001</v>
      </c>
      <c r="D217" s="58">
        <v>25.581</v>
      </c>
      <c r="E217" s="58">
        <v>16.182300000000001</v>
      </c>
      <c r="F217" s="58">
        <v>2.3304999999999998</v>
      </c>
      <c r="G217" s="58">
        <v>0.52400000000000002</v>
      </c>
      <c r="H217" s="54">
        <v>0</v>
      </c>
      <c r="I217" s="58">
        <v>618.6</v>
      </c>
      <c r="J217" s="58">
        <v>44.17</v>
      </c>
      <c r="K217" s="54">
        <v>-1.1299999999999999</v>
      </c>
      <c r="L217" s="54"/>
      <c r="M217" s="58">
        <v>7</v>
      </c>
      <c r="N217" s="54">
        <v>11.208</v>
      </c>
      <c r="O217" s="54">
        <v>26.373000000000001</v>
      </c>
      <c r="P217" s="54">
        <v>16.0487</v>
      </c>
      <c r="Q217" s="54">
        <v>2.3304999999999998</v>
      </c>
      <c r="R217" s="54">
        <v>0.35699999999999998</v>
      </c>
      <c r="S217" s="54" t="s">
        <v>123</v>
      </c>
      <c r="T217" s="54">
        <v>578.6</v>
      </c>
      <c r="U217" s="54">
        <v>13.63</v>
      </c>
      <c r="V217" s="54">
        <v>-1.2</v>
      </c>
      <c r="W217" s="54"/>
      <c r="X217" s="54">
        <v>7</v>
      </c>
      <c r="Y217" s="58">
        <v>1.2926</v>
      </c>
      <c r="Z217" s="58">
        <v>0.51639999999999997</v>
      </c>
      <c r="AA217" s="58">
        <v>4.9200000000000001E-2</v>
      </c>
      <c r="AB217" s="54">
        <v>-2</v>
      </c>
      <c r="AC217" s="54">
        <v>9.1999999999999993</v>
      </c>
      <c r="AD217" s="54"/>
      <c r="AE217" s="54"/>
      <c r="AF217" s="54">
        <f t="shared" si="33"/>
        <v>0.93533785968315553</v>
      </c>
      <c r="AG217" s="123"/>
      <c r="AQ217" s="33">
        <f t="shared" si="34"/>
        <v>138.82125500000001</v>
      </c>
      <c r="AS217" s="27">
        <f t="shared" si="35"/>
        <v>1276.8809499999998</v>
      </c>
      <c r="AT217" s="33">
        <f t="shared" si="36"/>
        <v>1276.8809499999998</v>
      </c>
      <c r="BA217" s="33">
        <f t="shared" si="37"/>
        <v>139.97689500000001</v>
      </c>
    </row>
    <row r="218" spans="1:53" x14ac:dyDescent="0.2">
      <c r="A218" s="55"/>
      <c r="B218" s="58">
        <v>8</v>
      </c>
      <c r="C218" s="58">
        <v>11.132999999999999</v>
      </c>
      <c r="D218" s="58">
        <v>25.582000000000001</v>
      </c>
      <c r="E218" s="58">
        <v>16.213100000000001</v>
      </c>
      <c r="F218" s="58">
        <v>2.339</v>
      </c>
      <c r="G218" s="58">
        <v>0.53</v>
      </c>
      <c r="H218" s="54">
        <v>0</v>
      </c>
      <c r="I218" s="58">
        <v>621.70000000000005</v>
      </c>
      <c r="J218" s="58">
        <v>44.55</v>
      </c>
      <c r="K218" s="54">
        <v>-1.03</v>
      </c>
      <c r="L218" s="54"/>
      <c r="M218" s="58">
        <v>8</v>
      </c>
      <c r="N218" s="54">
        <v>11.115</v>
      </c>
      <c r="O218" s="54">
        <v>26.369</v>
      </c>
      <c r="P218" s="54">
        <v>16.066199999999998</v>
      </c>
      <c r="Q218" s="54">
        <v>2.339</v>
      </c>
      <c r="R218" s="54">
        <v>0.35899999999999999</v>
      </c>
      <c r="S218" s="54" t="s">
        <v>123</v>
      </c>
      <c r="T218" s="54">
        <v>581.6</v>
      </c>
      <c r="U218" s="54">
        <v>14.15</v>
      </c>
      <c r="V218" s="54">
        <v>-1.0900000000000001</v>
      </c>
      <c r="W218" s="54"/>
      <c r="X218" s="54">
        <v>8</v>
      </c>
      <c r="Y218" s="58">
        <v>1.2975000000000001</v>
      </c>
      <c r="Z218" s="58">
        <v>0.51829999999999998</v>
      </c>
      <c r="AA218" s="58">
        <v>5.2999999999999999E-2</v>
      </c>
      <c r="AB218" s="54">
        <v>-1.89</v>
      </c>
      <c r="AC218" s="54">
        <v>9.65</v>
      </c>
      <c r="AD218" s="54"/>
      <c r="AE218" s="54"/>
      <c r="AF218" s="54">
        <f t="shared" si="33"/>
        <v>0.93549943702750515</v>
      </c>
      <c r="AG218" s="123"/>
      <c r="AQ218" s="33">
        <f t="shared" si="34"/>
        <v>138.97262999999998</v>
      </c>
      <c r="AS218" s="27">
        <f t="shared" si="35"/>
        <v>1281.5381</v>
      </c>
      <c r="AT218" s="33">
        <f t="shared" si="36"/>
        <v>1281.5381</v>
      </c>
      <c r="BA218" s="33">
        <f t="shared" si="37"/>
        <v>140.24331500000002</v>
      </c>
    </row>
    <row r="219" spans="1:53" x14ac:dyDescent="0.2">
      <c r="A219" s="55"/>
      <c r="B219" s="58">
        <v>9</v>
      </c>
      <c r="C219" s="58">
        <v>11.039</v>
      </c>
      <c r="D219" s="58">
        <v>25.582999999999998</v>
      </c>
      <c r="E219" s="58">
        <v>16.2438</v>
      </c>
      <c r="F219" s="58">
        <v>2.3555000000000001</v>
      </c>
      <c r="G219" s="58">
        <v>0.53500000000000003</v>
      </c>
      <c r="H219" s="54">
        <v>0</v>
      </c>
      <c r="I219" s="58">
        <v>616.79999999999995</v>
      </c>
      <c r="J219" s="58">
        <v>45.8</v>
      </c>
      <c r="K219" s="54">
        <v>-0.93</v>
      </c>
      <c r="L219" s="54"/>
      <c r="M219" s="58">
        <v>9</v>
      </c>
      <c r="N219" s="54">
        <v>11.02</v>
      </c>
      <c r="O219" s="54">
        <v>26.37</v>
      </c>
      <c r="P219" s="54">
        <v>16.072800000000001</v>
      </c>
      <c r="Q219" s="54">
        <v>2.3555000000000001</v>
      </c>
      <c r="R219" s="54">
        <v>0.36</v>
      </c>
      <c r="S219" s="54" t="s">
        <v>123</v>
      </c>
      <c r="T219" s="54">
        <v>580.70000000000005</v>
      </c>
      <c r="U219" s="54">
        <v>15.4</v>
      </c>
      <c r="V219" s="54">
        <v>-0.95</v>
      </c>
      <c r="W219" s="54"/>
      <c r="X219" s="54">
        <v>9</v>
      </c>
      <c r="Y219" s="58">
        <v>1.3116000000000001</v>
      </c>
      <c r="Z219" s="58">
        <v>0.52370000000000005</v>
      </c>
      <c r="AA219" s="58">
        <v>6.0400000000000002E-2</v>
      </c>
      <c r="AB219" s="54">
        <v>-1.7</v>
      </c>
      <c r="AC219" s="54">
        <v>10.81</v>
      </c>
      <c r="AD219" s="54"/>
      <c r="AE219" s="54"/>
      <c r="AF219" s="54">
        <f t="shared" si="33"/>
        <v>0.94147211413748388</v>
      </c>
      <c r="AG219" s="123"/>
      <c r="AQ219" s="33">
        <f t="shared" si="34"/>
        <v>139.02972000000003</v>
      </c>
      <c r="AS219" s="27">
        <f t="shared" si="35"/>
        <v>1290.57845</v>
      </c>
      <c r="AT219" s="33">
        <f t="shared" si="36"/>
        <v>1290.57845</v>
      </c>
      <c r="BA219" s="33">
        <f t="shared" si="37"/>
        <v>140.50887</v>
      </c>
    </row>
    <row r="220" spans="1:53" x14ac:dyDescent="0.2">
      <c r="A220" s="55"/>
      <c r="B220" s="58">
        <v>10</v>
      </c>
      <c r="C220" s="58">
        <v>10.941000000000001</v>
      </c>
      <c r="D220" s="58">
        <v>25.584</v>
      </c>
      <c r="E220" s="58">
        <v>16.2746</v>
      </c>
      <c r="F220" s="58">
        <v>2.3902000000000001</v>
      </c>
      <c r="G220" s="58">
        <v>0.54200000000000004</v>
      </c>
      <c r="H220" s="54">
        <v>0</v>
      </c>
      <c r="I220" s="58">
        <v>599.9</v>
      </c>
      <c r="J220" s="58">
        <v>48.26</v>
      </c>
      <c r="K220" s="54">
        <v>-0.79</v>
      </c>
      <c r="L220" s="54"/>
      <c r="M220" s="58">
        <v>10</v>
      </c>
      <c r="N220" s="54">
        <v>10.923</v>
      </c>
      <c r="O220" s="54">
        <v>26.378</v>
      </c>
      <c r="P220" s="54">
        <v>16.0717</v>
      </c>
      <c r="Q220" s="54">
        <v>2.3902000000000001</v>
      </c>
      <c r="R220" s="54">
        <v>0.35899999999999999</v>
      </c>
      <c r="S220" s="54" t="s">
        <v>123</v>
      </c>
      <c r="T220" s="54">
        <v>577.1</v>
      </c>
      <c r="U220" s="54">
        <v>17.559999999999999</v>
      </c>
      <c r="V220" s="54">
        <v>-0.74</v>
      </c>
      <c r="W220" s="54"/>
      <c r="X220" s="54">
        <v>10</v>
      </c>
      <c r="Y220" s="58">
        <v>1.3532</v>
      </c>
      <c r="Z220" s="58">
        <v>0.52949999999999997</v>
      </c>
      <c r="AA220" s="58">
        <v>7.0099999999999996E-2</v>
      </c>
      <c r="AB220" s="54">
        <v>-1.45</v>
      </c>
      <c r="AC220" s="54">
        <v>12.39</v>
      </c>
      <c r="AD220" s="54"/>
      <c r="AE220" s="54"/>
      <c r="AF220" s="54">
        <f t="shared" si="33"/>
        <v>0.96199366561093524</v>
      </c>
      <c r="AG220" s="123"/>
      <c r="AQ220" s="33">
        <f t="shared" si="34"/>
        <v>139.020205</v>
      </c>
      <c r="AS220" s="27">
        <f t="shared" si="35"/>
        <v>1309.59058</v>
      </c>
      <c r="AT220" s="33">
        <f t="shared" si="36"/>
        <v>1309.59058</v>
      </c>
      <c r="BA220" s="33">
        <f t="shared" si="37"/>
        <v>140.77529000000001</v>
      </c>
    </row>
    <row r="221" spans="1:53" x14ac:dyDescent="0.2">
      <c r="A221" s="55"/>
      <c r="B221" s="58">
        <v>11</v>
      </c>
      <c r="C221" s="58">
        <v>10.834</v>
      </c>
      <c r="D221" s="58">
        <v>25.588000000000001</v>
      </c>
      <c r="E221" s="58">
        <v>16.305399999999999</v>
      </c>
      <c r="F221" s="58">
        <v>2.4491000000000001</v>
      </c>
      <c r="G221" s="58">
        <v>0.54900000000000004</v>
      </c>
      <c r="H221" s="54">
        <v>0</v>
      </c>
      <c r="I221" s="58">
        <v>555</v>
      </c>
      <c r="J221" s="58">
        <v>53.05</v>
      </c>
      <c r="K221" s="54">
        <v>-0.51</v>
      </c>
      <c r="L221" s="54"/>
      <c r="M221" s="58">
        <v>11</v>
      </c>
      <c r="N221" s="54">
        <v>10.821999999999999</v>
      </c>
      <c r="O221" s="54">
        <v>26.390999999999998</v>
      </c>
      <c r="P221" s="54">
        <v>16.057400000000001</v>
      </c>
      <c r="Q221" s="54">
        <v>2.4491000000000001</v>
      </c>
      <c r="R221" s="54">
        <v>0.35699999999999998</v>
      </c>
      <c r="S221" s="54" t="s">
        <v>123</v>
      </c>
      <c r="T221" s="54">
        <v>566.9</v>
      </c>
      <c r="U221" s="54">
        <v>21.22</v>
      </c>
      <c r="V221" s="54">
        <v>-0.33</v>
      </c>
      <c r="W221" s="54"/>
      <c r="X221" s="54">
        <v>11</v>
      </c>
      <c r="Y221" s="58">
        <v>1.4234</v>
      </c>
      <c r="Z221" s="58">
        <v>0.53839999999999999</v>
      </c>
      <c r="AA221" s="58">
        <v>8.3599999999999994E-2</v>
      </c>
      <c r="AB221" s="54">
        <v>-1.1599999999999999</v>
      </c>
      <c r="AC221" s="54">
        <v>14.55</v>
      </c>
      <c r="AD221" s="54"/>
      <c r="AE221" s="54"/>
      <c r="AF221" s="54">
        <f t="shared" si="33"/>
        <v>1.0214414414414414</v>
      </c>
      <c r="AG221" s="123"/>
      <c r="AQ221" s="33">
        <f t="shared" si="34"/>
        <v>138.89651000000001</v>
      </c>
      <c r="AS221" s="27">
        <f t="shared" si="35"/>
        <v>1341.8618899999999</v>
      </c>
      <c r="AT221" s="33">
        <f t="shared" si="36"/>
        <v>1341.8618899999999</v>
      </c>
      <c r="BA221" s="33">
        <f t="shared" si="37"/>
        <v>141.04170999999999</v>
      </c>
    </row>
    <row r="222" spans="1:53" x14ac:dyDescent="0.2">
      <c r="A222" s="55"/>
      <c r="B222" s="58">
        <v>12</v>
      </c>
      <c r="C222" s="58">
        <v>10.773999999999999</v>
      </c>
      <c r="D222" s="58">
        <v>25.591000000000001</v>
      </c>
      <c r="E222" s="58">
        <v>16.320699999999999</v>
      </c>
      <c r="F222" s="58">
        <v>2.4906000000000001</v>
      </c>
      <c r="G222" s="58">
        <v>0.55300000000000005</v>
      </c>
      <c r="H222" s="54">
        <v>0</v>
      </c>
      <c r="I222" s="58">
        <v>509.5</v>
      </c>
      <c r="J222" s="58">
        <v>57.06</v>
      </c>
      <c r="K222" s="54">
        <v>0.39</v>
      </c>
      <c r="L222" s="54"/>
      <c r="M222" s="58">
        <v>12</v>
      </c>
      <c r="N222" s="54">
        <v>10.769</v>
      </c>
      <c r="O222" s="54">
        <v>26.399000000000001</v>
      </c>
      <c r="P222" s="54">
        <v>16.0474</v>
      </c>
      <c r="Q222" s="54">
        <v>2.4906000000000001</v>
      </c>
      <c r="R222" s="54">
        <v>0.35499999999999998</v>
      </c>
      <c r="S222" s="54" t="s">
        <v>123</v>
      </c>
      <c r="T222" s="54">
        <v>558.4</v>
      </c>
      <c r="U222" s="54">
        <v>23.9</v>
      </c>
      <c r="V222" s="54">
        <v>0.39</v>
      </c>
      <c r="W222" s="54"/>
      <c r="X222" s="54">
        <v>12</v>
      </c>
      <c r="Y222" s="58">
        <v>1.4802</v>
      </c>
      <c r="Z222" s="58">
        <v>0.54239999999999999</v>
      </c>
      <c r="AA222" s="58">
        <v>9.0999999999999998E-2</v>
      </c>
      <c r="AB222" s="54">
        <v>-1</v>
      </c>
      <c r="AC222" s="54">
        <v>15.79</v>
      </c>
      <c r="AD222" s="54"/>
      <c r="AE222" s="54"/>
      <c r="AF222" s="54">
        <f t="shared" si="33"/>
        <v>1.0959764474975466</v>
      </c>
      <c r="AG222" s="123"/>
      <c r="AQ222" s="33">
        <f t="shared" si="34"/>
        <v>138.81001000000001</v>
      </c>
      <c r="AS222" s="27">
        <f t="shared" si="35"/>
        <v>1364.5997400000001</v>
      </c>
      <c r="AT222" s="33">
        <f t="shared" si="36"/>
        <v>1364.5997400000001</v>
      </c>
      <c r="BA222" s="33">
        <f t="shared" si="37"/>
        <v>141.17405499999998</v>
      </c>
    </row>
    <row r="223" spans="1:53" x14ac:dyDescent="0.2">
      <c r="A223" s="43" t="s">
        <v>130</v>
      </c>
      <c r="B223" s="58"/>
      <c r="C223" s="58"/>
      <c r="D223" s="58"/>
      <c r="E223" s="58"/>
      <c r="F223" s="58"/>
      <c r="G223" s="58"/>
      <c r="H223" s="54"/>
      <c r="I223" s="58"/>
      <c r="J223" s="58"/>
      <c r="K223" s="54"/>
      <c r="L223" s="54"/>
      <c r="M223" s="58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8"/>
      <c r="Z223" s="58"/>
      <c r="AA223" s="58"/>
      <c r="AB223" s="54"/>
      <c r="AC223" s="54"/>
      <c r="AD223" s="54"/>
      <c r="AE223" s="54"/>
      <c r="AF223" s="54" t="e">
        <f t="shared" si="33"/>
        <v>#DIV/0!</v>
      </c>
      <c r="AG223" s="57"/>
    </row>
    <row r="224" spans="1:53" x14ac:dyDescent="0.2">
      <c r="A224" s="55"/>
      <c r="B224" s="58">
        <v>1</v>
      </c>
      <c r="C224" s="58">
        <v>11.694000000000001</v>
      </c>
      <c r="D224" s="58">
        <v>26.815999999999999</v>
      </c>
      <c r="E224" s="58">
        <v>15.805899999999999</v>
      </c>
      <c r="F224" s="58">
        <v>2.4824000000000002</v>
      </c>
      <c r="G224" s="58">
        <v>0.32600000000000001</v>
      </c>
      <c r="H224" s="54">
        <v>0.65800000000000003</v>
      </c>
      <c r="I224" s="58">
        <v>505.2</v>
      </c>
      <c r="J224" s="58">
        <v>63.49</v>
      </c>
      <c r="K224" s="54">
        <v>-2.52</v>
      </c>
      <c r="L224" s="54"/>
      <c r="M224" s="58">
        <v>1</v>
      </c>
      <c r="N224" s="54">
        <v>11.669</v>
      </c>
      <c r="O224" s="54">
        <v>27.39</v>
      </c>
      <c r="P224" s="54">
        <v>20.195799999999998</v>
      </c>
      <c r="Q224" s="54">
        <v>2.6654</v>
      </c>
      <c r="R224" s="54">
        <v>0.46700000000000003</v>
      </c>
      <c r="S224" s="54">
        <v>0.36199999999999999</v>
      </c>
      <c r="T224" s="54">
        <v>371.8</v>
      </c>
      <c r="U224" s="54">
        <v>54.35</v>
      </c>
      <c r="V224" s="54">
        <v>-2.52</v>
      </c>
      <c r="W224" s="54"/>
      <c r="X224" s="54">
        <v>1</v>
      </c>
      <c r="Y224" s="58">
        <v>1.1990000000000001</v>
      </c>
      <c r="Z224" s="58">
        <v>0.61709999999999998</v>
      </c>
      <c r="AA224" s="58">
        <v>9.4E-2</v>
      </c>
      <c r="AB224" s="54">
        <v>-2</v>
      </c>
      <c r="AC224" s="54">
        <v>16.59</v>
      </c>
      <c r="AD224" s="54"/>
      <c r="AE224" s="54"/>
      <c r="AF224" s="54">
        <f t="shared" si="33"/>
        <v>0.73594615993665879</v>
      </c>
      <c r="AG224" s="122">
        <v>88</v>
      </c>
      <c r="AQ224" s="33">
        <f t="shared" si="34"/>
        <v>174.69367</v>
      </c>
      <c r="AS224" s="27">
        <f t="shared" si="35"/>
        <v>1360.1069600000001</v>
      </c>
      <c r="AT224" s="33">
        <f t="shared" si="36"/>
        <v>1460.37266</v>
      </c>
      <c r="BA224" s="33">
        <f t="shared" si="37"/>
        <v>136.721035</v>
      </c>
    </row>
    <row r="225" spans="1:53" x14ac:dyDescent="0.2">
      <c r="A225" s="55"/>
      <c r="B225" s="58">
        <v>2</v>
      </c>
      <c r="C225" s="58">
        <v>11.653</v>
      </c>
      <c r="D225" s="58">
        <v>26.812999999999999</v>
      </c>
      <c r="E225" s="58">
        <v>15.8383</v>
      </c>
      <c r="F225" s="58">
        <v>2.4436</v>
      </c>
      <c r="G225" s="58">
        <v>0.33100000000000002</v>
      </c>
      <c r="H225" s="54">
        <v>0.67500000000000004</v>
      </c>
      <c r="I225" s="58">
        <v>591.1</v>
      </c>
      <c r="J225" s="58">
        <v>63.23</v>
      </c>
      <c r="K225" s="54">
        <v>-2.8</v>
      </c>
      <c r="L225" s="54"/>
      <c r="M225" s="58">
        <v>2</v>
      </c>
      <c r="N225" s="54">
        <v>11.621</v>
      </c>
      <c r="O225" s="54">
        <v>27.390999999999998</v>
      </c>
      <c r="P225" s="54">
        <v>20.219899999999999</v>
      </c>
      <c r="Q225" s="54">
        <v>2.6231</v>
      </c>
      <c r="R225" s="54">
        <v>0.47</v>
      </c>
      <c r="S225" s="54">
        <v>0.39300000000000002</v>
      </c>
      <c r="T225" s="54">
        <v>422.1</v>
      </c>
      <c r="U225" s="54">
        <v>52.1</v>
      </c>
      <c r="V225" s="54">
        <v>-2.77</v>
      </c>
      <c r="W225" s="54"/>
      <c r="X225" s="54">
        <v>2</v>
      </c>
      <c r="Y225" s="58">
        <v>1.2036</v>
      </c>
      <c r="Z225" s="58">
        <v>0.57720000000000005</v>
      </c>
      <c r="AA225" s="58">
        <v>8.6900000000000005E-2</v>
      </c>
      <c r="AB225" s="54">
        <v>-1.3</v>
      </c>
      <c r="AC225" s="54">
        <v>13.94</v>
      </c>
      <c r="AD225" s="54"/>
      <c r="AE225" s="54"/>
      <c r="AF225" s="54">
        <f t="shared" si="33"/>
        <v>0.71409237015733384</v>
      </c>
      <c r="AG225" s="123"/>
      <c r="AQ225" s="33">
        <f t="shared" si="34"/>
        <v>174.90213499999999</v>
      </c>
      <c r="AS225" s="27">
        <f t="shared" si="35"/>
        <v>1338.84844</v>
      </c>
      <c r="AT225" s="33">
        <f t="shared" si="36"/>
        <v>1437.19649</v>
      </c>
      <c r="BA225" s="33">
        <f t="shared" si="37"/>
        <v>137.001295</v>
      </c>
    </row>
    <row r="226" spans="1:53" x14ac:dyDescent="0.2">
      <c r="A226" s="55"/>
      <c r="B226" s="58">
        <v>3</v>
      </c>
      <c r="C226" s="58">
        <v>11.576000000000001</v>
      </c>
      <c r="D226" s="58">
        <v>26.806999999999999</v>
      </c>
      <c r="E226" s="58">
        <v>15.8804</v>
      </c>
      <c r="F226" s="58">
        <v>2.3913000000000002</v>
      </c>
      <c r="G226" s="58">
        <v>0.33900000000000002</v>
      </c>
      <c r="H226" s="54">
        <v>0.7</v>
      </c>
      <c r="I226" s="58">
        <v>538.29999999999995</v>
      </c>
      <c r="J226" s="58">
        <v>62.91</v>
      </c>
      <c r="K226" s="54">
        <v>2.9</v>
      </c>
      <c r="L226" s="54"/>
      <c r="M226" s="58">
        <v>3</v>
      </c>
      <c r="N226" s="54">
        <v>11.54</v>
      </c>
      <c r="O226" s="54">
        <v>27.391999999999999</v>
      </c>
      <c r="P226" s="54">
        <v>20.2439</v>
      </c>
      <c r="Q226" s="54">
        <v>2.5653999999999999</v>
      </c>
      <c r="R226" s="54">
        <v>0.47299999999999998</v>
      </c>
      <c r="S226" s="54">
        <v>0.436</v>
      </c>
      <c r="T226" s="54">
        <v>483.7</v>
      </c>
      <c r="U226" s="54">
        <v>50.1</v>
      </c>
      <c r="V226" s="54">
        <v>-2.82</v>
      </c>
      <c r="W226" s="54"/>
      <c r="X226" s="54">
        <v>3</v>
      </c>
      <c r="Y226" s="58">
        <v>1.2118</v>
      </c>
      <c r="Z226" s="58">
        <v>0.52559999999999996</v>
      </c>
      <c r="AA226" s="58">
        <v>7.5399999999999995E-2</v>
      </c>
      <c r="AB226" s="54">
        <v>-0.68</v>
      </c>
      <c r="AC226" s="54">
        <v>11.2</v>
      </c>
      <c r="AD226" s="54"/>
      <c r="AE226" s="54"/>
      <c r="AF226" s="54">
        <f t="shared" si="33"/>
        <v>0.89856957087126144</v>
      </c>
      <c r="AG226" s="123"/>
      <c r="AQ226" s="33">
        <f t="shared" si="34"/>
        <v>175.109735</v>
      </c>
      <c r="AS226" s="27">
        <f t="shared" si="35"/>
        <v>1310.19327</v>
      </c>
      <c r="AT226" s="33">
        <f t="shared" si="36"/>
        <v>1405.5826599999998</v>
      </c>
      <c r="BA226" s="33">
        <f t="shared" si="37"/>
        <v>137.36546000000001</v>
      </c>
    </row>
    <row r="227" spans="1:53" x14ac:dyDescent="0.2">
      <c r="A227" s="55"/>
      <c r="B227" s="58">
        <v>4</v>
      </c>
      <c r="C227" s="58">
        <v>11.478</v>
      </c>
      <c r="D227" s="58">
        <v>26.803000000000001</v>
      </c>
      <c r="E227" s="58">
        <v>15.9335</v>
      </c>
      <c r="F227" s="58">
        <v>2.3540000000000001</v>
      </c>
      <c r="G227" s="58">
        <v>0.34799999999999998</v>
      </c>
      <c r="H227" s="54">
        <v>0.72099999999999997</v>
      </c>
      <c r="I227" s="58">
        <v>559.20000000000005</v>
      </c>
      <c r="J227" s="58">
        <v>62.4</v>
      </c>
      <c r="K227" s="54">
        <v>-2.63</v>
      </c>
      <c r="L227" s="54"/>
      <c r="M227" s="58">
        <v>4</v>
      </c>
      <c r="N227" s="54">
        <v>11.445</v>
      </c>
      <c r="O227" s="54">
        <v>27.393999999999998</v>
      </c>
      <c r="P227" s="54">
        <v>20.276</v>
      </c>
      <c r="Q227" s="54">
        <v>2.5232000000000001</v>
      </c>
      <c r="R227" s="54">
        <v>0.47699999999999998</v>
      </c>
      <c r="S227" s="54">
        <v>0.47</v>
      </c>
      <c r="T227" s="54">
        <v>531.20000000000005</v>
      </c>
      <c r="U227" s="54">
        <v>48.79</v>
      </c>
      <c r="V227" s="54">
        <v>2.5299999999999998</v>
      </c>
      <c r="W227" s="54"/>
      <c r="X227" s="54">
        <v>4</v>
      </c>
      <c r="Y227" s="58">
        <v>1.222</v>
      </c>
      <c r="Z227" s="58">
        <v>0.48709999999999998</v>
      </c>
      <c r="AA227" s="58">
        <v>6.4699999999999994E-2</v>
      </c>
      <c r="AB227" s="54">
        <v>-0.27</v>
      </c>
      <c r="AC227" s="54">
        <v>9.44</v>
      </c>
      <c r="AD227" s="54"/>
      <c r="AE227" s="54"/>
      <c r="AF227" s="54">
        <f t="shared" si="33"/>
        <v>0.94992846924177399</v>
      </c>
      <c r="AG227" s="123"/>
      <c r="AQ227" s="33">
        <f t="shared" si="34"/>
        <v>175.38740000000001</v>
      </c>
      <c r="AS227" s="27">
        <f t="shared" si="35"/>
        <v>1289.7565999999999</v>
      </c>
      <c r="AT227" s="33">
        <f t="shared" si="36"/>
        <v>1382.46128</v>
      </c>
      <c r="BA227" s="33">
        <f t="shared" si="37"/>
        <v>137.82477500000002</v>
      </c>
    </row>
    <row r="228" spans="1:53" x14ac:dyDescent="0.2">
      <c r="A228" s="55"/>
      <c r="B228" s="58">
        <v>5</v>
      </c>
      <c r="C228" s="58">
        <v>11.384</v>
      </c>
      <c r="D228" s="58">
        <v>26.797999999999998</v>
      </c>
      <c r="E228" s="58">
        <v>15.98</v>
      </c>
      <c r="F228" s="58">
        <v>2.3372000000000002</v>
      </c>
      <c r="G228" s="58">
        <v>0.35599999999999998</v>
      </c>
      <c r="H228" s="54">
        <v>0.73199999999999998</v>
      </c>
      <c r="I228" s="58">
        <v>575.6</v>
      </c>
      <c r="J228" s="58">
        <v>61.86</v>
      </c>
      <c r="K228" s="54">
        <v>-2.16</v>
      </c>
      <c r="L228" s="54"/>
      <c r="M228" s="58">
        <v>5</v>
      </c>
      <c r="N228" s="54">
        <v>11.351000000000001</v>
      </c>
      <c r="O228" s="54">
        <v>27.396999999999998</v>
      </c>
      <c r="P228" s="54">
        <v>20.3081</v>
      </c>
      <c r="Q228" s="54">
        <v>2.5032999999999999</v>
      </c>
      <c r="R228" s="54">
        <v>0.48</v>
      </c>
      <c r="S228" s="54">
        <v>0.48899999999999999</v>
      </c>
      <c r="T228" s="54">
        <v>560.20000000000005</v>
      </c>
      <c r="U228" s="54">
        <v>47.88</v>
      </c>
      <c r="V228" s="54">
        <v>2.08</v>
      </c>
      <c r="W228" s="54"/>
      <c r="X228" s="54">
        <v>5</v>
      </c>
      <c r="Y228" s="58">
        <v>1.2318</v>
      </c>
      <c r="Z228" s="58">
        <v>0.4662</v>
      </c>
      <c r="AA228" s="58">
        <v>5.7299999999999997E-2</v>
      </c>
      <c r="AB228" s="54">
        <v>-0.08</v>
      </c>
      <c r="AC228" s="54">
        <v>8.58</v>
      </c>
      <c r="AD228" s="54"/>
      <c r="AE228" s="54"/>
      <c r="AF228" s="54">
        <f t="shared" si="33"/>
        <v>0.97324530924252961</v>
      </c>
      <c r="AG228" s="123"/>
      <c r="AQ228" s="33">
        <f t="shared" si="34"/>
        <v>175.665065</v>
      </c>
      <c r="AS228" s="27">
        <f t="shared" si="35"/>
        <v>1280.55188</v>
      </c>
      <c r="AT228" s="33">
        <f t="shared" si="36"/>
        <v>1371.5580699999998</v>
      </c>
      <c r="BA228" s="33">
        <f t="shared" si="37"/>
        <v>138.227</v>
      </c>
    </row>
    <row r="229" spans="1:53" x14ac:dyDescent="0.2">
      <c r="A229" s="55">
        <f>(N224+N235)/2</f>
        <v>11.223500000000001</v>
      </c>
      <c r="B229" s="58">
        <v>6</v>
      </c>
      <c r="C229" s="58">
        <v>11.292</v>
      </c>
      <c r="D229" s="58">
        <v>26.792999999999999</v>
      </c>
      <c r="E229" s="58">
        <v>16.018699999999999</v>
      </c>
      <c r="F229" s="58">
        <v>2.3309000000000002</v>
      </c>
      <c r="G229" s="58">
        <v>0.36199999999999999</v>
      </c>
      <c r="H229" s="54">
        <v>0.73399999999999999</v>
      </c>
      <c r="I229" s="58">
        <v>587</v>
      </c>
      <c r="J229" s="58">
        <v>61.31</v>
      </c>
      <c r="K229" s="54">
        <v>-1.62</v>
      </c>
      <c r="L229" s="54"/>
      <c r="M229" s="58">
        <v>6</v>
      </c>
      <c r="N229" s="54">
        <v>11.272</v>
      </c>
      <c r="O229" s="54">
        <v>27.402999999999999</v>
      </c>
      <c r="P229" s="54">
        <v>20.340199999999999</v>
      </c>
      <c r="Q229" s="54">
        <v>2.4950999999999999</v>
      </c>
      <c r="R229" s="54">
        <v>0.48399999999999999</v>
      </c>
      <c r="S229" s="54">
        <v>0.48599999999999999</v>
      </c>
      <c r="T229" s="54">
        <v>575.9</v>
      </c>
      <c r="U229" s="54">
        <v>47.05</v>
      </c>
      <c r="V229" s="54">
        <v>-1.59</v>
      </c>
      <c r="W229" s="54"/>
      <c r="X229" s="54">
        <v>6</v>
      </c>
      <c r="Y229" s="58">
        <v>1.2414000000000001</v>
      </c>
      <c r="Z229" s="58">
        <v>0.45729999999999998</v>
      </c>
      <c r="AA229" s="58">
        <v>5.2600000000000001E-2</v>
      </c>
      <c r="AB229" s="54">
        <v>0</v>
      </c>
      <c r="AC229" s="54">
        <v>8.18</v>
      </c>
      <c r="AD229" s="54"/>
      <c r="AE229" s="54"/>
      <c r="AF229" s="54">
        <f t="shared" si="33"/>
        <v>0.98109028960817712</v>
      </c>
      <c r="AG229" s="123"/>
      <c r="AQ229" s="33">
        <f t="shared" si="34"/>
        <v>175.94273000000001</v>
      </c>
      <c r="AS229" s="27">
        <f t="shared" si="35"/>
        <v>1277.1001100000001</v>
      </c>
      <c r="AT229" s="33">
        <f t="shared" si="36"/>
        <v>1367.0652899999998</v>
      </c>
      <c r="BA229" s="33">
        <f t="shared" si="37"/>
        <v>138.56175500000001</v>
      </c>
    </row>
    <row r="230" spans="1:53" x14ac:dyDescent="0.2">
      <c r="A230" s="55">
        <f>PI()*(N224^2-N235^2)</f>
        <v>62.832723292960942</v>
      </c>
      <c r="B230" s="58">
        <v>7</v>
      </c>
      <c r="C230" s="58">
        <v>11.2</v>
      </c>
      <c r="D230" s="58">
        <v>26.786999999999999</v>
      </c>
      <c r="E230" s="58">
        <v>16.0487</v>
      </c>
      <c r="F230" s="58">
        <v>2.3304999999999998</v>
      </c>
      <c r="G230" s="58">
        <v>0.36699999999999999</v>
      </c>
      <c r="H230" s="54">
        <v>0.73099999999999998</v>
      </c>
      <c r="I230" s="58">
        <v>594.1</v>
      </c>
      <c r="J230" s="58">
        <v>60.78</v>
      </c>
      <c r="K230" s="54">
        <v>-1.08</v>
      </c>
      <c r="L230" s="54"/>
      <c r="M230" s="58">
        <v>7</v>
      </c>
      <c r="N230" s="54">
        <v>11.189</v>
      </c>
      <c r="O230" s="54">
        <v>27.41</v>
      </c>
      <c r="P230" s="54">
        <v>20.372299999999999</v>
      </c>
      <c r="Q230" s="54">
        <v>2.4944000000000002</v>
      </c>
      <c r="R230" s="54">
        <v>0.48799999999999999</v>
      </c>
      <c r="S230" s="54">
        <v>0.49399999999999999</v>
      </c>
      <c r="T230" s="54">
        <v>582.9</v>
      </c>
      <c r="U230" s="54">
        <v>46.14</v>
      </c>
      <c r="V230" s="54">
        <v>-1.1000000000000001</v>
      </c>
      <c r="W230" s="54"/>
      <c r="X230" s="54">
        <v>7</v>
      </c>
      <c r="Y230" s="58">
        <v>1.2511000000000001</v>
      </c>
      <c r="Z230" s="58">
        <v>0.4577</v>
      </c>
      <c r="AA230" s="58">
        <v>5.2299999999999999E-2</v>
      </c>
      <c r="AB230" s="54">
        <v>0</v>
      </c>
      <c r="AC230" s="54">
        <v>8.07</v>
      </c>
      <c r="AD230" s="54"/>
      <c r="AE230" s="54"/>
      <c r="AF230" s="54">
        <f t="shared" si="33"/>
        <v>0.98114795488974915</v>
      </c>
      <c r="AG230" s="123"/>
      <c r="AQ230" s="33">
        <f t="shared" si="34"/>
        <v>176.220395</v>
      </c>
      <c r="AS230" s="27">
        <f t="shared" si="35"/>
        <v>1276.8809499999998</v>
      </c>
      <c r="AT230" s="33">
        <f t="shared" si="36"/>
        <v>1366.6817599999999</v>
      </c>
      <c r="BA230" s="33">
        <f t="shared" si="37"/>
        <v>138.82125500000001</v>
      </c>
    </row>
    <row r="231" spans="1:53" x14ac:dyDescent="0.2">
      <c r="A231" s="55"/>
      <c r="B231" s="58">
        <v>8</v>
      </c>
      <c r="C231" s="58">
        <v>11.109</v>
      </c>
      <c r="D231" s="58">
        <v>26.780999999999999</v>
      </c>
      <c r="E231" s="58">
        <v>16.066199999999998</v>
      </c>
      <c r="F231" s="58">
        <v>2.339</v>
      </c>
      <c r="G231" s="58">
        <v>0.36899999999999999</v>
      </c>
      <c r="H231" s="54">
        <v>0.72199999999999998</v>
      </c>
      <c r="I231" s="58">
        <v>597</v>
      </c>
      <c r="J231" s="58">
        <v>60.28</v>
      </c>
      <c r="K231" s="54">
        <v>-0.56999999999999995</v>
      </c>
      <c r="L231" s="54"/>
      <c r="M231" s="58">
        <v>8</v>
      </c>
      <c r="N231" s="54">
        <v>11.105</v>
      </c>
      <c r="O231" s="54">
        <v>27.42</v>
      </c>
      <c r="P231" s="54">
        <v>20.404299999999999</v>
      </c>
      <c r="Q231" s="54">
        <v>2.5041000000000002</v>
      </c>
      <c r="R231" s="54">
        <v>0.49299999999999999</v>
      </c>
      <c r="S231" s="54">
        <v>0.48399999999999999</v>
      </c>
      <c r="T231" s="54">
        <v>583.20000000000005</v>
      </c>
      <c r="U231" s="54">
        <v>45.06</v>
      </c>
      <c r="V231" s="54">
        <v>-0.65</v>
      </c>
      <c r="W231" s="54"/>
      <c r="X231" s="54">
        <v>8</v>
      </c>
      <c r="Y231" s="58">
        <v>1.2609999999999999</v>
      </c>
      <c r="Z231" s="58">
        <v>0.4662</v>
      </c>
      <c r="AA231" s="58">
        <v>5.5199999999999999E-2</v>
      </c>
      <c r="AB231" s="54">
        <v>7.0000000000000007E-2</v>
      </c>
      <c r="AC231" s="54">
        <v>8.17</v>
      </c>
      <c r="AD231" s="54"/>
      <c r="AE231" s="54"/>
      <c r="AF231" s="54">
        <f t="shared" si="33"/>
        <v>0.97688442211055282</v>
      </c>
      <c r="AG231" s="123"/>
      <c r="AQ231" s="33">
        <f t="shared" si="34"/>
        <v>176.497195</v>
      </c>
      <c r="AS231" s="27">
        <f t="shared" si="35"/>
        <v>1281.5381</v>
      </c>
      <c r="AT231" s="33">
        <f t="shared" si="36"/>
        <v>1371.99639</v>
      </c>
      <c r="BA231" s="33">
        <f t="shared" si="37"/>
        <v>138.97262999999998</v>
      </c>
    </row>
    <row r="232" spans="1:53" x14ac:dyDescent="0.2">
      <c r="A232" s="55"/>
      <c r="B232" s="58">
        <v>9</v>
      </c>
      <c r="C232" s="58">
        <v>11.016</v>
      </c>
      <c r="D232" s="58">
        <v>26.774999999999999</v>
      </c>
      <c r="E232" s="58">
        <v>16.072800000000001</v>
      </c>
      <c r="F232" s="58">
        <v>2.3555000000000001</v>
      </c>
      <c r="G232" s="58">
        <v>0.36899999999999999</v>
      </c>
      <c r="H232" s="54">
        <v>0.70699999999999996</v>
      </c>
      <c r="I232" s="58">
        <v>595.79999999999995</v>
      </c>
      <c r="J232" s="58">
        <v>59.77</v>
      </c>
      <c r="K232" s="54">
        <v>-0.1</v>
      </c>
      <c r="L232" s="54"/>
      <c r="M232" s="58">
        <v>9</v>
      </c>
      <c r="N232" s="54">
        <v>11.02</v>
      </c>
      <c r="O232" s="54">
        <v>27.431999999999999</v>
      </c>
      <c r="P232" s="54">
        <v>20.436399999999999</v>
      </c>
      <c r="Q232" s="54">
        <v>2.5230000000000001</v>
      </c>
      <c r="R232" s="54">
        <v>0.499</v>
      </c>
      <c r="S232" s="54">
        <v>0.46500000000000002</v>
      </c>
      <c r="T232" s="54">
        <v>575.20000000000005</v>
      </c>
      <c r="U232" s="54">
        <v>43.77</v>
      </c>
      <c r="V232" s="54">
        <v>-0.27</v>
      </c>
      <c r="W232" s="54"/>
      <c r="X232" s="54">
        <v>9</v>
      </c>
      <c r="Y232" s="58">
        <v>1.2712000000000001</v>
      </c>
      <c r="Z232" s="58">
        <v>0.4839</v>
      </c>
      <c r="AA232" s="58">
        <v>6.08E-2</v>
      </c>
      <c r="AB232" s="54">
        <v>-0.26</v>
      </c>
      <c r="AC232" s="54">
        <v>8.5500000000000007</v>
      </c>
      <c r="AD232" s="54"/>
      <c r="AE232" s="54"/>
      <c r="AF232" s="54">
        <f t="shared" si="33"/>
        <v>0.96542463914065135</v>
      </c>
      <c r="AG232" s="123"/>
      <c r="AQ232" s="33">
        <f t="shared" si="34"/>
        <v>176.77485999999999</v>
      </c>
      <c r="AS232" s="27">
        <f t="shared" si="35"/>
        <v>1290.57845</v>
      </c>
      <c r="AT232" s="33">
        <f t="shared" si="36"/>
        <v>1382.3516999999999</v>
      </c>
      <c r="BA232" s="33">
        <f t="shared" si="37"/>
        <v>139.02972000000003</v>
      </c>
    </row>
    <row r="233" spans="1:53" x14ac:dyDescent="0.2">
      <c r="A233" s="55"/>
      <c r="B233" s="58">
        <v>10</v>
      </c>
      <c r="C233" s="58">
        <v>10.920999999999999</v>
      </c>
      <c r="D233" s="58">
        <v>26.768000000000001</v>
      </c>
      <c r="E233" s="58">
        <v>16.0717</v>
      </c>
      <c r="F233" s="58">
        <v>2.3902000000000001</v>
      </c>
      <c r="G233" s="58">
        <v>0.36699999999999999</v>
      </c>
      <c r="H233" s="54">
        <v>0.68400000000000005</v>
      </c>
      <c r="I233" s="58">
        <v>591.70000000000005</v>
      </c>
      <c r="J233" s="58">
        <v>59.18</v>
      </c>
      <c r="K233" s="54">
        <v>0.28000000000000003</v>
      </c>
      <c r="L233" s="54"/>
      <c r="M233" s="58">
        <v>10</v>
      </c>
      <c r="N233" s="54">
        <v>10.93</v>
      </c>
      <c r="O233" s="54">
        <v>27.448</v>
      </c>
      <c r="P233" s="54">
        <v>20.468499999999999</v>
      </c>
      <c r="Q233" s="54">
        <v>2.5619000000000001</v>
      </c>
      <c r="R233" s="54">
        <v>0.505</v>
      </c>
      <c r="S233" s="54">
        <v>0.434</v>
      </c>
      <c r="T233" s="54">
        <v>555.1</v>
      </c>
      <c r="U233" s="54">
        <v>42.12</v>
      </c>
      <c r="V233" s="54">
        <v>0.03</v>
      </c>
      <c r="W233" s="54"/>
      <c r="X233" s="54">
        <v>10</v>
      </c>
      <c r="Y233" s="58">
        <v>1.2819</v>
      </c>
      <c r="Z233" s="58">
        <v>0.51639999999999997</v>
      </c>
      <c r="AA233" s="58">
        <v>6.9500000000000006E-2</v>
      </c>
      <c r="AB233" s="54">
        <v>0.7</v>
      </c>
      <c r="AC233" s="54">
        <v>9.32</v>
      </c>
      <c r="AD233" s="54"/>
      <c r="AE233" s="54"/>
      <c r="AF233" s="54">
        <f t="shared" si="33"/>
        <v>0.93814432989690721</v>
      </c>
      <c r="AG233" s="123"/>
      <c r="AQ233" s="33">
        <f t="shared" si="34"/>
        <v>177.052525</v>
      </c>
      <c r="AS233" s="27">
        <f t="shared" si="35"/>
        <v>1309.59058</v>
      </c>
      <c r="AT233" s="33">
        <f t="shared" si="36"/>
        <v>1403.6650099999999</v>
      </c>
      <c r="BA233" s="33">
        <f t="shared" si="37"/>
        <v>139.020205</v>
      </c>
    </row>
    <row r="234" spans="1:53" x14ac:dyDescent="0.2">
      <c r="A234" s="55"/>
      <c r="B234" s="58">
        <v>11</v>
      </c>
      <c r="C234" s="58">
        <v>10.821999999999999</v>
      </c>
      <c r="D234" s="58">
        <v>26.76</v>
      </c>
      <c r="E234" s="58">
        <v>16.057400000000001</v>
      </c>
      <c r="F234" s="58">
        <v>2.4491000000000001</v>
      </c>
      <c r="G234" s="58">
        <v>0.36499999999999999</v>
      </c>
      <c r="H234" s="54">
        <v>0.64900000000000002</v>
      </c>
      <c r="I234" s="58">
        <v>581.79999999999995</v>
      </c>
      <c r="J234" s="58">
        <v>58.29</v>
      </c>
      <c r="K234" s="54">
        <v>0.49</v>
      </c>
      <c r="L234" s="54"/>
      <c r="M234" s="58">
        <v>11</v>
      </c>
      <c r="N234" s="54">
        <v>10.833</v>
      </c>
      <c r="O234" s="54">
        <v>27.47</v>
      </c>
      <c r="P234" s="54">
        <v>20.500599999999999</v>
      </c>
      <c r="Q234" s="54">
        <v>2.6269</v>
      </c>
      <c r="R234" s="54">
        <v>0.51200000000000001</v>
      </c>
      <c r="S234" s="54">
        <v>0.38300000000000001</v>
      </c>
      <c r="T234" s="54">
        <v>511.3</v>
      </c>
      <c r="U234" s="54">
        <v>40.08</v>
      </c>
      <c r="V234" s="54">
        <v>0.12</v>
      </c>
      <c r="W234" s="54"/>
      <c r="X234" s="54">
        <v>11</v>
      </c>
      <c r="Y234" s="58">
        <v>1.2936000000000001</v>
      </c>
      <c r="Z234" s="58">
        <v>0.5736</v>
      </c>
      <c r="AA234" s="58">
        <v>8.1000000000000003E-2</v>
      </c>
      <c r="AB234" s="54">
        <v>-1.42</v>
      </c>
      <c r="AC234" s="54">
        <v>10.7</v>
      </c>
      <c r="AD234" s="54"/>
      <c r="AE234" s="54"/>
      <c r="AF234" s="54">
        <f t="shared" si="33"/>
        <v>0.87882433826057071</v>
      </c>
      <c r="AG234" s="123"/>
      <c r="AQ234" s="33">
        <f t="shared" si="34"/>
        <v>177.33018999999999</v>
      </c>
      <c r="AS234" s="27">
        <f t="shared" si="35"/>
        <v>1341.8618899999999</v>
      </c>
      <c r="AT234" s="33">
        <f t="shared" si="36"/>
        <v>1439.2785099999999</v>
      </c>
      <c r="BA234" s="33">
        <f t="shared" si="37"/>
        <v>138.89651000000001</v>
      </c>
    </row>
    <row r="235" spans="1:53" x14ac:dyDescent="0.2">
      <c r="A235" s="55"/>
      <c r="B235" s="58">
        <v>12</v>
      </c>
      <c r="C235" s="58">
        <v>10.771000000000001</v>
      </c>
      <c r="D235" s="58">
        <v>26.756</v>
      </c>
      <c r="E235" s="58">
        <v>16.0474</v>
      </c>
      <c r="F235" s="58">
        <v>2.4906000000000001</v>
      </c>
      <c r="G235" s="58">
        <v>0.36399999999999999</v>
      </c>
      <c r="H235" s="54">
        <v>0.625</v>
      </c>
      <c r="I235" s="58">
        <v>574.1</v>
      </c>
      <c r="J235" s="58">
        <v>57.72</v>
      </c>
      <c r="K235" s="54">
        <v>0.61</v>
      </c>
      <c r="L235" s="54"/>
      <c r="M235" s="58">
        <v>12</v>
      </c>
      <c r="N235" s="54">
        <v>10.778</v>
      </c>
      <c r="O235" s="54">
        <v>27.481999999999999</v>
      </c>
      <c r="P235" s="54">
        <v>20.5166</v>
      </c>
      <c r="Q235" s="54">
        <v>2.6720999999999999</v>
      </c>
      <c r="R235" s="54">
        <v>0.51600000000000001</v>
      </c>
      <c r="S235" s="54">
        <v>0.34499999999999997</v>
      </c>
      <c r="T235" s="54">
        <v>471.7</v>
      </c>
      <c r="U235" s="54">
        <v>39.01</v>
      </c>
      <c r="V235" s="54">
        <v>0.61</v>
      </c>
      <c r="W235" s="54"/>
      <c r="X235" s="54">
        <v>12</v>
      </c>
      <c r="Y235" s="58">
        <v>1.2999000000000001</v>
      </c>
      <c r="Z235" s="58">
        <v>0.62419999999999998</v>
      </c>
      <c r="AA235" s="58">
        <v>8.7999999999999995E-2</v>
      </c>
      <c r="AB235" s="54">
        <v>-2</v>
      </c>
      <c r="AC235" s="54">
        <v>11.8</v>
      </c>
      <c r="AD235" s="54"/>
      <c r="AE235" s="54"/>
      <c r="AF235" s="54">
        <f t="shared" si="33"/>
        <v>0.82163386169656849</v>
      </c>
      <c r="AG235" s="123"/>
      <c r="AQ235" s="33">
        <f t="shared" si="34"/>
        <v>177.46859000000001</v>
      </c>
      <c r="AS235" s="27">
        <f t="shared" si="35"/>
        <v>1364.5997400000001</v>
      </c>
      <c r="AT235" s="33">
        <f t="shared" si="36"/>
        <v>1464.04359</v>
      </c>
      <c r="BA235" s="33">
        <f t="shared" si="37"/>
        <v>138.81001000000001</v>
      </c>
    </row>
    <row r="236" spans="1:53" x14ac:dyDescent="0.2">
      <c r="A236" s="43" t="s">
        <v>131</v>
      </c>
      <c r="B236" s="58"/>
      <c r="C236" s="58"/>
      <c r="D236" s="58"/>
      <c r="E236" s="58"/>
      <c r="F236" s="58"/>
      <c r="G236" s="58"/>
      <c r="H236" s="54"/>
      <c r="I236" s="58"/>
      <c r="J236" s="58"/>
      <c r="K236" s="54"/>
      <c r="L236" s="54"/>
      <c r="M236" s="58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8"/>
      <c r="Z236" s="58"/>
      <c r="AA236" s="58"/>
      <c r="AB236" s="54"/>
      <c r="AC236" s="54"/>
      <c r="AD236" s="54"/>
      <c r="AE236" s="54"/>
      <c r="AF236" s="54" t="e">
        <f t="shared" si="33"/>
        <v>#DIV/0!</v>
      </c>
      <c r="AG236" s="57"/>
    </row>
    <row r="237" spans="1:53" x14ac:dyDescent="0.2">
      <c r="A237" s="55"/>
      <c r="B237" s="58">
        <v>1</v>
      </c>
      <c r="C237" s="59">
        <v>11.651</v>
      </c>
      <c r="D237" s="59">
        <v>27.8</v>
      </c>
      <c r="E237" s="63">
        <v>20.195799999999998</v>
      </c>
      <c r="F237" s="63">
        <v>2.6654</v>
      </c>
      <c r="G237" s="59">
        <v>0.47099999999999997</v>
      </c>
      <c r="H237" s="54">
        <v>0</v>
      </c>
      <c r="I237" s="61">
        <v>384.2</v>
      </c>
      <c r="J237" s="64">
        <v>62.42</v>
      </c>
      <c r="K237" s="66">
        <v>-2.52</v>
      </c>
      <c r="L237" s="54"/>
      <c r="M237" s="58">
        <v>1</v>
      </c>
      <c r="N237" s="60">
        <v>11.618</v>
      </c>
      <c r="O237" s="60">
        <v>28.533000000000001</v>
      </c>
      <c r="P237" s="65">
        <v>19.9513</v>
      </c>
      <c r="Q237" s="65">
        <v>2.6654</v>
      </c>
      <c r="R237" s="60">
        <v>0.29399999999999998</v>
      </c>
      <c r="S237" s="60"/>
      <c r="T237" s="62">
        <v>472</v>
      </c>
      <c r="U237" s="66">
        <v>25.8</v>
      </c>
      <c r="V237" s="66">
        <v>2.52</v>
      </c>
      <c r="W237" s="54"/>
      <c r="X237" s="54">
        <v>1</v>
      </c>
      <c r="Y237" s="63">
        <v>1.5044999999999999</v>
      </c>
      <c r="Z237" s="63">
        <v>0.57150000000000001</v>
      </c>
      <c r="AA237" s="63">
        <v>8.7999999999999995E-2</v>
      </c>
      <c r="AB237" s="66">
        <v>-1.5</v>
      </c>
      <c r="AC237" s="54">
        <v>15.04</v>
      </c>
      <c r="AD237" s="54"/>
      <c r="AE237" s="54"/>
      <c r="AF237" s="54">
        <f t="shared" si="33"/>
        <v>1.2285268089536701</v>
      </c>
      <c r="AG237" s="122">
        <v>118</v>
      </c>
      <c r="AQ237" s="33">
        <f t="shared" si="34"/>
        <v>172.578745</v>
      </c>
      <c r="AS237" s="27">
        <f t="shared" si="35"/>
        <v>1460.37266</v>
      </c>
      <c r="AT237" s="33">
        <f t="shared" si="36"/>
        <v>1460.37266</v>
      </c>
      <c r="BA237" s="33">
        <f t="shared" si="37"/>
        <v>174.69367</v>
      </c>
    </row>
    <row r="238" spans="1:53" x14ac:dyDescent="0.2">
      <c r="A238" s="55"/>
      <c r="B238" s="58">
        <v>2</v>
      </c>
      <c r="C238" s="59">
        <v>11.603999999999999</v>
      </c>
      <c r="D238" s="59">
        <v>27.792000000000002</v>
      </c>
      <c r="E238" s="63">
        <v>20.219899999999999</v>
      </c>
      <c r="F238" s="63">
        <v>2.6231</v>
      </c>
      <c r="G238" s="59">
        <v>0.47399999999999998</v>
      </c>
      <c r="H238" s="54">
        <v>0</v>
      </c>
      <c r="I238" s="61">
        <v>433.4</v>
      </c>
      <c r="J238" s="64">
        <v>58.47</v>
      </c>
      <c r="K238" s="66">
        <v>-2.08</v>
      </c>
      <c r="L238" s="54"/>
      <c r="M238" s="58">
        <v>2</v>
      </c>
      <c r="N238" s="60">
        <v>11.58</v>
      </c>
      <c r="O238" s="60">
        <v>28.529</v>
      </c>
      <c r="P238" s="65">
        <v>19.9862</v>
      </c>
      <c r="Q238" s="65">
        <v>2.6231</v>
      </c>
      <c r="R238" s="60">
        <v>0.29899999999999999</v>
      </c>
      <c r="S238" s="60"/>
      <c r="T238" s="62">
        <v>485.1</v>
      </c>
      <c r="U238" s="66">
        <v>23.3</v>
      </c>
      <c r="V238" s="66">
        <v>2.11</v>
      </c>
      <c r="W238" s="54"/>
      <c r="X238" s="54">
        <v>2</v>
      </c>
      <c r="Y238" s="63">
        <v>1.4617</v>
      </c>
      <c r="Z238" s="63">
        <v>0.56810000000000005</v>
      </c>
      <c r="AA238" s="63">
        <v>8.2900000000000001E-2</v>
      </c>
      <c r="AB238" s="66">
        <v>-1.6</v>
      </c>
      <c r="AC238" s="54">
        <v>14.45</v>
      </c>
      <c r="AD238" s="54"/>
      <c r="AE238" s="54"/>
      <c r="AF238" s="54">
        <f t="shared" si="33"/>
        <v>1.1192893401015229</v>
      </c>
      <c r="AG238" s="123"/>
      <c r="AQ238" s="33">
        <f t="shared" si="34"/>
        <v>172.88063</v>
      </c>
      <c r="AS238" s="27">
        <f t="shared" si="35"/>
        <v>1437.19649</v>
      </c>
      <c r="AT238" s="33">
        <f t="shared" si="36"/>
        <v>1437.19649</v>
      </c>
      <c r="BA238" s="33">
        <f t="shared" si="37"/>
        <v>174.90213499999999</v>
      </c>
    </row>
    <row r="239" spans="1:53" x14ac:dyDescent="0.2">
      <c r="A239" s="55"/>
      <c r="B239" s="58">
        <v>3</v>
      </c>
      <c r="C239" s="59">
        <v>11.525</v>
      </c>
      <c r="D239" s="59">
        <v>27.783000000000001</v>
      </c>
      <c r="E239" s="63">
        <v>20.2439</v>
      </c>
      <c r="F239" s="63">
        <v>2.5653999999999999</v>
      </c>
      <c r="G239" s="59">
        <v>0.47599999999999998</v>
      </c>
      <c r="H239" s="54">
        <v>0</v>
      </c>
      <c r="I239" s="61">
        <v>494.8</v>
      </c>
      <c r="J239" s="64">
        <v>53.2</v>
      </c>
      <c r="K239" s="66">
        <v>-1.63</v>
      </c>
      <c r="L239" s="54"/>
      <c r="M239" s="58">
        <v>3</v>
      </c>
      <c r="N239" s="60">
        <v>11.51</v>
      </c>
      <c r="O239" s="60">
        <v>28.52</v>
      </c>
      <c r="P239" s="65">
        <v>20.032</v>
      </c>
      <c r="Q239" s="65">
        <v>2.5653999999999999</v>
      </c>
      <c r="R239" s="60">
        <v>0.30499999999999999</v>
      </c>
      <c r="S239" s="60"/>
      <c r="T239" s="62">
        <v>502.2</v>
      </c>
      <c r="U239" s="66">
        <v>19.61</v>
      </c>
      <c r="V239" s="66">
        <v>-1.65</v>
      </c>
      <c r="W239" s="54"/>
      <c r="X239" s="54">
        <v>3</v>
      </c>
      <c r="Y239" s="63">
        <v>1.4026000000000001</v>
      </c>
      <c r="Z239" s="63">
        <v>0.56269999999999998</v>
      </c>
      <c r="AA239" s="63">
        <v>7.4099999999999999E-2</v>
      </c>
      <c r="AB239" s="66">
        <v>-1.82</v>
      </c>
      <c r="AC239" s="54">
        <v>13.05</v>
      </c>
      <c r="AD239" s="54"/>
      <c r="AE239" s="54"/>
      <c r="AF239" s="54">
        <f t="shared" si="33"/>
        <v>1.0149555375909458</v>
      </c>
      <c r="AG239" s="123"/>
      <c r="AQ239" s="33">
        <f t="shared" si="34"/>
        <v>173.27680000000001</v>
      </c>
      <c r="AS239" s="27">
        <f t="shared" si="35"/>
        <v>1405.5826599999998</v>
      </c>
      <c r="AT239" s="33">
        <f t="shared" si="36"/>
        <v>1405.5826599999998</v>
      </c>
      <c r="BA239" s="33">
        <f t="shared" si="37"/>
        <v>175.109735</v>
      </c>
    </row>
    <row r="240" spans="1:53" x14ac:dyDescent="0.2">
      <c r="A240" s="55"/>
      <c r="B240" s="58">
        <v>4</v>
      </c>
      <c r="C240" s="59">
        <v>11.432</v>
      </c>
      <c r="D240" s="59">
        <v>27.78</v>
      </c>
      <c r="E240" s="63">
        <v>20.276</v>
      </c>
      <c r="F240" s="63">
        <v>2.5232000000000001</v>
      </c>
      <c r="G240" s="59">
        <v>0.48199999999999998</v>
      </c>
      <c r="H240" s="54">
        <v>0</v>
      </c>
      <c r="I240" s="61">
        <v>542.9</v>
      </c>
      <c r="J240" s="64">
        <v>48.92</v>
      </c>
      <c r="K240" s="66">
        <v>-1.37</v>
      </c>
      <c r="L240" s="54"/>
      <c r="M240" s="58">
        <v>4</v>
      </c>
      <c r="N240" s="60">
        <v>11.420999999999999</v>
      </c>
      <c r="O240" s="60">
        <v>28.509</v>
      </c>
      <c r="P240" s="65">
        <v>20.089500000000001</v>
      </c>
      <c r="Q240" s="65">
        <v>2.5232000000000001</v>
      </c>
      <c r="R240" s="60">
        <v>0.313</v>
      </c>
      <c r="S240" s="60"/>
      <c r="T240" s="62">
        <v>520.4</v>
      </c>
      <c r="U240" s="66">
        <v>16.37</v>
      </c>
      <c r="V240" s="66">
        <v>-1.38</v>
      </c>
      <c r="W240" s="54"/>
      <c r="X240" s="54">
        <v>4</v>
      </c>
      <c r="Y240" s="63">
        <v>1.3582000000000001</v>
      </c>
      <c r="Z240" s="63">
        <v>0.55289999999999995</v>
      </c>
      <c r="AA240" s="63">
        <v>6.4000000000000001E-2</v>
      </c>
      <c r="AB240" s="66">
        <v>-2.09</v>
      </c>
      <c r="AC240" s="54">
        <v>11.27</v>
      </c>
      <c r="AD240" s="54"/>
      <c r="AE240" s="54"/>
      <c r="AF240" s="54">
        <f t="shared" si="33"/>
        <v>0.95855590348130415</v>
      </c>
      <c r="AG240" s="123"/>
      <c r="AQ240" s="33">
        <f t="shared" si="34"/>
        <v>173.77417500000001</v>
      </c>
      <c r="AS240" s="27">
        <f t="shared" si="35"/>
        <v>1382.46128</v>
      </c>
      <c r="AT240" s="33">
        <f t="shared" si="36"/>
        <v>1382.46128</v>
      </c>
      <c r="BA240" s="33">
        <f t="shared" si="37"/>
        <v>175.38740000000001</v>
      </c>
    </row>
    <row r="241" spans="1:53" x14ac:dyDescent="0.2">
      <c r="A241" s="55"/>
      <c r="B241" s="58">
        <v>5</v>
      </c>
      <c r="C241" s="59">
        <v>11.346</v>
      </c>
      <c r="D241" s="59">
        <v>27.777999999999999</v>
      </c>
      <c r="E241" s="63">
        <v>20.3081</v>
      </c>
      <c r="F241" s="63">
        <v>2.5032999999999999</v>
      </c>
      <c r="G241" s="59">
        <v>0.48599999999999999</v>
      </c>
      <c r="H241" s="54">
        <v>0</v>
      </c>
      <c r="I241" s="61">
        <v>572.4</v>
      </c>
      <c r="J241" s="64">
        <v>46.36</v>
      </c>
      <c r="K241" s="66">
        <v>-1.27</v>
      </c>
      <c r="L241" s="54"/>
      <c r="M241" s="58">
        <v>5</v>
      </c>
      <c r="N241" s="60">
        <v>11.343999999999999</v>
      </c>
      <c r="O241" s="60">
        <v>28.503</v>
      </c>
      <c r="P241" s="65">
        <v>20.189699999999998</v>
      </c>
      <c r="Q241" s="65">
        <v>2.5032999999999999</v>
      </c>
      <c r="R241" s="60">
        <v>0.32</v>
      </c>
      <c r="S241" s="60"/>
      <c r="T241" s="62">
        <v>534.6</v>
      </c>
      <c r="U241" s="66">
        <v>14.36</v>
      </c>
      <c r="V241" s="66">
        <v>-1.26</v>
      </c>
      <c r="W241" s="54"/>
      <c r="X241" s="54">
        <v>5</v>
      </c>
      <c r="Y241" s="63">
        <v>1.3435999999999999</v>
      </c>
      <c r="Z241" s="63">
        <v>0.54259999999999997</v>
      </c>
      <c r="AA241" s="63">
        <v>5.6899999999999999E-2</v>
      </c>
      <c r="AB241" s="66">
        <v>-2.31</v>
      </c>
      <c r="AC241" s="54">
        <v>9.76</v>
      </c>
      <c r="AD241" s="54"/>
      <c r="AE241" s="54"/>
      <c r="AF241" s="54">
        <f t="shared" si="33"/>
        <v>0.93396226415094352</v>
      </c>
      <c r="AG241" s="123"/>
      <c r="AQ241" s="33">
        <f t="shared" si="34"/>
        <v>174.640905</v>
      </c>
      <c r="AS241" s="27">
        <f t="shared" si="35"/>
        <v>1371.5580699999998</v>
      </c>
      <c r="AT241" s="33">
        <f t="shared" si="36"/>
        <v>1371.5580699999998</v>
      </c>
      <c r="BA241" s="33">
        <f t="shared" si="37"/>
        <v>175.665065</v>
      </c>
    </row>
    <row r="242" spans="1:53" x14ac:dyDescent="0.2">
      <c r="A242" s="55">
        <f>(N237+N248)/2</f>
        <v>11.194500000000001</v>
      </c>
      <c r="B242" s="58">
        <v>6</v>
      </c>
      <c r="C242" s="59">
        <v>11.263</v>
      </c>
      <c r="D242" s="59">
        <v>27.777000000000001</v>
      </c>
      <c r="E242" s="63">
        <v>20.340199999999999</v>
      </c>
      <c r="F242" s="63">
        <v>2.4950999999999999</v>
      </c>
      <c r="G242" s="59">
        <v>0.49</v>
      </c>
      <c r="H242" s="54">
        <v>0</v>
      </c>
      <c r="I242" s="61">
        <v>588.20000000000005</v>
      </c>
      <c r="J242" s="64">
        <v>45.18</v>
      </c>
      <c r="K242" s="66">
        <v>-1.23</v>
      </c>
      <c r="L242" s="54"/>
      <c r="M242" s="58">
        <v>6</v>
      </c>
      <c r="N242" s="60">
        <v>11.25</v>
      </c>
      <c r="O242" s="60">
        <v>28.501000000000001</v>
      </c>
      <c r="P242" s="65">
        <v>20.180900000000001</v>
      </c>
      <c r="Q242" s="65">
        <v>2.4950999999999999</v>
      </c>
      <c r="R242" s="60">
        <v>0.32500000000000001</v>
      </c>
      <c r="S242" s="60"/>
      <c r="T242" s="62">
        <v>544.6</v>
      </c>
      <c r="U242" s="66">
        <v>13.46</v>
      </c>
      <c r="V242" s="66">
        <v>-1.21</v>
      </c>
      <c r="W242" s="54"/>
      <c r="X242" s="54">
        <v>6</v>
      </c>
      <c r="Y242" s="63">
        <v>1.3443000000000001</v>
      </c>
      <c r="Z242" s="63">
        <v>0.53480000000000005</v>
      </c>
      <c r="AA242" s="63">
        <v>5.2900000000000003E-2</v>
      </c>
      <c r="AB242" s="66">
        <v>-2.4500000000000002</v>
      </c>
      <c r="AC242" s="54">
        <v>8.84</v>
      </c>
      <c r="AD242" s="54"/>
      <c r="AE242" s="54"/>
      <c r="AF242" s="54">
        <f t="shared" si="33"/>
        <v>0.9258755525331519</v>
      </c>
      <c r="AG242" s="123"/>
      <c r="AQ242" s="33">
        <f t="shared" si="34"/>
        <v>174.56478500000003</v>
      </c>
      <c r="AS242" s="27">
        <f t="shared" si="35"/>
        <v>1367.0652899999998</v>
      </c>
      <c r="AT242" s="33">
        <f t="shared" si="36"/>
        <v>1367.0652899999998</v>
      </c>
      <c r="BA242" s="33">
        <f t="shared" si="37"/>
        <v>175.94273000000001</v>
      </c>
    </row>
    <row r="243" spans="1:53" x14ac:dyDescent="0.2">
      <c r="A243" s="55">
        <f>PI()*(N237^2-N248^2)</f>
        <v>59.575538879274873</v>
      </c>
      <c r="B243" s="58">
        <v>7</v>
      </c>
      <c r="C243" s="59">
        <v>11.180999999999999</v>
      </c>
      <c r="D243" s="59">
        <v>27.779</v>
      </c>
      <c r="E243" s="63">
        <v>20.372299999999999</v>
      </c>
      <c r="F243" s="63">
        <v>2.4944000000000002</v>
      </c>
      <c r="G243" s="59">
        <v>0.49399999999999999</v>
      </c>
      <c r="H243" s="54">
        <v>0</v>
      </c>
      <c r="I243" s="61">
        <v>594.79999999999995</v>
      </c>
      <c r="J243" s="64">
        <v>45.01</v>
      </c>
      <c r="K243" s="66">
        <v>-1.2</v>
      </c>
      <c r="L243" s="54"/>
      <c r="M243" s="58">
        <v>7</v>
      </c>
      <c r="N243" s="60">
        <v>11.166</v>
      </c>
      <c r="O243" s="60">
        <v>28.497</v>
      </c>
      <c r="P243" s="65">
        <v>20.212499999999999</v>
      </c>
      <c r="Q243" s="65">
        <v>2.4944000000000002</v>
      </c>
      <c r="R243" s="60">
        <v>0.32900000000000001</v>
      </c>
      <c r="S243" s="60"/>
      <c r="T243" s="62">
        <v>550.9</v>
      </c>
      <c r="U243" s="66">
        <v>13.41</v>
      </c>
      <c r="V243" s="66">
        <v>-1.18</v>
      </c>
      <c r="W243" s="54"/>
      <c r="X243" s="54">
        <v>7</v>
      </c>
      <c r="Y243" s="63">
        <v>1.345</v>
      </c>
      <c r="Z243" s="63">
        <v>0.53190000000000004</v>
      </c>
      <c r="AA243" s="63">
        <v>5.2200000000000003E-2</v>
      </c>
      <c r="AB243" s="66">
        <v>-2.5</v>
      </c>
      <c r="AC243" s="54">
        <v>8.81</v>
      </c>
      <c r="AD243" s="54"/>
      <c r="AE243" s="54"/>
      <c r="AF243" s="54">
        <f t="shared" si="33"/>
        <v>0.92619367854741097</v>
      </c>
      <c r="AG243" s="123"/>
      <c r="AQ243" s="33">
        <f t="shared" si="34"/>
        <v>174.83812499999999</v>
      </c>
      <c r="AS243" s="27">
        <f t="shared" si="35"/>
        <v>1366.6817599999999</v>
      </c>
      <c r="AT243" s="33">
        <f t="shared" si="36"/>
        <v>1366.6817599999999</v>
      </c>
      <c r="BA243" s="33">
        <f t="shared" si="37"/>
        <v>176.220395</v>
      </c>
    </row>
    <row r="244" spans="1:53" x14ac:dyDescent="0.2">
      <c r="A244" s="55"/>
      <c r="B244" s="58">
        <v>8</v>
      </c>
      <c r="C244" s="59">
        <v>11.098000000000001</v>
      </c>
      <c r="D244" s="59">
        <v>27.780999999999999</v>
      </c>
      <c r="E244" s="63">
        <v>20.404299999999999</v>
      </c>
      <c r="F244" s="63">
        <v>2.5041000000000002</v>
      </c>
      <c r="G244" s="59">
        <v>0.498</v>
      </c>
      <c r="H244" s="54">
        <v>0</v>
      </c>
      <c r="I244" s="61">
        <v>594.4</v>
      </c>
      <c r="J244" s="64">
        <v>45.65</v>
      </c>
      <c r="K244" s="66">
        <v>-1.17</v>
      </c>
      <c r="L244" s="54"/>
      <c r="M244" s="58">
        <v>8</v>
      </c>
      <c r="N244" s="60">
        <v>11.082000000000001</v>
      </c>
      <c r="O244" s="60">
        <v>28.492000000000001</v>
      </c>
      <c r="P244" s="65">
        <v>20.23</v>
      </c>
      <c r="Q244" s="65">
        <v>2.5041000000000002</v>
      </c>
      <c r="R244" s="60">
        <v>0.33</v>
      </c>
      <c r="S244" s="60"/>
      <c r="T244" s="62">
        <v>552.9</v>
      </c>
      <c r="U244" s="66">
        <v>14.22</v>
      </c>
      <c r="V244" s="66">
        <v>-1.1399999999999999</v>
      </c>
      <c r="W244" s="54"/>
      <c r="X244" s="54">
        <v>8</v>
      </c>
      <c r="Y244" s="63">
        <v>1.3432999999999999</v>
      </c>
      <c r="Z244" s="63">
        <v>0.5343</v>
      </c>
      <c r="AA244" s="63">
        <v>5.5899999999999998E-2</v>
      </c>
      <c r="AB244" s="66">
        <v>-2.39</v>
      </c>
      <c r="AC244" s="54">
        <v>9.5399999999999991</v>
      </c>
      <c r="AD244" s="54"/>
      <c r="AE244" s="54"/>
      <c r="AF244" s="54">
        <f t="shared" si="33"/>
        <v>0.93018169582772547</v>
      </c>
      <c r="AG244" s="123"/>
      <c r="AQ244" s="33">
        <f t="shared" si="34"/>
        <v>174.98950000000002</v>
      </c>
      <c r="AS244" s="27">
        <f t="shared" si="35"/>
        <v>1371.99639</v>
      </c>
      <c r="AT244" s="33">
        <f t="shared" si="36"/>
        <v>1371.99639</v>
      </c>
      <c r="BA244" s="33">
        <f t="shared" si="37"/>
        <v>176.497195</v>
      </c>
    </row>
    <row r="245" spans="1:53" x14ac:dyDescent="0.2">
      <c r="A245" s="55"/>
      <c r="B245" s="58">
        <v>9</v>
      </c>
      <c r="C245" s="59">
        <v>11.015000000000001</v>
      </c>
      <c r="D245" s="59">
        <v>27.785</v>
      </c>
      <c r="E245" s="63">
        <v>20.436399999999999</v>
      </c>
      <c r="F245" s="63">
        <v>2.5230000000000001</v>
      </c>
      <c r="G245" s="59">
        <v>0.503</v>
      </c>
      <c r="H245" s="54">
        <v>0</v>
      </c>
      <c r="I245" s="61">
        <v>585.5</v>
      </c>
      <c r="J245" s="64">
        <v>47.2</v>
      </c>
      <c r="K245" s="66">
        <v>-1.1100000000000001</v>
      </c>
      <c r="L245" s="54"/>
      <c r="M245" s="58">
        <v>9</v>
      </c>
      <c r="N245" s="60">
        <v>10.997</v>
      </c>
      <c r="O245" s="60">
        <v>28.489000000000001</v>
      </c>
      <c r="P245" s="65">
        <v>20.235299999999999</v>
      </c>
      <c r="Q245" s="65">
        <v>2.5230000000000001</v>
      </c>
      <c r="R245" s="60">
        <v>0.33100000000000002</v>
      </c>
      <c r="S245" s="60"/>
      <c r="T245" s="62">
        <v>551.5</v>
      </c>
      <c r="U245" s="66">
        <v>15.59</v>
      </c>
      <c r="V245" s="66">
        <v>-1.07</v>
      </c>
      <c r="W245" s="54"/>
      <c r="X245" s="54">
        <v>9</v>
      </c>
      <c r="Y245" s="63">
        <v>1.3489</v>
      </c>
      <c r="Z245" s="63">
        <v>0.54159999999999997</v>
      </c>
      <c r="AA245" s="63">
        <v>6.3299999999999995E-2</v>
      </c>
      <c r="AB245" s="66">
        <v>-2.2000000000000002</v>
      </c>
      <c r="AC245" s="54">
        <v>10.92</v>
      </c>
      <c r="AD245" s="54"/>
      <c r="AE245" s="54"/>
      <c r="AF245" s="54">
        <f t="shared" si="33"/>
        <v>0.941929974380871</v>
      </c>
      <c r="AG245" s="123"/>
      <c r="AQ245" s="33">
        <f t="shared" si="34"/>
        <v>175.03534500000001</v>
      </c>
      <c r="AS245" s="27">
        <f t="shared" si="35"/>
        <v>1382.3516999999999</v>
      </c>
      <c r="AT245" s="33">
        <f t="shared" si="36"/>
        <v>1382.3516999999999</v>
      </c>
      <c r="BA245" s="33">
        <f t="shared" si="37"/>
        <v>176.77485999999999</v>
      </c>
    </row>
    <row r="246" spans="1:53" x14ac:dyDescent="0.2">
      <c r="A246" s="55"/>
      <c r="B246" s="58">
        <v>10</v>
      </c>
      <c r="C246" s="59">
        <v>10.927</v>
      </c>
      <c r="D246" s="59">
        <v>27.788</v>
      </c>
      <c r="E246" s="63">
        <v>20.468499999999999</v>
      </c>
      <c r="F246" s="63">
        <v>2.5619000000000001</v>
      </c>
      <c r="G246" s="59">
        <v>0.50900000000000001</v>
      </c>
      <c r="H246" s="54">
        <v>0</v>
      </c>
      <c r="I246" s="61">
        <v>564.6</v>
      </c>
      <c r="J246" s="64">
        <v>49.95</v>
      </c>
      <c r="K246" s="66">
        <v>-0.97</v>
      </c>
      <c r="L246" s="54"/>
      <c r="M246" s="58">
        <v>10</v>
      </c>
      <c r="N246" s="60">
        <v>10.91</v>
      </c>
      <c r="O246" s="60">
        <v>28.494</v>
      </c>
      <c r="P246" s="65">
        <v>20.2319</v>
      </c>
      <c r="Q246" s="65">
        <v>2.5619000000000001</v>
      </c>
      <c r="R246" s="60">
        <v>0.33</v>
      </c>
      <c r="S246" s="60"/>
      <c r="T246" s="62">
        <v>547.9</v>
      </c>
      <c r="U246" s="66">
        <v>17.7</v>
      </c>
      <c r="V246" s="66">
        <v>0.9</v>
      </c>
      <c r="W246" s="54"/>
      <c r="X246" s="54">
        <v>10</v>
      </c>
      <c r="Y246" s="63">
        <v>1.3795999999999999</v>
      </c>
      <c r="Z246" s="63">
        <v>0.55000000000000004</v>
      </c>
      <c r="AA246" s="63">
        <v>7.2900000000000006E-2</v>
      </c>
      <c r="AB246" s="66">
        <v>-1.95</v>
      </c>
      <c r="AC246" s="54">
        <v>12.68</v>
      </c>
      <c r="AD246" s="54"/>
      <c r="AE246" s="54"/>
      <c r="AF246" s="54">
        <f t="shared" si="33"/>
        <v>0.97042153737159043</v>
      </c>
      <c r="AG246" s="123"/>
      <c r="AQ246" s="33">
        <f t="shared" si="34"/>
        <v>175.00593499999999</v>
      </c>
      <c r="AS246" s="27">
        <f t="shared" si="35"/>
        <v>1403.6650099999999</v>
      </c>
      <c r="AT246" s="33">
        <f t="shared" si="36"/>
        <v>1403.6650099999999</v>
      </c>
      <c r="BA246" s="33">
        <f t="shared" si="37"/>
        <v>177.052525</v>
      </c>
    </row>
    <row r="247" spans="1:53" x14ac:dyDescent="0.2">
      <c r="A247" s="55"/>
      <c r="B247" s="58">
        <v>11</v>
      </c>
      <c r="C247" s="59">
        <v>10.831</v>
      </c>
      <c r="D247" s="59">
        <v>27.792999999999999</v>
      </c>
      <c r="E247" s="63">
        <v>20.500599999999999</v>
      </c>
      <c r="F247" s="63">
        <v>2.6269</v>
      </c>
      <c r="G247" s="59">
        <v>0.51500000000000001</v>
      </c>
      <c r="H247" s="54">
        <v>0</v>
      </c>
      <c r="I247" s="48">
        <v>519.79999999999995</v>
      </c>
      <c r="J247" s="64">
        <v>54.66</v>
      </c>
      <c r="K247" s="66">
        <v>-0.67</v>
      </c>
      <c r="L247" s="54"/>
      <c r="M247" s="58">
        <v>11</v>
      </c>
      <c r="N247" s="60">
        <v>10.819000000000001</v>
      </c>
      <c r="O247" s="60">
        <v>28.509</v>
      </c>
      <c r="P247" s="65">
        <v>20.2136</v>
      </c>
      <c r="Q247" s="65">
        <v>2.6263000000000001</v>
      </c>
      <c r="R247" s="60">
        <v>0.32700000000000001</v>
      </c>
      <c r="S247" s="60"/>
      <c r="T247" s="62">
        <v>538.70000000000005</v>
      </c>
      <c r="U247" s="66">
        <v>21.18</v>
      </c>
      <c r="V247" s="66">
        <v>-0.48</v>
      </c>
      <c r="W247" s="54"/>
      <c r="X247" s="54">
        <v>11</v>
      </c>
      <c r="Y247" s="63">
        <v>1.4555</v>
      </c>
      <c r="Z247" s="63">
        <v>0.55779999999999996</v>
      </c>
      <c r="AA247" s="63">
        <v>8.6400000000000005E-2</v>
      </c>
      <c r="AB247" s="66">
        <v>-1.66</v>
      </c>
      <c r="AC247" s="54">
        <v>14.61</v>
      </c>
      <c r="AD247" s="54"/>
      <c r="AE247" s="54"/>
      <c r="AF247" s="54">
        <f t="shared" si="33"/>
        <v>1.0363601385148136</v>
      </c>
      <c r="AG247" s="123"/>
      <c r="AQ247" s="33">
        <f t="shared" si="34"/>
        <v>174.84764000000001</v>
      </c>
      <c r="AS247" s="27">
        <f t="shared" si="35"/>
        <v>1439.2785099999999</v>
      </c>
      <c r="AT247" s="33">
        <f t="shared" si="36"/>
        <v>1438.9497699999999</v>
      </c>
      <c r="BA247" s="33">
        <f t="shared" si="37"/>
        <v>177.33018999999999</v>
      </c>
    </row>
    <row r="248" spans="1:53" x14ac:dyDescent="0.2">
      <c r="A248" s="55"/>
      <c r="B248" s="58">
        <v>12</v>
      </c>
      <c r="C248" s="59">
        <v>10.776999999999999</v>
      </c>
      <c r="D248" s="59">
        <v>27.795999999999999</v>
      </c>
      <c r="E248" s="63">
        <v>20.5166</v>
      </c>
      <c r="F248" s="63">
        <v>2.6720999999999999</v>
      </c>
      <c r="G248" s="59">
        <v>0.51900000000000002</v>
      </c>
      <c r="H248" s="54">
        <v>0</v>
      </c>
      <c r="I248" s="61">
        <v>479.8</v>
      </c>
      <c r="J248" s="64">
        <v>58.24</v>
      </c>
      <c r="K248" s="66">
        <v>-0.46</v>
      </c>
      <c r="L248" s="54"/>
      <c r="M248" s="58">
        <v>12</v>
      </c>
      <c r="N248" s="60">
        <v>10.771000000000001</v>
      </c>
      <c r="O248" s="60">
        <v>28.521000000000001</v>
      </c>
      <c r="P248" s="65">
        <v>20.200800000000001</v>
      </c>
      <c r="Q248" s="65">
        <v>2.6720999999999999</v>
      </c>
      <c r="R248" s="60">
        <v>0.32600000000000001</v>
      </c>
      <c r="S248" s="60"/>
      <c r="T248" s="62">
        <v>531</v>
      </c>
      <c r="U248" s="66">
        <v>23.7</v>
      </c>
      <c r="V248" s="66">
        <v>-0.46</v>
      </c>
      <c r="W248" s="54"/>
      <c r="X248" s="54">
        <v>12</v>
      </c>
      <c r="Y248" s="63">
        <v>1.5187999999999999</v>
      </c>
      <c r="Z248" s="63">
        <v>0.55969999999999998</v>
      </c>
      <c r="AA248" s="63">
        <v>9.4E-2</v>
      </c>
      <c r="AB248" s="66">
        <v>-1.5</v>
      </c>
      <c r="AC248" s="54">
        <v>15.56</v>
      </c>
      <c r="AD248" s="54"/>
      <c r="AE248" s="54"/>
      <c r="AF248" s="54">
        <f t="shared" si="33"/>
        <v>1.1067111296373489</v>
      </c>
      <c r="AG248" s="123"/>
      <c r="AQ248" s="33">
        <f t="shared" si="34"/>
        <v>174.73692000000003</v>
      </c>
      <c r="AS248" s="27">
        <f t="shared" si="35"/>
        <v>1464.04359</v>
      </c>
      <c r="AT248" s="33">
        <f t="shared" si="36"/>
        <v>1464.04359</v>
      </c>
      <c r="BA248" s="33">
        <f t="shared" si="37"/>
        <v>177.46859000000001</v>
      </c>
    </row>
    <row r="249" spans="1:53" x14ac:dyDescent="0.2">
      <c r="A249" s="43" t="s">
        <v>132</v>
      </c>
      <c r="B249" s="58"/>
      <c r="C249" s="58"/>
      <c r="D249" s="58"/>
      <c r="E249" s="58"/>
      <c r="F249" s="58"/>
      <c r="G249" s="58"/>
      <c r="H249" s="54"/>
      <c r="I249" s="58"/>
      <c r="J249" s="58"/>
      <c r="K249" s="54"/>
      <c r="L249" s="54"/>
      <c r="M249" s="58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8"/>
      <c r="Z249" s="58"/>
      <c r="AA249" s="58"/>
      <c r="AB249" s="54"/>
      <c r="AC249" s="54"/>
      <c r="AD249" s="54"/>
      <c r="AE249" s="54"/>
      <c r="AF249" s="54" t="e">
        <f t="shared" si="33"/>
        <v>#DIV/0!</v>
      </c>
      <c r="AG249" s="57"/>
    </row>
    <row r="250" spans="1:53" x14ac:dyDescent="0.2">
      <c r="A250" s="55"/>
      <c r="B250" s="44">
        <v>1</v>
      </c>
      <c r="C250" s="45">
        <v>11.6</v>
      </c>
      <c r="D250" s="45">
        <v>28.957000000000001</v>
      </c>
      <c r="E250" s="46">
        <v>19.9513</v>
      </c>
      <c r="F250" s="44">
        <v>2.6654</v>
      </c>
      <c r="G250" s="45">
        <v>0.30099999999999999</v>
      </c>
      <c r="H250" s="47">
        <v>0.63300000000000001</v>
      </c>
      <c r="I250" s="48">
        <v>485.1</v>
      </c>
      <c r="J250" s="49">
        <v>64.5</v>
      </c>
      <c r="K250" s="54"/>
      <c r="L250" s="54"/>
      <c r="M250" s="44">
        <v>1</v>
      </c>
      <c r="N250" s="47">
        <v>11.577</v>
      </c>
      <c r="O250" s="47">
        <v>29.466000000000001</v>
      </c>
      <c r="P250" s="51">
        <v>25.095199999999998</v>
      </c>
      <c r="Q250" s="47">
        <v>2.8472</v>
      </c>
      <c r="R250" s="56">
        <v>0.44600000000000001</v>
      </c>
      <c r="S250" s="47">
        <v>0.34599999999999997</v>
      </c>
      <c r="T250" s="52">
        <v>362</v>
      </c>
      <c r="U250" s="53">
        <v>54.98</v>
      </c>
      <c r="V250" s="54"/>
      <c r="W250" s="54"/>
      <c r="X250" s="47">
        <v>1</v>
      </c>
      <c r="Y250" s="46">
        <v>1.2113</v>
      </c>
      <c r="Z250" s="68">
        <v>0.62209999999999999</v>
      </c>
      <c r="AA250" s="46">
        <v>9.7000000000000003E-2</v>
      </c>
      <c r="AB250" s="53">
        <v>-2.2000000000000002</v>
      </c>
      <c r="AC250" s="54">
        <v>16.96</v>
      </c>
      <c r="AD250" s="54"/>
      <c r="AE250" s="54"/>
      <c r="AF250" s="54">
        <f t="shared" si="33"/>
        <v>0.74623788909503197</v>
      </c>
      <c r="AG250" s="122">
        <v>95</v>
      </c>
      <c r="AQ250" s="33">
        <f t="shared" si="34"/>
        <v>217.07347999999999</v>
      </c>
      <c r="AS250" s="27">
        <f t="shared" si="35"/>
        <v>1460.37266</v>
      </c>
      <c r="AT250" s="33">
        <f t="shared" si="36"/>
        <v>1559.9808799999998</v>
      </c>
      <c r="BA250" s="33">
        <f t="shared" si="37"/>
        <v>172.578745</v>
      </c>
    </row>
    <row r="251" spans="1:53" x14ac:dyDescent="0.2">
      <c r="A251" s="55"/>
      <c r="B251" s="44">
        <v>2</v>
      </c>
      <c r="C251" s="45">
        <v>11.561999999999999</v>
      </c>
      <c r="D251" s="45">
        <v>28.956</v>
      </c>
      <c r="E251" s="46">
        <v>19.9862</v>
      </c>
      <c r="F251" s="44">
        <v>2.6231</v>
      </c>
      <c r="G251" s="45">
        <v>0.30599999999999999</v>
      </c>
      <c r="H251" s="47">
        <v>0.64900000000000002</v>
      </c>
      <c r="I251" s="48">
        <v>497.7</v>
      </c>
      <c r="J251" s="49">
        <v>64.25</v>
      </c>
      <c r="K251" s="54"/>
      <c r="L251" s="54"/>
      <c r="M251" s="44">
        <v>2</v>
      </c>
      <c r="N251" s="47">
        <v>11.534000000000001</v>
      </c>
      <c r="O251" s="47">
        <v>29.463999999999999</v>
      </c>
      <c r="P251" s="51">
        <v>25.1129</v>
      </c>
      <c r="Q251" s="47">
        <v>2.8012000000000001</v>
      </c>
      <c r="R251" s="56">
        <v>0.44800000000000001</v>
      </c>
      <c r="S251" s="47">
        <v>0.376</v>
      </c>
      <c r="T251" s="52">
        <v>410</v>
      </c>
      <c r="U251" s="53">
        <v>52.83</v>
      </c>
      <c r="V251" s="54"/>
      <c r="W251" s="54"/>
      <c r="X251" s="47">
        <v>2</v>
      </c>
      <c r="Y251" s="46">
        <v>1.2155</v>
      </c>
      <c r="Z251" s="68">
        <v>0.58250000000000002</v>
      </c>
      <c r="AA251" s="46">
        <v>8.9899999999999994E-2</v>
      </c>
      <c r="AB251" s="53">
        <v>-1.7</v>
      </c>
      <c r="AC251" s="54">
        <v>13.79</v>
      </c>
      <c r="AD251" s="54"/>
      <c r="AE251" s="54"/>
      <c r="AF251" s="54">
        <f t="shared" si="33"/>
        <v>0.82378943138436811</v>
      </c>
      <c r="AG251" s="123"/>
      <c r="AQ251" s="33">
        <f t="shared" si="34"/>
        <v>217.226585</v>
      </c>
      <c r="AS251" s="27">
        <f t="shared" si="35"/>
        <v>1437.19649</v>
      </c>
      <c r="AT251" s="33">
        <f t="shared" si="36"/>
        <v>1534.77748</v>
      </c>
      <c r="BA251" s="33">
        <f t="shared" si="37"/>
        <v>172.88063</v>
      </c>
    </row>
    <row r="252" spans="1:53" x14ac:dyDescent="0.2">
      <c r="A252" s="55"/>
      <c r="B252" s="44">
        <v>3</v>
      </c>
      <c r="C252" s="45">
        <v>11.494</v>
      </c>
      <c r="D252" s="45">
        <v>28.952000000000002</v>
      </c>
      <c r="E252" s="46">
        <v>20.032</v>
      </c>
      <c r="F252" s="44">
        <v>2.5653999999999999</v>
      </c>
      <c r="G252" s="45">
        <v>0.312</v>
      </c>
      <c r="H252" s="47">
        <v>0.67200000000000004</v>
      </c>
      <c r="I252" s="48">
        <v>515.4</v>
      </c>
      <c r="J252" s="49">
        <v>63.96</v>
      </c>
      <c r="K252" s="54"/>
      <c r="L252" s="54"/>
      <c r="M252" s="44">
        <v>3</v>
      </c>
      <c r="N252" s="47">
        <v>11.462</v>
      </c>
      <c r="O252" s="47">
        <v>29.463999999999999</v>
      </c>
      <c r="P252" s="51">
        <v>25.130600000000001</v>
      </c>
      <c r="Q252" s="47">
        <v>2.7378999999999998</v>
      </c>
      <c r="R252" s="56">
        <v>0.45</v>
      </c>
      <c r="S252" s="47">
        <v>0.41599999999999998</v>
      </c>
      <c r="T252" s="52">
        <v>468.8</v>
      </c>
      <c r="U252" s="53">
        <v>50.91</v>
      </c>
      <c r="V252" s="54"/>
      <c r="W252" s="54"/>
      <c r="X252" s="47">
        <v>3</v>
      </c>
      <c r="Y252" s="46">
        <v>1.2230000000000001</v>
      </c>
      <c r="Z252" s="68">
        <v>0.53120000000000001</v>
      </c>
      <c r="AA252" s="46">
        <v>7.85E-2</v>
      </c>
      <c r="AB252" s="53">
        <v>-1.1000000000000001</v>
      </c>
      <c r="AC252" s="54">
        <v>11.37</v>
      </c>
      <c r="AD252" s="54"/>
      <c r="AE252" s="54"/>
      <c r="AF252" s="54">
        <f t="shared" si="33"/>
        <v>0.90958478851377578</v>
      </c>
      <c r="AG252" s="123"/>
      <c r="AQ252" s="33">
        <f t="shared" si="34"/>
        <v>217.37969000000001</v>
      </c>
      <c r="AS252" s="27">
        <f t="shared" si="35"/>
        <v>1405.5826599999998</v>
      </c>
      <c r="AT252" s="33">
        <f t="shared" si="36"/>
        <v>1500.0954099999999</v>
      </c>
      <c r="BA252" s="33">
        <f t="shared" si="37"/>
        <v>173.27680000000001</v>
      </c>
    </row>
    <row r="253" spans="1:53" x14ac:dyDescent="0.2">
      <c r="A253" s="55"/>
      <c r="B253" s="44">
        <v>4</v>
      </c>
      <c r="C253" s="45">
        <v>11.406000000000001</v>
      </c>
      <c r="D253" s="45">
        <v>28.948</v>
      </c>
      <c r="E253" s="46">
        <v>20.089500000000001</v>
      </c>
      <c r="F253" s="44">
        <v>2.5232000000000001</v>
      </c>
      <c r="G253" s="45">
        <v>0.32100000000000001</v>
      </c>
      <c r="H253" s="47">
        <v>0.69099999999999995</v>
      </c>
      <c r="I253" s="48">
        <v>534.6</v>
      </c>
      <c r="J253" s="49">
        <v>63.48</v>
      </c>
      <c r="K253" s="54"/>
      <c r="L253" s="54"/>
      <c r="M253" s="44">
        <v>4</v>
      </c>
      <c r="N253" s="47">
        <v>11.378</v>
      </c>
      <c r="O253" s="47">
        <v>29.468</v>
      </c>
      <c r="P253" s="51">
        <v>25.1541</v>
      </c>
      <c r="Q253" s="47">
        <v>2.6905999999999999</v>
      </c>
      <c r="R253" s="56">
        <v>0.45300000000000001</v>
      </c>
      <c r="S253" s="47">
        <v>0.44900000000000001</v>
      </c>
      <c r="T253" s="52">
        <v>513.79999999999995</v>
      </c>
      <c r="U253" s="53">
        <v>49.71</v>
      </c>
      <c r="V253" s="54"/>
      <c r="W253" s="54"/>
      <c r="X253" s="47">
        <v>4</v>
      </c>
      <c r="Y253" s="46">
        <v>1.2322</v>
      </c>
      <c r="Z253" s="68">
        <v>0.49259999999999998</v>
      </c>
      <c r="AA253" s="46">
        <v>6.7799999999999999E-2</v>
      </c>
      <c r="AB253" s="53">
        <v>-0.6</v>
      </c>
      <c r="AC253" s="54">
        <v>9.9</v>
      </c>
      <c r="AD253" s="54"/>
      <c r="AE253" s="54"/>
      <c r="AF253" s="54">
        <f t="shared" si="33"/>
        <v>0.96109240553684983</v>
      </c>
      <c r="AG253" s="123"/>
      <c r="AQ253" s="33">
        <f t="shared" si="34"/>
        <v>217.582965</v>
      </c>
      <c r="AS253" s="27">
        <f t="shared" si="35"/>
        <v>1382.46128</v>
      </c>
      <c r="AT253" s="33">
        <f t="shared" si="36"/>
        <v>1474.1797399999998</v>
      </c>
      <c r="BA253" s="33">
        <f t="shared" si="37"/>
        <v>173.77417500000001</v>
      </c>
    </row>
    <row r="254" spans="1:53" x14ac:dyDescent="0.2">
      <c r="A254" s="55"/>
      <c r="B254" s="44">
        <v>5</v>
      </c>
      <c r="C254" s="45">
        <v>11.321999999999999</v>
      </c>
      <c r="D254" s="45">
        <v>28.943000000000001</v>
      </c>
      <c r="E254" s="46">
        <v>20.139700000000001</v>
      </c>
      <c r="F254" s="44">
        <v>2.5032999999999999</v>
      </c>
      <c r="G254" s="45">
        <v>0.32800000000000001</v>
      </c>
      <c r="H254" s="47">
        <v>0.70099999999999996</v>
      </c>
      <c r="I254" s="48">
        <v>549.70000000000005</v>
      </c>
      <c r="J254" s="49">
        <v>62.99</v>
      </c>
      <c r="K254" s="54"/>
      <c r="L254" s="54"/>
      <c r="M254" s="44">
        <v>5</v>
      </c>
      <c r="N254" s="47">
        <v>11.298999999999999</v>
      </c>
      <c r="O254" s="47">
        <v>29.471</v>
      </c>
      <c r="P254" s="51">
        <v>25.177700000000002</v>
      </c>
      <c r="Q254" s="47">
        <v>2.6674000000000002</v>
      </c>
      <c r="R254" s="56">
        <v>0.45500000000000002</v>
      </c>
      <c r="S254" s="47">
        <v>0.46700000000000003</v>
      </c>
      <c r="T254" s="52">
        <v>541.1</v>
      </c>
      <c r="U254" s="53">
        <v>48.91</v>
      </c>
      <c r="V254" s="54"/>
      <c r="W254" s="54"/>
      <c r="X254" s="47">
        <v>5</v>
      </c>
      <c r="Y254" s="46">
        <v>1.2411000000000001</v>
      </c>
      <c r="Z254" s="68">
        <v>0.47110000000000002</v>
      </c>
      <c r="AA254" s="46">
        <v>6.0400000000000002E-2</v>
      </c>
      <c r="AB254" s="53">
        <v>-0.27</v>
      </c>
      <c r="AC254" s="54">
        <v>9.15</v>
      </c>
      <c r="AD254" s="54"/>
      <c r="AE254" s="54"/>
      <c r="AF254" s="54">
        <f t="shared" si="33"/>
        <v>0.98435510278333638</v>
      </c>
      <c r="AG254" s="123"/>
      <c r="AQ254" s="33">
        <f t="shared" si="34"/>
        <v>217.78710500000003</v>
      </c>
      <c r="AS254" s="27">
        <f t="shared" si="35"/>
        <v>1371.5580699999998</v>
      </c>
      <c r="AT254" s="33">
        <f t="shared" si="36"/>
        <v>1461.4684600000001</v>
      </c>
      <c r="BA254" s="33">
        <f t="shared" si="37"/>
        <v>174.20840500000003</v>
      </c>
    </row>
    <row r="255" spans="1:53" x14ac:dyDescent="0.2">
      <c r="A255" s="55">
        <f>(N250+N261)/2</f>
        <v>11.1775</v>
      </c>
      <c r="B255" s="44">
        <v>6</v>
      </c>
      <c r="C255" s="45">
        <v>11.239000000000001</v>
      </c>
      <c r="D255" s="45">
        <v>28.937999999999999</v>
      </c>
      <c r="E255" s="46">
        <v>20.180900000000001</v>
      </c>
      <c r="F255" s="44">
        <v>2.4950999999999999</v>
      </c>
      <c r="G255" s="45">
        <v>0.33400000000000002</v>
      </c>
      <c r="H255" s="47">
        <v>0.70399999999999996</v>
      </c>
      <c r="I255" s="48">
        <v>560.1</v>
      </c>
      <c r="J255" s="49">
        <v>62.5</v>
      </c>
      <c r="K255" s="54"/>
      <c r="L255" s="54"/>
      <c r="M255" s="44">
        <v>6</v>
      </c>
      <c r="N255" s="47">
        <v>11.224</v>
      </c>
      <c r="O255" s="47">
        <v>29.475999999999999</v>
      </c>
      <c r="P255" s="51">
        <v>25.2013</v>
      </c>
      <c r="Q255" s="47">
        <v>2.6572</v>
      </c>
      <c r="R255" s="56">
        <v>0.45700000000000002</v>
      </c>
      <c r="S255" s="47">
        <v>0.47399999999999998</v>
      </c>
      <c r="T255" s="52">
        <v>556</v>
      </c>
      <c r="U255" s="53">
        <v>48.21</v>
      </c>
      <c r="V255" s="54"/>
      <c r="W255" s="54"/>
      <c r="X255" s="47">
        <v>6</v>
      </c>
      <c r="Y255" s="46">
        <v>1.2499</v>
      </c>
      <c r="Z255" s="68">
        <v>0.46129999999999999</v>
      </c>
      <c r="AA255" s="46">
        <v>5.57E-2</v>
      </c>
      <c r="AB255" s="53">
        <v>-0.09</v>
      </c>
      <c r="AC255" s="54">
        <v>8.75</v>
      </c>
      <c r="AD255" s="54"/>
      <c r="AE255" s="54"/>
      <c r="AF255" s="54">
        <f t="shared" si="33"/>
        <v>0.99267987859310836</v>
      </c>
      <c r="AG255" s="123"/>
      <c r="AQ255" s="33">
        <f t="shared" si="34"/>
        <v>217.99124500000002</v>
      </c>
      <c r="AS255" s="27">
        <f t="shared" si="35"/>
        <v>1367.0652899999998</v>
      </c>
      <c r="AT255" s="33">
        <f t="shared" si="36"/>
        <v>1455.87988</v>
      </c>
      <c r="BA255" s="33">
        <f t="shared" si="37"/>
        <v>174.56478500000003</v>
      </c>
    </row>
    <row r="256" spans="1:53" x14ac:dyDescent="0.2">
      <c r="A256" s="55">
        <f>PI()*(N250^2-N261^2)</f>
        <v>56.114012713028799</v>
      </c>
      <c r="B256" s="44">
        <v>7</v>
      </c>
      <c r="C256" s="45">
        <v>11.157</v>
      </c>
      <c r="D256" s="45">
        <v>28.933</v>
      </c>
      <c r="E256" s="46">
        <v>20.212499999999999</v>
      </c>
      <c r="F256" s="44">
        <v>2.4944000000000002</v>
      </c>
      <c r="G256" s="45">
        <v>0.33800000000000002</v>
      </c>
      <c r="H256" s="47">
        <v>0.70099999999999996</v>
      </c>
      <c r="I256" s="48">
        <v>560.29999999999995</v>
      </c>
      <c r="J256" s="49">
        <v>62.03</v>
      </c>
      <c r="K256" s="54"/>
      <c r="L256" s="54"/>
      <c r="M256" s="44">
        <v>7</v>
      </c>
      <c r="N256" s="47">
        <v>11.148999999999999</v>
      </c>
      <c r="O256" s="47">
        <v>29.481999999999999</v>
      </c>
      <c r="P256" s="51">
        <v>25.224799999999998</v>
      </c>
      <c r="Q256" s="47">
        <v>2.6558000000000002</v>
      </c>
      <c r="R256" s="56">
        <v>0.46100000000000002</v>
      </c>
      <c r="S256" s="47">
        <v>0.47199999999999998</v>
      </c>
      <c r="T256" s="52">
        <v>561.20000000000005</v>
      </c>
      <c r="U256" s="53">
        <v>47.48</v>
      </c>
      <c r="V256" s="54"/>
      <c r="W256" s="54"/>
      <c r="X256" s="47">
        <v>7</v>
      </c>
      <c r="Y256" s="46">
        <v>1.2585999999999999</v>
      </c>
      <c r="Z256" s="68">
        <v>0.46139999999999998</v>
      </c>
      <c r="AA256" s="46">
        <v>5.5300000000000002E-2</v>
      </c>
      <c r="AB256" s="53">
        <v>0</v>
      </c>
      <c r="AC256" s="54">
        <v>8.58</v>
      </c>
      <c r="AD256" s="54"/>
      <c r="AE256" s="54"/>
      <c r="AF256" s="54">
        <f t="shared" si="33"/>
        <v>1.0016062823487419</v>
      </c>
      <c r="AG256" s="123"/>
      <c r="AQ256" s="33">
        <f t="shared" si="34"/>
        <v>218.19451999999998</v>
      </c>
      <c r="AS256" s="27">
        <f t="shared" si="35"/>
        <v>1366.6817599999999</v>
      </c>
      <c r="AT256" s="33">
        <f t="shared" si="36"/>
        <v>1455.1128200000001</v>
      </c>
      <c r="BA256" s="33">
        <f t="shared" si="37"/>
        <v>174.83812499999999</v>
      </c>
    </row>
    <row r="257" spans="1:53" x14ac:dyDescent="0.2">
      <c r="A257" s="55"/>
      <c r="B257" s="44">
        <v>8</v>
      </c>
      <c r="C257" s="45">
        <v>11.074999999999999</v>
      </c>
      <c r="D257" s="45">
        <v>28.928999999999998</v>
      </c>
      <c r="E257" s="46">
        <v>20.23</v>
      </c>
      <c r="F257" s="44">
        <v>2.5041000000000002</v>
      </c>
      <c r="G257" s="45">
        <v>0.33900000000000002</v>
      </c>
      <c r="H257" s="47">
        <v>0.69099999999999995</v>
      </c>
      <c r="I257" s="48">
        <v>568</v>
      </c>
      <c r="J257" s="49">
        <v>61.56</v>
      </c>
      <c r="K257" s="54"/>
      <c r="L257" s="54"/>
      <c r="M257" s="44">
        <v>8</v>
      </c>
      <c r="N257" s="47">
        <v>11.074</v>
      </c>
      <c r="O257" s="47">
        <v>29.491</v>
      </c>
      <c r="P257" s="51">
        <v>25.2484</v>
      </c>
      <c r="Q257" s="47">
        <v>2.6663000000000001</v>
      </c>
      <c r="R257" s="56">
        <v>0.46400000000000002</v>
      </c>
      <c r="S257" s="47">
        <v>0.46</v>
      </c>
      <c r="T257" s="52">
        <v>557.29999999999995</v>
      </c>
      <c r="U257" s="53">
        <v>46.61</v>
      </c>
      <c r="V257" s="54"/>
      <c r="W257" s="54"/>
      <c r="X257" s="47">
        <v>8</v>
      </c>
      <c r="Y257" s="46">
        <v>1.2675000000000001</v>
      </c>
      <c r="Z257" s="68">
        <v>0.4718</v>
      </c>
      <c r="AA257" s="46">
        <v>5.8099999999999999E-2</v>
      </c>
      <c r="AB257" s="53">
        <v>-7.0000000000000007E-2</v>
      </c>
      <c r="AC257" s="54">
        <v>8.76</v>
      </c>
      <c r="AD257" s="54"/>
      <c r="AE257" s="54"/>
      <c r="AF257" s="54">
        <f t="shared" si="33"/>
        <v>0.98116197183098586</v>
      </c>
      <c r="AG257" s="123"/>
      <c r="AQ257" s="33">
        <f t="shared" si="34"/>
        <v>218.39866000000001</v>
      </c>
      <c r="AS257" s="27">
        <f t="shared" si="35"/>
        <v>1371.99639</v>
      </c>
      <c r="AT257" s="33">
        <f t="shared" si="36"/>
        <v>1460.8657700000001</v>
      </c>
      <c r="BA257" s="33">
        <f t="shared" si="37"/>
        <v>174.98950000000002</v>
      </c>
    </row>
    <row r="258" spans="1:53" x14ac:dyDescent="0.2">
      <c r="A258" s="55"/>
      <c r="B258" s="44">
        <v>9</v>
      </c>
      <c r="C258" s="45">
        <v>10.992000000000001</v>
      </c>
      <c r="D258" s="45">
        <v>28.923999999999999</v>
      </c>
      <c r="E258" s="46">
        <v>20.235299999999999</v>
      </c>
      <c r="F258" s="46">
        <v>2.5230000000000001</v>
      </c>
      <c r="G258" s="45">
        <v>0.33900000000000002</v>
      </c>
      <c r="H258" s="47">
        <v>0.67700000000000005</v>
      </c>
      <c r="I258" s="48">
        <v>566.1</v>
      </c>
      <c r="J258" s="49">
        <v>61.12</v>
      </c>
      <c r="K258" s="54"/>
      <c r="L258" s="54"/>
      <c r="M258" s="44">
        <v>9</v>
      </c>
      <c r="N258" s="47">
        <v>10.997</v>
      </c>
      <c r="O258" s="47">
        <v>29.501999999999999</v>
      </c>
      <c r="P258" s="51">
        <v>25.271899999999999</v>
      </c>
      <c r="Q258" s="47">
        <v>2.6873999999999998</v>
      </c>
      <c r="R258" s="56">
        <v>0.46899999999999997</v>
      </c>
      <c r="S258" s="47">
        <v>0.441</v>
      </c>
      <c r="T258" s="52">
        <v>546.6</v>
      </c>
      <c r="U258" s="53">
        <v>45.57</v>
      </c>
      <c r="V258" s="54"/>
      <c r="W258" s="54"/>
      <c r="X258" s="47">
        <v>9</v>
      </c>
      <c r="Y258" s="46">
        <v>1.2767999999999999</v>
      </c>
      <c r="Z258" s="68">
        <v>0.49049999999999999</v>
      </c>
      <c r="AA258" s="46">
        <v>6.3700000000000007E-2</v>
      </c>
      <c r="AB258" s="53">
        <v>-0.23</v>
      </c>
      <c r="AC258" s="54">
        <v>9.1999999999999993</v>
      </c>
      <c r="AD258" s="54"/>
      <c r="AE258" s="54"/>
      <c r="AF258" s="54">
        <f t="shared" si="33"/>
        <v>0.96555378908320089</v>
      </c>
      <c r="AG258" s="123"/>
      <c r="AQ258" s="33">
        <f t="shared" si="34"/>
        <v>218.601935</v>
      </c>
      <c r="AS258" s="27">
        <f t="shared" si="35"/>
        <v>1382.3516999999999</v>
      </c>
      <c r="AT258" s="33">
        <f t="shared" si="36"/>
        <v>1472.4264599999999</v>
      </c>
      <c r="BA258" s="33">
        <f t="shared" si="37"/>
        <v>175.03534500000001</v>
      </c>
    </row>
    <row r="259" spans="1:53" x14ac:dyDescent="0.2">
      <c r="A259" s="55"/>
      <c r="B259" s="44">
        <v>10</v>
      </c>
      <c r="C259" s="45">
        <v>10.907</v>
      </c>
      <c r="D259" s="45">
        <v>28.919</v>
      </c>
      <c r="E259" s="46">
        <v>20.2319</v>
      </c>
      <c r="F259" s="44">
        <v>2.5619000000000001</v>
      </c>
      <c r="G259" s="45">
        <v>0.33700000000000002</v>
      </c>
      <c r="H259" s="47">
        <v>0.65600000000000003</v>
      </c>
      <c r="I259" s="48">
        <v>561.9</v>
      </c>
      <c r="J259" s="49">
        <v>60.57</v>
      </c>
      <c r="K259" s="54"/>
      <c r="L259" s="54"/>
      <c r="M259" s="44">
        <v>10</v>
      </c>
      <c r="N259" s="47">
        <v>10.916</v>
      </c>
      <c r="O259" s="47">
        <v>29.515999999999998</v>
      </c>
      <c r="P259" s="51">
        <v>25.295500000000001</v>
      </c>
      <c r="Q259" s="47">
        <v>2.7301000000000002</v>
      </c>
      <c r="R259" s="56">
        <v>0.47299999999999998</v>
      </c>
      <c r="S259" s="47">
        <v>0.41199999999999998</v>
      </c>
      <c r="T259" s="52">
        <v>525.5</v>
      </c>
      <c r="U259" s="53">
        <v>44.27</v>
      </c>
      <c r="V259" s="54"/>
      <c r="W259" s="54"/>
      <c r="X259" s="47">
        <v>10</v>
      </c>
      <c r="Y259" s="46">
        <v>1.2865</v>
      </c>
      <c r="Z259" s="68">
        <v>0.52310000000000001</v>
      </c>
      <c r="AA259" s="46">
        <v>7.2400000000000006E-2</v>
      </c>
      <c r="AB259" s="53">
        <v>-0.62</v>
      </c>
      <c r="AC259" s="54">
        <v>10</v>
      </c>
      <c r="AD259" s="54"/>
      <c r="AE259" s="54"/>
      <c r="AF259" s="54">
        <f t="shared" ref="AF259:AF274" si="38">T259/I259</f>
        <v>0.93521978999822031</v>
      </c>
      <c r="AG259" s="123"/>
      <c r="AQ259" s="33">
        <f t="shared" si="34"/>
        <v>218.80607500000002</v>
      </c>
      <c r="AS259" s="27">
        <f t="shared" si="35"/>
        <v>1403.6650099999999</v>
      </c>
      <c r="AT259" s="33">
        <f t="shared" si="36"/>
        <v>1495.82179</v>
      </c>
      <c r="BA259" s="33">
        <f t="shared" si="37"/>
        <v>175.00593499999999</v>
      </c>
    </row>
    <row r="260" spans="1:53" x14ac:dyDescent="0.2">
      <c r="A260" s="55"/>
      <c r="B260" s="44">
        <v>11</v>
      </c>
      <c r="C260" s="45">
        <v>10.818</v>
      </c>
      <c r="D260" s="45">
        <v>28.913</v>
      </c>
      <c r="E260" s="46">
        <v>20.2136</v>
      </c>
      <c r="F260" s="44">
        <v>2.6269</v>
      </c>
      <c r="G260" s="45">
        <v>0.33500000000000002</v>
      </c>
      <c r="H260" s="47">
        <v>0.624</v>
      </c>
      <c r="I260" s="48">
        <v>552.6</v>
      </c>
      <c r="J260" s="49">
        <v>59.89</v>
      </c>
      <c r="K260" s="54"/>
      <c r="L260" s="54"/>
      <c r="M260" s="44">
        <v>11</v>
      </c>
      <c r="N260" s="47">
        <v>10.827</v>
      </c>
      <c r="O260" s="47">
        <v>29.530999999999999</v>
      </c>
      <c r="P260" s="51">
        <v>25.318999999999999</v>
      </c>
      <c r="Q260" s="47">
        <v>2.8008999999999999</v>
      </c>
      <c r="R260" s="56">
        <v>0.47899999999999998</v>
      </c>
      <c r="S260" s="47">
        <v>0.36399999999999999</v>
      </c>
      <c r="T260" s="52">
        <v>481.9</v>
      </c>
      <c r="U260" s="53">
        <v>42.8</v>
      </c>
      <c r="V260" s="54"/>
      <c r="W260" s="54"/>
      <c r="X260" s="47">
        <v>11</v>
      </c>
      <c r="Y260" s="46">
        <v>1.2969999999999999</v>
      </c>
      <c r="Z260" s="68">
        <v>0.58140000000000003</v>
      </c>
      <c r="AA260" s="46">
        <v>8.4000000000000005E-2</v>
      </c>
      <c r="AB260" s="53">
        <v>-1.35</v>
      </c>
      <c r="AC260" s="54">
        <v>11.4</v>
      </c>
      <c r="AD260" s="54"/>
      <c r="AE260" s="54"/>
      <c r="AF260" s="54">
        <f t="shared" si="38"/>
        <v>0.87205935577271076</v>
      </c>
      <c r="AG260" s="123"/>
      <c r="AQ260" s="33">
        <f t="shared" ref="AQ260:AQ274" si="39">P260*8.65</f>
        <v>219.00935000000001</v>
      </c>
      <c r="AS260" s="27">
        <f t="shared" ref="AS260:AS274" si="40">F260*547.9</f>
        <v>1439.2785099999999</v>
      </c>
      <c r="AT260" s="33">
        <f t="shared" ref="AT260:AT274" si="41">Q260*547.9</f>
        <v>1534.61311</v>
      </c>
      <c r="BA260" s="33">
        <f t="shared" ref="BA260:BA274" si="42">E260*8.65</f>
        <v>174.84764000000001</v>
      </c>
    </row>
    <row r="261" spans="1:53" x14ac:dyDescent="0.2">
      <c r="A261" s="55"/>
      <c r="B261" s="44">
        <v>12</v>
      </c>
      <c r="C261" s="45">
        <v>10.772</v>
      </c>
      <c r="D261" s="45">
        <v>28.91</v>
      </c>
      <c r="E261" s="46">
        <v>20.200800000000001</v>
      </c>
      <c r="F261" s="44">
        <v>2.6720999999999999</v>
      </c>
      <c r="G261" s="45">
        <v>0.33300000000000002</v>
      </c>
      <c r="H261" s="47">
        <v>0.60299999999999998</v>
      </c>
      <c r="I261" s="48">
        <v>545.5</v>
      </c>
      <c r="J261" s="49">
        <v>59.43</v>
      </c>
      <c r="K261" s="54"/>
      <c r="L261" s="54"/>
      <c r="M261" s="44">
        <v>12</v>
      </c>
      <c r="N261" s="47">
        <v>10.778</v>
      </c>
      <c r="O261" s="47">
        <v>29.538</v>
      </c>
      <c r="P261" s="51">
        <v>25.3308</v>
      </c>
      <c r="Q261" s="47">
        <v>2.8496000000000001</v>
      </c>
      <c r="R261" s="56">
        <v>0.48199999999999998</v>
      </c>
      <c r="S261" s="47">
        <v>0.32900000000000001</v>
      </c>
      <c r="T261" s="52">
        <v>443.2</v>
      </c>
      <c r="U261" s="53">
        <v>42.22</v>
      </c>
      <c r="V261" s="54"/>
      <c r="W261" s="54"/>
      <c r="X261" s="47">
        <v>12</v>
      </c>
      <c r="Y261" s="46">
        <v>1.3028</v>
      </c>
      <c r="Z261" s="68">
        <v>0.62880000000000003</v>
      </c>
      <c r="AA261" s="46">
        <v>9.0999999999999998E-2</v>
      </c>
      <c r="AB261" s="53">
        <v>-2</v>
      </c>
      <c r="AC261" s="54">
        <v>12.35</v>
      </c>
      <c r="AD261" s="54"/>
      <c r="AE261" s="54"/>
      <c r="AF261" s="54">
        <f t="shared" si="38"/>
        <v>0.81246562786434462</v>
      </c>
      <c r="AG261" s="123"/>
      <c r="AQ261" s="33">
        <f t="shared" si="39"/>
        <v>219.11142000000001</v>
      </c>
      <c r="AS261" s="27">
        <f t="shared" si="40"/>
        <v>1464.04359</v>
      </c>
      <c r="AT261" s="33">
        <f t="shared" si="41"/>
        <v>1561.29584</v>
      </c>
      <c r="BA261" s="33">
        <f t="shared" si="42"/>
        <v>174.73692000000003</v>
      </c>
    </row>
    <row r="262" spans="1:53" x14ac:dyDescent="0.2">
      <c r="A262" s="43" t="s">
        <v>133</v>
      </c>
      <c r="B262" s="58"/>
      <c r="C262" s="58"/>
      <c r="D262" s="58"/>
      <c r="E262" s="58"/>
      <c r="F262" s="58"/>
      <c r="G262" s="58"/>
      <c r="H262" s="54"/>
      <c r="I262" s="58"/>
      <c r="J262" s="58"/>
      <c r="K262" s="54"/>
      <c r="L262" s="54"/>
      <c r="M262" s="58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8"/>
      <c r="Z262" s="58"/>
      <c r="AA262" s="58"/>
      <c r="AB262" s="54"/>
      <c r="AC262" s="54"/>
      <c r="AD262" s="54"/>
      <c r="AE262" s="54"/>
      <c r="AF262" s="54" t="e">
        <f t="shared" si="38"/>
        <v>#DIV/0!</v>
      </c>
      <c r="AG262" s="57"/>
    </row>
    <row r="263" spans="1:53" x14ac:dyDescent="0.2">
      <c r="A263" s="55"/>
      <c r="B263" s="58">
        <v>1</v>
      </c>
      <c r="C263" s="59">
        <v>11.558</v>
      </c>
      <c r="D263" s="58">
        <v>29.911000000000001</v>
      </c>
      <c r="E263" s="63">
        <v>29.095199999999998</v>
      </c>
      <c r="F263" s="63">
        <v>2.8472</v>
      </c>
      <c r="G263" s="58">
        <v>0.45300000000000001</v>
      </c>
      <c r="H263" s="54">
        <v>0</v>
      </c>
      <c r="I263" s="61">
        <v>387</v>
      </c>
      <c r="J263" s="58">
        <v>61.99</v>
      </c>
      <c r="K263" s="66">
        <v>-0.44</v>
      </c>
      <c r="L263" s="54"/>
      <c r="M263" s="58">
        <v>1</v>
      </c>
      <c r="N263" s="60">
        <v>11.552</v>
      </c>
      <c r="O263" s="60">
        <v>30.79</v>
      </c>
      <c r="P263" s="65">
        <v>24.740100000000002</v>
      </c>
      <c r="Q263" s="65">
        <v>2.8472</v>
      </c>
      <c r="R263" s="60">
        <v>0.26300000000000001</v>
      </c>
      <c r="S263" s="60"/>
      <c r="T263" s="62">
        <v>482</v>
      </c>
      <c r="U263" s="66">
        <v>4</v>
      </c>
      <c r="V263" s="66">
        <v>0</v>
      </c>
      <c r="W263" s="54"/>
      <c r="X263" s="54">
        <v>1</v>
      </c>
      <c r="Y263" s="63">
        <v>1.0253000000000001</v>
      </c>
      <c r="Z263" s="63">
        <v>0.63239999999999996</v>
      </c>
      <c r="AA263" s="63">
        <v>0.111</v>
      </c>
      <c r="AB263" s="66">
        <v>-3</v>
      </c>
      <c r="AC263" s="54">
        <v>12.93</v>
      </c>
      <c r="AD263" s="54"/>
      <c r="AE263" s="54"/>
      <c r="AF263" s="54">
        <f t="shared" si="38"/>
        <v>1.2454780361757105</v>
      </c>
      <c r="AG263" s="122">
        <v>140</v>
      </c>
      <c r="AQ263" s="33">
        <f t="shared" si="39"/>
        <v>214.00186500000004</v>
      </c>
      <c r="AS263" s="27">
        <f t="shared" si="40"/>
        <v>1559.9808799999998</v>
      </c>
      <c r="AT263" s="33">
        <f t="shared" si="41"/>
        <v>1559.9808799999998</v>
      </c>
      <c r="BA263" s="33">
        <f t="shared" si="42"/>
        <v>251.67347999999998</v>
      </c>
    </row>
    <row r="264" spans="1:53" x14ac:dyDescent="0.2">
      <c r="A264" s="55"/>
      <c r="B264" s="58">
        <v>2</v>
      </c>
      <c r="C264" s="59">
        <v>11.516999999999999</v>
      </c>
      <c r="D264" s="58">
        <v>29.922999999999998</v>
      </c>
      <c r="E264" s="63">
        <v>25.1129</v>
      </c>
      <c r="F264" s="63">
        <v>2.8012000000000001</v>
      </c>
      <c r="G264" s="58">
        <v>0.45400000000000001</v>
      </c>
      <c r="H264" s="54">
        <v>0</v>
      </c>
      <c r="I264" s="61">
        <v>429.7</v>
      </c>
      <c r="J264" s="58">
        <v>58.41</v>
      </c>
      <c r="K264" s="66">
        <v>-1.34</v>
      </c>
      <c r="L264" s="54"/>
      <c r="M264" s="58">
        <v>2</v>
      </c>
      <c r="N264" s="60">
        <v>11.519</v>
      </c>
      <c r="O264" s="60">
        <v>30.79</v>
      </c>
      <c r="P264" s="65">
        <v>24.770399999999999</v>
      </c>
      <c r="Q264" s="65">
        <v>2.8012000000000001</v>
      </c>
      <c r="R264" s="60">
        <v>0.26500000000000001</v>
      </c>
      <c r="S264" s="60"/>
      <c r="T264" s="62">
        <v>483.6</v>
      </c>
      <c r="U264" s="66">
        <v>3.38</v>
      </c>
      <c r="V264" s="66">
        <v>1.84</v>
      </c>
      <c r="W264" s="54"/>
      <c r="X264" s="54">
        <v>2</v>
      </c>
      <c r="Y264" s="63">
        <v>1.8781000000000001</v>
      </c>
      <c r="Z264" s="63">
        <v>0.62649999999999995</v>
      </c>
      <c r="AA264" s="63">
        <v>0.10630000000000001</v>
      </c>
      <c r="AB264" s="66">
        <v>-2.0299999999999998</v>
      </c>
      <c r="AC264" s="54">
        <v>11.06</v>
      </c>
      <c r="AD264" s="54"/>
      <c r="AE264" s="54"/>
      <c r="AF264" s="54">
        <f t="shared" si="38"/>
        <v>1.125436350942518</v>
      </c>
      <c r="AG264" s="123"/>
      <c r="AQ264" s="33">
        <f t="shared" si="39"/>
        <v>214.26396</v>
      </c>
      <c r="AS264" s="27">
        <f t="shared" si="40"/>
        <v>1534.77748</v>
      </c>
      <c r="AT264" s="33">
        <f t="shared" si="41"/>
        <v>1534.77748</v>
      </c>
      <c r="BA264" s="33">
        <f t="shared" si="42"/>
        <v>217.226585</v>
      </c>
    </row>
    <row r="265" spans="1:53" x14ac:dyDescent="0.2">
      <c r="A265" s="55"/>
      <c r="B265" s="58">
        <v>3</v>
      </c>
      <c r="C265" s="59">
        <v>11.448</v>
      </c>
      <c r="D265" s="58">
        <v>29.942</v>
      </c>
      <c r="E265" s="63">
        <v>25.130600000000001</v>
      </c>
      <c r="F265" s="63">
        <v>2.7378999999999998</v>
      </c>
      <c r="G265" s="58">
        <v>0.45600000000000002</v>
      </c>
      <c r="H265" s="54">
        <v>0</v>
      </c>
      <c r="I265" s="61">
        <v>485.1</v>
      </c>
      <c r="J265" s="58">
        <v>53.45</v>
      </c>
      <c r="K265" s="66">
        <v>-0.8</v>
      </c>
      <c r="L265" s="54"/>
      <c r="M265" s="58">
        <v>3</v>
      </c>
      <c r="N265" s="60">
        <v>11.457000000000001</v>
      </c>
      <c r="O265" s="60">
        <v>30.79</v>
      </c>
      <c r="P265" s="65">
        <v>24.812799999999999</v>
      </c>
      <c r="Q265" s="65">
        <v>2.7378999999999998</v>
      </c>
      <c r="R265" s="60">
        <v>0.26900000000000002</v>
      </c>
      <c r="S265" s="60"/>
      <c r="T265" s="62">
        <v>485</v>
      </c>
      <c r="U265" s="66">
        <v>2.34</v>
      </c>
      <c r="V265" s="66">
        <v>1.93</v>
      </c>
      <c r="W265" s="54"/>
      <c r="X265" s="54">
        <v>3</v>
      </c>
      <c r="Y265" s="63">
        <v>1.8056000000000001</v>
      </c>
      <c r="Z265" s="63">
        <v>0.61939999999999995</v>
      </c>
      <c r="AA265" s="63">
        <v>9.7699999999999995E-2</v>
      </c>
      <c r="AB265" s="66">
        <v>-0.83</v>
      </c>
      <c r="AC265" s="54">
        <v>8.84</v>
      </c>
      <c r="AD265" s="54"/>
      <c r="AE265" s="54"/>
      <c r="AF265" s="54">
        <f t="shared" si="38"/>
        <v>0.99979385693671408</v>
      </c>
      <c r="AG265" s="123"/>
      <c r="AQ265" s="33">
        <f t="shared" si="39"/>
        <v>214.63072</v>
      </c>
      <c r="AS265" s="27">
        <f t="shared" si="40"/>
        <v>1500.0954099999999</v>
      </c>
      <c r="AT265" s="33">
        <f t="shared" si="41"/>
        <v>1500.0954099999999</v>
      </c>
      <c r="BA265" s="33">
        <f t="shared" si="42"/>
        <v>217.37969000000001</v>
      </c>
    </row>
    <row r="266" spans="1:53" x14ac:dyDescent="0.2">
      <c r="A266" s="55"/>
      <c r="B266" s="58">
        <v>4</v>
      </c>
      <c r="C266" s="59">
        <v>11.365</v>
      </c>
      <c r="D266" s="58">
        <v>29.965</v>
      </c>
      <c r="E266" s="63">
        <v>25.1541</v>
      </c>
      <c r="F266" s="63">
        <v>2.6905999999999999</v>
      </c>
      <c r="G266" s="58">
        <v>0.45800000000000002</v>
      </c>
      <c r="H266" s="54">
        <v>0</v>
      </c>
      <c r="I266" s="61">
        <v>529.20000000000005</v>
      </c>
      <c r="J266" s="58">
        <v>49.33</v>
      </c>
      <c r="K266" s="66">
        <v>-0.49</v>
      </c>
      <c r="L266" s="54"/>
      <c r="M266" s="58">
        <v>4</v>
      </c>
      <c r="N266" s="60">
        <v>11.375999999999999</v>
      </c>
      <c r="O266" s="60">
        <v>30.79</v>
      </c>
      <c r="P266" s="65">
        <v>24.865500000000001</v>
      </c>
      <c r="Q266" s="65">
        <v>2.6905999999999999</v>
      </c>
      <c r="R266" s="60">
        <v>0.27400000000000002</v>
      </c>
      <c r="S266" s="60"/>
      <c r="T266" s="62">
        <v>490</v>
      </c>
      <c r="U266" s="66">
        <v>1.27</v>
      </c>
      <c r="V266" s="66">
        <v>1.7</v>
      </c>
      <c r="W266" s="54"/>
      <c r="X266" s="54">
        <v>4</v>
      </c>
      <c r="Y266" s="63">
        <v>1.7358</v>
      </c>
      <c r="Z266" s="63">
        <v>0.61070000000000002</v>
      </c>
      <c r="AA266" s="63">
        <v>8.77E-2</v>
      </c>
      <c r="AB266" s="66">
        <v>-0.06</v>
      </c>
      <c r="AC266" s="54">
        <v>6.68</v>
      </c>
      <c r="AD266" s="54"/>
      <c r="AE266" s="54"/>
      <c r="AF266" s="54">
        <f t="shared" si="38"/>
        <v>0.92592592592592582</v>
      </c>
      <c r="AG266" s="123"/>
      <c r="AQ266" s="33">
        <f t="shared" si="39"/>
        <v>215.08657500000001</v>
      </c>
      <c r="AS266" s="27">
        <f t="shared" si="40"/>
        <v>1474.1797399999998</v>
      </c>
      <c r="AT266" s="33">
        <f t="shared" si="41"/>
        <v>1474.1797399999998</v>
      </c>
      <c r="BA266" s="33">
        <f t="shared" si="42"/>
        <v>217.582965</v>
      </c>
    </row>
    <row r="267" spans="1:53" x14ac:dyDescent="0.2">
      <c r="A267" s="55"/>
      <c r="B267" s="58">
        <v>5</v>
      </c>
      <c r="C267" s="59">
        <v>11.289</v>
      </c>
      <c r="D267" s="58">
        <v>29.984000000000002</v>
      </c>
      <c r="E267" s="63">
        <v>25.177700000000002</v>
      </c>
      <c r="F267" s="63">
        <v>2.6674000000000002</v>
      </c>
      <c r="G267" s="58">
        <v>0.46</v>
      </c>
      <c r="H267" s="54">
        <v>0</v>
      </c>
      <c r="I267" s="61">
        <v>554.9</v>
      </c>
      <c r="J267" s="58">
        <v>46.9</v>
      </c>
      <c r="K267" s="66">
        <v>-0.4</v>
      </c>
      <c r="L267" s="54"/>
      <c r="M267" s="58">
        <v>5</v>
      </c>
      <c r="N267" s="60">
        <v>11.295999999999999</v>
      </c>
      <c r="O267" s="60">
        <v>30.79</v>
      </c>
      <c r="P267" s="65">
        <v>24.910900000000002</v>
      </c>
      <c r="Q267" s="65">
        <v>2.6674000000000002</v>
      </c>
      <c r="R267" s="60">
        <v>0.27800000000000002</v>
      </c>
      <c r="S267" s="60"/>
      <c r="T267" s="62">
        <v>496</v>
      </c>
      <c r="U267" s="66">
        <v>0.53</v>
      </c>
      <c r="V267" s="66">
        <v>1.17</v>
      </c>
      <c r="W267" s="54"/>
      <c r="X267" s="54">
        <v>5</v>
      </c>
      <c r="Y267" s="63">
        <v>1.6881999999999999</v>
      </c>
      <c r="Z267" s="63">
        <v>0.60370000000000001</v>
      </c>
      <c r="AA267" s="63">
        <v>8.0299999999999996E-2</v>
      </c>
      <c r="AB267" s="66">
        <v>0</v>
      </c>
      <c r="AC267" s="54">
        <v>5.42</v>
      </c>
      <c r="AD267" s="54"/>
      <c r="AE267" s="54"/>
      <c r="AF267" s="54">
        <f t="shared" si="38"/>
        <v>0.89385474860335201</v>
      </c>
      <c r="AG267" s="123"/>
      <c r="AQ267" s="33">
        <f t="shared" si="39"/>
        <v>215.47928500000003</v>
      </c>
      <c r="AS267" s="27">
        <f t="shared" si="40"/>
        <v>1461.4684600000001</v>
      </c>
      <c r="AT267" s="33">
        <f t="shared" si="41"/>
        <v>1461.4684600000001</v>
      </c>
      <c r="BA267" s="33">
        <f t="shared" si="42"/>
        <v>217.78710500000003</v>
      </c>
    </row>
    <row r="268" spans="1:53" x14ac:dyDescent="0.2">
      <c r="A268" s="55">
        <f>(N263+N274)/2</f>
        <v>11.161</v>
      </c>
      <c r="B268" s="58">
        <v>6</v>
      </c>
      <c r="C268" s="59">
        <v>11.215</v>
      </c>
      <c r="D268" s="58">
        <v>29.998000000000001</v>
      </c>
      <c r="E268" s="63">
        <v>25.2013</v>
      </c>
      <c r="F268" s="63">
        <v>2.6572</v>
      </c>
      <c r="G268" s="58">
        <v>0.46300000000000002</v>
      </c>
      <c r="H268" s="54">
        <v>0</v>
      </c>
      <c r="I268" s="61">
        <v>568.20000000000005</v>
      </c>
      <c r="J268" s="58">
        <v>45.76</v>
      </c>
      <c r="K268" s="66">
        <v>-0.51</v>
      </c>
      <c r="L268" s="54"/>
      <c r="M268" s="58">
        <v>6</v>
      </c>
      <c r="N268" s="60">
        <v>11.217000000000001</v>
      </c>
      <c r="O268" s="60">
        <v>30.79</v>
      </c>
      <c r="P268" s="65">
        <v>24.946100000000001</v>
      </c>
      <c r="Q268" s="65">
        <v>2.6572</v>
      </c>
      <c r="R268" s="60">
        <v>0.28199999999999997</v>
      </c>
      <c r="S268" s="60"/>
      <c r="T268" s="62">
        <v>501.1</v>
      </c>
      <c r="U268" s="66">
        <v>0.11</v>
      </c>
      <c r="V268" s="66">
        <v>0.78</v>
      </c>
      <c r="W268" s="54"/>
      <c r="X268" s="54">
        <v>6</v>
      </c>
      <c r="Y268" s="63">
        <v>1.6625000000000001</v>
      </c>
      <c r="Z268" s="63">
        <v>0.59970000000000001</v>
      </c>
      <c r="AA268" s="63">
        <v>7.6100000000000001E-2</v>
      </c>
      <c r="AB268" s="66">
        <v>0</v>
      </c>
      <c r="AC268" s="54">
        <v>4.91</v>
      </c>
      <c r="AD268" s="54"/>
      <c r="AE268" s="54"/>
      <c r="AF268" s="54">
        <f t="shared" si="38"/>
        <v>0.88190777895107353</v>
      </c>
      <c r="AG268" s="123"/>
      <c r="AQ268" s="33">
        <f t="shared" si="39"/>
        <v>215.78376500000002</v>
      </c>
      <c r="AS268" s="27">
        <f t="shared" si="40"/>
        <v>1455.87988</v>
      </c>
      <c r="AT268" s="33">
        <f t="shared" si="41"/>
        <v>1455.87988</v>
      </c>
      <c r="BA268" s="33">
        <f t="shared" si="42"/>
        <v>217.99124500000002</v>
      </c>
    </row>
    <row r="269" spans="1:53" x14ac:dyDescent="0.2">
      <c r="A269" s="55">
        <f>PI()*(N263^2-N274^2)</f>
        <v>54.839025608903327</v>
      </c>
      <c r="B269" s="58">
        <v>7</v>
      </c>
      <c r="C269" s="59">
        <v>11.141</v>
      </c>
      <c r="D269" s="58">
        <v>30.004000000000001</v>
      </c>
      <c r="E269" s="63">
        <v>25.224799999999998</v>
      </c>
      <c r="F269" s="63">
        <v>2.6558000000000002</v>
      </c>
      <c r="G269" s="58">
        <v>0.46500000000000002</v>
      </c>
      <c r="H269" s="54">
        <v>0</v>
      </c>
      <c r="I269" s="61">
        <v>572.1</v>
      </c>
      <c r="J269" s="58">
        <v>45.66</v>
      </c>
      <c r="K269" s="66">
        <v>-0.68</v>
      </c>
      <c r="L269" s="54"/>
      <c r="M269" s="58">
        <v>7</v>
      </c>
      <c r="N269" s="60">
        <v>11.138</v>
      </c>
      <c r="O269" s="60">
        <v>30.79</v>
      </c>
      <c r="P269" s="65">
        <v>24.97</v>
      </c>
      <c r="Q269" s="65">
        <v>2.6558000000000002</v>
      </c>
      <c r="R269" s="60">
        <v>0.28299999999999997</v>
      </c>
      <c r="S269" s="60"/>
      <c r="T269" s="62">
        <v>504.2</v>
      </c>
      <c r="U269" s="66">
        <v>0.02</v>
      </c>
      <c r="V269" s="66">
        <v>0.41</v>
      </c>
      <c r="W269" s="54"/>
      <c r="X269" s="54">
        <v>7</v>
      </c>
      <c r="Y269" s="63">
        <v>1.6611</v>
      </c>
      <c r="Z269" s="63">
        <v>0.59919999999999995</v>
      </c>
      <c r="AA269" s="63">
        <v>7.51E-2</v>
      </c>
      <c r="AB269" s="66">
        <v>0</v>
      </c>
      <c r="AC269" s="54">
        <v>4.9000000000000004</v>
      </c>
      <c r="AD269" s="54"/>
      <c r="AE269" s="54"/>
      <c r="AF269" s="54">
        <f t="shared" si="38"/>
        <v>0.88131445551477006</v>
      </c>
      <c r="AG269" s="123"/>
      <c r="AQ269" s="33">
        <f t="shared" si="39"/>
        <v>215.9905</v>
      </c>
      <c r="AS269" s="27">
        <f t="shared" si="40"/>
        <v>1455.1128200000001</v>
      </c>
      <c r="AT269" s="33">
        <f t="shared" si="41"/>
        <v>1455.1128200000001</v>
      </c>
      <c r="BA269" s="33">
        <f t="shared" si="42"/>
        <v>218.19451999999998</v>
      </c>
    </row>
    <row r="270" spans="1:53" x14ac:dyDescent="0.2">
      <c r="A270" s="55"/>
      <c r="B270" s="58">
        <v>8</v>
      </c>
      <c r="C270" s="59">
        <v>11.067</v>
      </c>
      <c r="D270" s="58">
        <v>30.001000000000001</v>
      </c>
      <c r="E270" s="63">
        <v>25.2484</v>
      </c>
      <c r="F270" s="63">
        <v>2.6663000000000001</v>
      </c>
      <c r="G270" s="58">
        <v>0.46800000000000003</v>
      </c>
      <c r="H270" s="54">
        <v>0</v>
      </c>
      <c r="I270" s="61">
        <v>567.1</v>
      </c>
      <c r="J270" s="58">
        <v>46.61</v>
      </c>
      <c r="K270" s="66">
        <v>-0.9</v>
      </c>
      <c r="L270" s="54"/>
      <c r="M270" s="58">
        <v>8</v>
      </c>
      <c r="N270" s="60">
        <v>11.058999999999999</v>
      </c>
      <c r="O270" s="60">
        <v>30.79</v>
      </c>
      <c r="P270" s="65">
        <v>24.977399999999999</v>
      </c>
      <c r="Q270" s="65">
        <v>2.6663000000000001</v>
      </c>
      <c r="R270" s="60">
        <v>0.28299999999999997</v>
      </c>
      <c r="S270" s="60"/>
      <c r="T270" s="62">
        <v>505.4</v>
      </c>
      <c r="U270" s="66">
        <v>0.32</v>
      </c>
      <c r="V270" s="66">
        <v>-0.22</v>
      </c>
      <c r="W270" s="54"/>
      <c r="X270" s="54">
        <v>8</v>
      </c>
      <c r="Y270" s="63">
        <v>1.6872</v>
      </c>
      <c r="Z270" s="63">
        <v>0.60209999999999997</v>
      </c>
      <c r="AA270" s="63">
        <v>7.8799999999999995E-2</v>
      </c>
      <c r="AB270" s="66">
        <v>0</v>
      </c>
      <c r="AC270" s="54">
        <v>5.37</v>
      </c>
      <c r="AD270" s="54"/>
      <c r="AE270" s="54"/>
      <c r="AF270" s="54">
        <f t="shared" si="38"/>
        <v>0.8912008464115676</v>
      </c>
      <c r="AG270" s="123"/>
      <c r="AQ270" s="33">
        <f t="shared" si="39"/>
        <v>216.05450999999999</v>
      </c>
      <c r="AS270" s="27">
        <f t="shared" si="40"/>
        <v>1460.8657700000001</v>
      </c>
      <c r="AT270" s="33">
        <f t="shared" si="41"/>
        <v>1460.8657700000001</v>
      </c>
      <c r="BA270" s="33">
        <f t="shared" si="42"/>
        <v>218.39866000000001</v>
      </c>
    </row>
    <row r="271" spans="1:53" x14ac:dyDescent="0.2">
      <c r="A271" s="55"/>
      <c r="B271" s="58">
        <v>9</v>
      </c>
      <c r="C271" s="59">
        <v>10.992000000000001</v>
      </c>
      <c r="D271" s="58">
        <v>29.99</v>
      </c>
      <c r="E271" s="63">
        <v>25.271899999999999</v>
      </c>
      <c r="F271" s="63">
        <v>2.6873999999999998</v>
      </c>
      <c r="G271" s="58">
        <v>0.47199999999999998</v>
      </c>
      <c r="H271" s="54">
        <v>0</v>
      </c>
      <c r="I271" s="61">
        <v>555.20000000000005</v>
      </c>
      <c r="J271" s="58">
        <v>48.31</v>
      </c>
      <c r="K271" s="66">
        <v>-0.87</v>
      </c>
      <c r="L271" s="54"/>
      <c r="M271" s="58">
        <v>9</v>
      </c>
      <c r="N271" s="60">
        <v>10.978999999999999</v>
      </c>
      <c r="O271" s="60">
        <v>30.79</v>
      </c>
      <c r="P271" s="65">
        <v>24.970600000000001</v>
      </c>
      <c r="Q271" s="65">
        <v>2.6873999999999998</v>
      </c>
      <c r="R271" s="60">
        <v>0.28199999999999997</v>
      </c>
      <c r="S271" s="60"/>
      <c r="T271" s="62">
        <v>505.2</v>
      </c>
      <c r="U271" s="66">
        <v>0.93</v>
      </c>
      <c r="V271" s="66">
        <v>0.75</v>
      </c>
      <c r="W271" s="54"/>
      <c r="X271" s="54">
        <v>9</v>
      </c>
      <c r="Y271" s="63">
        <v>1.7388999999999999</v>
      </c>
      <c r="Z271" s="63">
        <v>0.60670000000000002</v>
      </c>
      <c r="AA271" s="63">
        <v>8.6400000000000005E-2</v>
      </c>
      <c r="AB271" s="66">
        <v>0</v>
      </c>
      <c r="AC271" s="54">
        <v>6.49</v>
      </c>
      <c r="AD271" s="54"/>
      <c r="AE271" s="54"/>
      <c r="AF271" s="54">
        <f t="shared" si="38"/>
        <v>0.90994236311239185</v>
      </c>
      <c r="AG271" s="123"/>
      <c r="AQ271" s="33">
        <f t="shared" si="39"/>
        <v>215.99569000000002</v>
      </c>
      <c r="AS271" s="27">
        <f t="shared" si="40"/>
        <v>1472.4264599999999</v>
      </c>
      <c r="AT271" s="33">
        <f t="shared" si="41"/>
        <v>1472.4264599999999</v>
      </c>
      <c r="BA271" s="33">
        <f t="shared" si="42"/>
        <v>218.601935</v>
      </c>
    </row>
    <row r="272" spans="1:53" x14ac:dyDescent="0.2">
      <c r="A272" s="55"/>
      <c r="B272" s="58">
        <v>10</v>
      </c>
      <c r="C272" s="59">
        <v>10.912000000000001</v>
      </c>
      <c r="D272" s="58">
        <v>29.972000000000001</v>
      </c>
      <c r="E272" s="63">
        <v>25.295500000000001</v>
      </c>
      <c r="F272" s="63">
        <v>2.7301000000000002</v>
      </c>
      <c r="G272" s="58">
        <v>0.47599999999999998</v>
      </c>
      <c r="H272" s="54">
        <v>0</v>
      </c>
      <c r="I272" s="61">
        <v>533</v>
      </c>
      <c r="J272" s="58">
        <v>51.07</v>
      </c>
      <c r="K272" s="66">
        <v>-0.82</v>
      </c>
      <c r="L272" s="54"/>
      <c r="M272" s="58">
        <v>10</v>
      </c>
      <c r="N272" s="60">
        <v>10.897</v>
      </c>
      <c r="O272" s="60">
        <v>30.79</v>
      </c>
      <c r="P272" s="65">
        <v>24.9543</v>
      </c>
      <c r="Q272" s="65">
        <v>2.7301000000000002</v>
      </c>
      <c r="R272" s="60">
        <v>0.28100000000000003</v>
      </c>
      <c r="S272" s="60"/>
      <c r="T272" s="62">
        <v>505.6</v>
      </c>
      <c r="U272" s="66">
        <v>1.88</v>
      </c>
      <c r="V272" s="66">
        <v>-1.1499999999999999</v>
      </c>
      <c r="W272" s="54"/>
      <c r="X272" s="54">
        <v>10</v>
      </c>
      <c r="Y272" s="63">
        <v>1.8172999999999999</v>
      </c>
      <c r="Z272" s="63">
        <v>0.61240000000000006</v>
      </c>
      <c r="AA272" s="63">
        <v>9.6199999999999994E-2</v>
      </c>
      <c r="AB272" s="66">
        <v>-0.48</v>
      </c>
      <c r="AC272" s="54">
        <v>8.34</v>
      </c>
      <c r="AD272" s="54"/>
      <c r="AE272" s="54"/>
      <c r="AF272" s="54">
        <f t="shared" si="38"/>
        <v>0.94859287054409014</v>
      </c>
      <c r="AG272" s="123"/>
      <c r="AQ272" s="33">
        <f t="shared" si="39"/>
        <v>215.85469500000002</v>
      </c>
      <c r="AS272" s="27">
        <f t="shared" si="40"/>
        <v>1495.82179</v>
      </c>
      <c r="AT272" s="33">
        <f t="shared" si="41"/>
        <v>1495.82179</v>
      </c>
      <c r="BA272" s="33">
        <f t="shared" si="42"/>
        <v>218.80607500000002</v>
      </c>
    </row>
    <row r="273" spans="1:53" x14ac:dyDescent="0.2">
      <c r="A273" s="55"/>
      <c r="B273" s="58">
        <v>11</v>
      </c>
      <c r="C273" s="59">
        <v>10.824999999999999</v>
      </c>
      <c r="D273" s="58">
        <v>29.948</v>
      </c>
      <c r="E273" s="63">
        <v>25.318999999999999</v>
      </c>
      <c r="F273" s="63">
        <v>2.8008999999999999</v>
      </c>
      <c r="G273" s="58">
        <v>0.48099999999999998</v>
      </c>
      <c r="H273" s="54">
        <v>0</v>
      </c>
      <c r="I273" s="48">
        <v>488</v>
      </c>
      <c r="J273" s="58">
        <v>55.74</v>
      </c>
      <c r="K273" s="66">
        <v>-0.56000000000000005</v>
      </c>
      <c r="L273" s="54"/>
      <c r="M273" s="58">
        <v>11</v>
      </c>
      <c r="N273" s="60">
        <v>10.813000000000001</v>
      </c>
      <c r="O273" s="60">
        <v>30.79</v>
      </c>
      <c r="P273" s="65">
        <v>24.923200000000001</v>
      </c>
      <c r="Q273" s="65">
        <v>2.8008999999999999</v>
      </c>
      <c r="R273" s="60">
        <v>0.27800000000000002</v>
      </c>
      <c r="S273" s="60"/>
      <c r="T273" s="62">
        <v>506.3</v>
      </c>
      <c r="U273" s="66">
        <v>3.19</v>
      </c>
      <c r="V273" s="66">
        <v>-1.36</v>
      </c>
      <c r="W273" s="54"/>
      <c r="X273" s="54">
        <v>11</v>
      </c>
      <c r="Y273" s="63">
        <v>1.93</v>
      </c>
      <c r="Z273" s="63">
        <v>0.62060000000000004</v>
      </c>
      <c r="AA273" s="63">
        <v>0.10970000000000001</v>
      </c>
      <c r="AB273" s="66">
        <v>-1.83</v>
      </c>
      <c r="AC273" s="54">
        <v>10.98</v>
      </c>
      <c r="AD273" s="54"/>
      <c r="AE273" s="54"/>
      <c r="AF273" s="54">
        <f t="shared" si="38"/>
        <v>1.0375000000000001</v>
      </c>
      <c r="AG273" s="123"/>
      <c r="AQ273" s="33">
        <f t="shared" si="39"/>
        <v>215.58568000000002</v>
      </c>
      <c r="AS273" s="27">
        <f t="shared" si="40"/>
        <v>1534.61311</v>
      </c>
      <c r="AT273" s="33">
        <f t="shared" si="41"/>
        <v>1534.61311</v>
      </c>
      <c r="BA273" s="33">
        <f t="shared" si="42"/>
        <v>219.00935000000001</v>
      </c>
    </row>
    <row r="274" spans="1:53" ht="17" thickBot="1" x14ac:dyDescent="0.25">
      <c r="A274" s="82"/>
      <c r="B274" s="83">
        <v>12</v>
      </c>
      <c r="C274" s="84">
        <v>10.776</v>
      </c>
      <c r="D274" s="83">
        <v>29.934999999999999</v>
      </c>
      <c r="E274" s="85">
        <v>25.3308</v>
      </c>
      <c r="F274" s="85">
        <v>2.8496000000000001</v>
      </c>
      <c r="G274" s="83">
        <v>0.48399999999999999</v>
      </c>
      <c r="H274" s="54">
        <v>0</v>
      </c>
      <c r="I274" s="87">
        <v>449.1</v>
      </c>
      <c r="J274" s="83">
        <v>59.26</v>
      </c>
      <c r="K274" s="88">
        <v>-0.36</v>
      </c>
      <c r="L274" s="86"/>
      <c r="M274" s="83">
        <v>12</v>
      </c>
      <c r="N274" s="89">
        <v>10.77</v>
      </c>
      <c r="O274" s="89">
        <v>30.79</v>
      </c>
      <c r="P274" s="90">
        <v>24.904699999999998</v>
      </c>
      <c r="Q274" s="90">
        <v>2.8496000000000001</v>
      </c>
      <c r="R274" s="89">
        <v>0.27600000000000002</v>
      </c>
      <c r="S274" s="89"/>
      <c r="T274" s="91">
        <v>507.2</v>
      </c>
      <c r="U274" s="88">
        <v>4</v>
      </c>
      <c r="V274" s="88">
        <v>-0.36</v>
      </c>
      <c r="W274" s="86"/>
      <c r="X274" s="86">
        <v>12</v>
      </c>
      <c r="Y274" s="85">
        <v>2.0015999999999998</v>
      </c>
      <c r="Z274" s="85">
        <v>0.62590000000000001</v>
      </c>
      <c r="AA274" s="85">
        <v>0.11700000000000001</v>
      </c>
      <c r="AB274" s="88">
        <v>-3</v>
      </c>
      <c r="AC274" s="86">
        <v>12.65</v>
      </c>
      <c r="AD274" s="86"/>
      <c r="AE274" s="86"/>
      <c r="AF274" s="86">
        <f t="shared" si="38"/>
        <v>1.1293698508127366</v>
      </c>
      <c r="AG274" s="124"/>
      <c r="AQ274" s="33">
        <f t="shared" si="39"/>
        <v>215.42565500000001</v>
      </c>
      <c r="AS274" s="27">
        <f t="shared" si="40"/>
        <v>1561.29584</v>
      </c>
      <c r="AT274" s="33">
        <f t="shared" si="41"/>
        <v>1561.29584</v>
      </c>
      <c r="BA274" s="33">
        <f t="shared" si="42"/>
        <v>219.11142000000001</v>
      </c>
    </row>
  </sheetData>
  <mergeCells count="21">
    <mergeCell ref="AG146:AG157"/>
    <mergeCell ref="AG3:AG14"/>
    <mergeCell ref="AG16:AG27"/>
    <mergeCell ref="AG29:AG40"/>
    <mergeCell ref="AG42:AG53"/>
    <mergeCell ref="AG55:AG66"/>
    <mergeCell ref="AG68:AG79"/>
    <mergeCell ref="AG81:AG92"/>
    <mergeCell ref="AG94:AG105"/>
    <mergeCell ref="AG107:AG118"/>
    <mergeCell ref="AG120:AG131"/>
    <mergeCell ref="AG133:AG144"/>
    <mergeCell ref="AG237:AG248"/>
    <mergeCell ref="AG250:AG261"/>
    <mergeCell ref="AG263:AG274"/>
    <mergeCell ref="AG159:AG170"/>
    <mergeCell ref="AG172:AG183"/>
    <mergeCell ref="AG185:AG196"/>
    <mergeCell ref="AG198:AG209"/>
    <mergeCell ref="AG211:AG222"/>
    <mergeCell ref="AG224:AG23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127DD-7A23-43C6-9AC2-12B691E26704}">
  <dimension ref="A1:N253"/>
  <sheetViews>
    <sheetView topLeftCell="A67" zoomScale="90" zoomScaleNormal="90" workbookViewId="0">
      <selection activeCell="J2" sqref="J2:J10"/>
    </sheetView>
  </sheetViews>
  <sheetFormatPr baseColWidth="10" defaultColWidth="9.1640625" defaultRowHeight="16" x14ac:dyDescent="0.2"/>
  <cols>
    <col min="1" max="1" width="4" style="27" customWidth="1"/>
    <col min="2" max="7" width="10" style="17" customWidth="1"/>
    <col min="8" max="9" width="16.5" style="17" customWidth="1"/>
    <col min="10" max="10" width="20.1640625" style="17" customWidth="1"/>
    <col min="11" max="11" width="10.6640625" style="17" customWidth="1"/>
    <col min="12" max="12" width="12" style="17" customWidth="1"/>
    <col min="13" max="14" width="11" style="5" customWidth="1"/>
    <col min="15" max="16384" width="9.1640625" style="5"/>
  </cols>
  <sheetData>
    <row r="1" spans="1:14" s="93" customFormat="1" ht="18" customHeight="1" x14ac:dyDescent="0.2">
      <c r="A1" s="28" t="s">
        <v>95</v>
      </c>
      <c r="B1" s="92" t="s">
        <v>146</v>
      </c>
      <c r="C1" s="92" t="s">
        <v>136</v>
      </c>
      <c r="D1" s="92" t="s">
        <v>150</v>
      </c>
      <c r="E1" s="92" t="s">
        <v>138</v>
      </c>
      <c r="F1" s="92" t="s">
        <v>157</v>
      </c>
      <c r="G1" s="92" t="s">
        <v>158</v>
      </c>
      <c r="H1" s="92" t="s">
        <v>156</v>
      </c>
      <c r="I1" s="92" t="s">
        <v>159</v>
      </c>
      <c r="J1" s="92" t="s">
        <v>160</v>
      </c>
      <c r="K1" s="92" t="s">
        <v>68</v>
      </c>
      <c r="L1" s="92" t="s">
        <v>161</v>
      </c>
      <c r="M1" s="28" t="s">
        <v>96</v>
      </c>
      <c r="N1" s="28" t="s">
        <v>103</v>
      </c>
    </row>
    <row r="2" spans="1:14" s="96" customFormat="1" ht="18" customHeight="1" x14ac:dyDescent="0.2">
      <c r="A2" s="94">
        <v>1</v>
      </c>
      <c r="B2" s="95">
        <v>8.4761350000000011</v>
      </c>
      <c r="C2" s="95">
        <v>8.3489799999999992</v>
      </c>
      <c r="D2" s="95">
        <v>545.21528999999998</v>
      </c>
      <c r="E2" s="95">
        <v>545.21528999999998</v>
      </c>
      <c r="F2" s="95">
        <v>0.55200000000000005</v>
      </c>
      <c r="G2" s="95">
        <v>0.53600000000000003</v>
      </c>
      <c r="H2" s="95">
        <f>E2/D2*((1+0.2*F2^2)/(1+0.2*G2^2))</f>
        <v>1.0032924201709152</v>
      </c>
      <c r="I2" s="95">
        <f>C2/B2*((1+0.2*F2^2)^(1.4/0.4)/(1+0.2*G2^2)^(1.4/0.4))</f>
        <v>0.99639586074738729</v>
      </c>
      <c r="J2" s="95">
        <f>0.24 * LN(H2) - 0.06855 * LN(I2)</f>
        <v>1.0363929300226575E-3</v>
      </c>
      <c r="K2" s="95">
        <f>C2/B2</f>
        <v>0.98499846923155399</v>
      </c>
      <c r="L2" s="95">
        <v>547.9</v>
      </c>
      <c r="M2" s="94">
        <v>13.992000000000001</v>
      </c>
      <c r="N2" s="102">
        <v>15</v>
      </c>
    </row>
    <row r="3" spans="1:14" s="96" customFormat="1" ht="18" customHeight="1" x14ac:dyDescent="0.2">
      <c r="A3" s="94">
        <v>2</v>
      </c>
      <c r="B3" s="95">
        <v>8.5799350000000008</v>
      </c>
      <c r="C3" s="95">
        <v>8.4709450000000004</v>
      </c>
      <c r="D3" s="95">
        <v>545.21528999999998</v>
      </c>
      <c r="E3" s="95">
        <v>545.21528999999998</v>
      </c>
      <c r="F3" s="95">
        <v>0.55500000000000005</v>
      </c>
      <c r="G3" s="95">
        <v>0.55900000000000005</v>
      </c>
      <c r="H3" s="95">
        <f t="shared" ref="H3:H61" si="0">E3/D3*((1+0.2*F3^2)/(1+0.2*G3^2))</f>
        <v>0.99916122052954159</v>
      </c>
      <c r="I3" s="95">
        <f t="shared" ref="I3:I61" si="1">C3/B3*((1+0.2*F3^2)^(1.4/0.4)/(1+0.2*G3^2)^(1.4/0.4))</f>
        <v>0.98440170831966489</v>
      </c>
      <c r="J3" s="95">
        <f t="shared" ref="J3:J61" si="2">0.24 * LN(H3) - 0.06855 * LN(I3)</f>
        <v>8.7629843261920572E-4</v>
      </c>
      <c r="K3" s="95">
        <f t="shared" ref="K3:K61" si="3">C3/B3</f>
        <v>0.98729710656316161</v>
      </c>
      <c r="L3" s="95">
        <v>547.9</v>
      </c>
      <c r="M3" s="94">
        <v>13.576000000000001</v>
      </c>
      <c r="N3" s="102">
        <v>14.55</v>
      </c>
    </row>
    <row r="4" spans="1:14" s="96" customFormat="1" ht="18" customHeight="1" x14ac:dyDescent="0.2">
      <c r="A4" s="94">
        <v>3</v>
      </c>
      <c r="B4" s="95">
        <v>8.6456750000000007</v>
      </c>
      <c r="C4" s="95">
        <v>8.5513900000000014</v>
      </c>
      <c r="D4" s="95">
        <v>545.21528999999998</v>
      </c>
      <c r="E4" s="95">
        <v>545.21528999999998</v>
      </c>
      <c r="F4" s="95">
        <v>0.55100000000000005</v>
      </c>
      <c r="G4" s="95">
        <v>0.57399999999999995</v>
      </c>
      <c r="H4" s="95">
        <f t="shared" si="0"/>
        <v>0.9951449260677786</v>
      </c>
      <c r="I4" s="95">
        <f t="shared" si="1"/>
        <v>0.97238885651092544</v>
      </c>
      <c r="J4" s="95">
        <f t="shared" si="2"/>
        <v>7.5130993542689927E-4</v>
      </c>
      <c r="K4" s="95">
        <f t="shared" si="3"/>
        <v>0.98909454727363688</v>
      </c>
      <c r="L4" s="95">
        <v>547.9</v>
      </c>
      <c r="M4" s="94">
        <v>13.162000000000001</v>
      </c>
      <c r="N4" s="102">
        <v>14.06</v>
      </c>
    </row>
    <row r="5" spans="1:14" s="96" customFormat="1" ht="18" customHeight="1" x14ac:dyDescent="0.2">
      <c r="A5" s="94">
        <v>4</v>
      </c>
      <c r="B5" s="95">
        <v>8.6854650000000007</v>
      </c>
      <c r="C5" s="95">
        <v>8.6058850000000007</v>
      </c>
      <c r="D5" s="95">
        <v>545.21528999999998</v>
      </c>
      <c r="E5" s="95">
        <v>545.21528999999998</v>
      </c>
      <c r="F5" s="95">
        <v>0.54400000000000004</v>
      </c>
      <c r="G5" s="95">
        <v>0.58199999999999996</v>
      </c>
      <c r="H5" s="95">
        <f t="shared" si="0"/>
        <v>0.99198535080667205</v>
      </c>
      <c r="I5" s="95">
        <f t="shared" si="1"/>
        <v>0.96332064850331744</v>
      </c>
      <c r="J5" s="95">
        <f t="shared" si="2"/>
        <v>6.3037642229937189E-4</v>
      </c>
      <c r="K5" s="95">
        <f t="shared" si="3"/>
        <v>0.99083756597948414</v>
      </c>
      <c r="L5" s="95">
        <v>547.9</v>
      </c>
      <c r="M5" s="94">
        <v>12.601000000000001</v>
      </c>
      <c r="N5" s="102">
        <v>13.36</v>
      </c>
    </row>
    <row r="6" spans="1:14" s="96" customFormat="1" ht="18" customHeight="1" x14ac:dyDescent="0.2">
      <c r="A6" s="94">
        <v>5</v>
      </c>
      <c r="B6" s="95">
        <v>8.6941150000000018</v>
      </c>
      <c r="C6" s="95">
        <v>8.6240500000000004</v>
      </c>
      <c r="D6" s="95">
        <v>545.21528999999998</v>
      </c>
      <c r="E6" s="95">
        <v>545.21528999999998</v>
      </c>
      <c r="F6" s="95">
        <v>0.53500000000000003</v>
      </c>
      <c r="G6" s="95">
        <v>0.58299999999999996</v>
      </c>
      <c r="H6" s="95">
        <f t="shared" si="0"/>
        <v>0.98995035290059397</v>
      </c>
      <c r="I6" s="95">
        <f t="shared" si="1"/>
        <v>0.95748689183968849</v>
      </c>
      <c r="J6" s="95">
        <f t="shared" si="2"/>
        <v>5.5391808369284869E-4</v>
      </c>
      <c r="K6" s="95">
        <f t="shared" si="3"/>
        <v>0.99194110038802097</v>
      </c>
      <c r="L6" s="95">
        <v>547.9</v>
      </c>
      <c r="M6" s="94">
        <v>12.021000000000001</v>
      </c>
      <c r="N6" s="102">
        <v>12.63</v>
      </c>
    </row>
    <row r="7" spans="1:14" s="96" customFormat="1" ht="18" customHeight="1" x14ac:dyDescent="0.2">
      <c r="A7" s="94">
        <v>6</v>
      </c>
      <c r="B7" s="95">
        <v>8.6923849999999998</v>
      </c>
      <c r="C7" s="95">
        <v>8.6309700000000014</v>
      </c>
      <c r="D7" s="95">
        <v>545.65360999999996</v>
      </c>
      <c r="E7" s="95">
        <v>545.65360999999996</v>
      </c>
      <c r="F7" s="95">
        <v>0.52400000000000002</v>
      </c>
      <c r="G7" s="95">
        <v>0.57899999999999996</v>
      </c>
      <c r="H7" s="95">
        <f t="shared" si="0"/>
        <v>0.98862937962877406</v>
      </c>
      <c r="I7" s="95">
        <f t="shared" si="1"/>
        <v>0.95397709420406807</v>
      </c>
      <c r="J7" s="95">
        <f t="shared" si="2"/>
        <v>4.8519318838783276E-4</v>
      </c>
      <c r="K7" s="95">
        <f t="shared" si="3"/>
        <v>0.99293462036023505</v>
      </c>
      <c r="L7" s="95">
        <v>547.9</v>
      </c>
      <c r="M7" s="94">
        <v>11.414</v>
      </c>
      <c r="N7" s="102">
        <v>11.88</v>
      </c>
    </row>
    <row r="8" spans="1:14" s="96" customFormat="1" ht="18" customHeight="1" x14ac:dyDescent="0.2">
      <c r="A8" s="94">
        <v>7</v>
      </c>
      <c r="B8" s="95">
        <v>8.6923849999999998</v>
      </c>
      <c r="C8" s="95">
        <v>8.6361600000000003</v>
      </c>
      <c r="D8" s="95">
        <v>546.31108999999992</v>
      </c>
      <c r="E8" s="95">
        <v>546.31108999999992</v>
      </c>
      <c r="F8" s="95">
        <v>0.51400000000000001</v>
      </c>
      <c r="G8" s="95">
        <v>0.57199999999999995</v>
      </c>
      <c r="H8" s="95">
        <f t="shared" si="0"/>
        <v>0.98817611706297348</v>
      </c>
      <c r="I8" s="95">
        <f t="shared" si="1"/>
        <v>0.95301988593080433</v>
      </c>
      <c r="J8" s="95">
        <f t="shared" si="2"/>
        <v>4.4395049782109059E-4</v>
      </c>
      <c r="K8" s="95">
        <f t="shared" si="3"/>
        <v>0.99353169469598968</v>
      </c>
      <c r="L8" s="95">
        <v>547.9</v>
      </c>
      <c r="M8" s="94">
        <v>10.771000000000001</v>
      </c>
      <c r="N8" s="102">
        <v>11.03</v>
      </c>
    </row>
    <row r="9" spans="1:14" s="96" customFormat="1" ht="18" customHeight="1" x14ac:dyDescent="0.2">
      <c r="A9" s="94">
        <v>8</v>
      </c>
      <c r="B9" s="95">
        <v>8.6941150000000018</v>
      </c>
      <c r="C9" s="95">
        <v>8.641350000000001</v>
      </c>
      <c r="D9" s="95">
        <v>547.68083999999999</v>
      </c>
      <c r="E9" s="95">
        <v>547.68083999999999</v>
      </c>
      <c r="F9" s="95">
        <v>0.502</v>
      </c>
      <c r="G9" s="95">
        <v>0.56000000000000005</v>
      </c>
      <c r="H9" s="95">
        <f t="shared" si="0"/>
        <v>0.98840785907859074</v>
      </c>
      <c r="I9" s="95">
        <f t="shared" si="1"/>
        <v>0.95418564795603189</v>
      </c>
      <c r="J9" s="95">
        <f t="shared" si="2"/>
        <v>4.1642633562685065E-4</v>
      </c>
      <c r="K9" s="95">
        <f t="shared" si="3"/>
        <v>0.99393095214406513</v>
      </c>
      <c r="L9" s="95">
        <v>547.9</v>
      </c>
      <c r="M9" s="94">
        <v>10.083</v>
      </c>
      <c r="N9" s="102">
        <v>10.029999999999999</v>
      </c>
    </row>
    <row r="10" spans="1:14" s="96" customFormat="1" ht="18" customHeight="1" x14ac:dyDescent="0.2">
      <c r="A10" s="94">
        <v>9</v>
      </c>
      <c r="B10" s="95">
        <v>8.6854650000000007</v>
      </c>
      <c r="C10" s="95">
        <v>8.6352949999999993</v>
      </c>
      <c r="D10" s="95">
        <v>549.59849000000008</v>
      </c>
      <c r="E10" s="95">
        <v>549.59849000000008</v>
      </c>
      <c r="F10" s="95">
        <v>0.48499999999999999</v>
      </c>
      <c r="G10" s="95">
        <v>0.54200000000000004</v>
      </c>
      <c r="H10" s="95">
        <f t="shared" si="0"/>
        <v>0.98894189465189619</v>
      </c>
      <c r="I10" s="95">
        <f t="shared" si="1"/>
        <v>0.95627283250467221</v>
      </c>
      <c r="J10" s="95">
        <f t="shared" si="2"/>
        <v>3.962805968708385E-4</v>
      </c>
      <c r="K10" s="95">
        <f t="shared" si="3"/>
        <v>0.99422368290010943</v>
      </c>
      <c r="L10" s="95">
        <v>547.9</v>
      </c>
      <c r="M10" s="94">
        <v>9.3320000000000007</v>
      </c>
      <c r="N10" s="102">
        <v>8.7899999999999991</v>
      </c>
    </row>
    <row r="11" spans="1:14" s="96" customFormat="1" ht="18" customHeight="1" x14ac:dyDescent="0.2">
      <c r="A11" s="94">
        <v>10</v>
      </c>
      <c r="B11" s="95">
        <v>8.6456750000000007</v>
      </c>
      <c r="C11" s="95">
        <v>8.5972349999999995</v>
      </c>
      <c r="D11" s="95">
        <v>552.33798999999999</v>
      </c>
      <c r="E11" s="95">
        <v>552.33798999999999</v>
      </c>
      <c r="F11" s="95">
        <v>0.45800000000000002</v>
      </c>
      <c r="G11" s="95">
        <v>0.50900000000000001</v>
      </c>
      <c r="H11" s="95">
        <f t="shared" si="0"/>
        <v>0.99062250609944968</v>
      </c>
      <c r="I11" s="95">
        <f t="shared" si="1"/>
        <v>0.96214063964686891</v>
      </c>
      <c r="J11" s="95">
        <f t="shared" si="2"/>
        <v>3.8444538104658423E-4</v>
      </c>
      <c r="K11" s="95">
        <f t="shared" si="3"/>
        <v>0.99439719859929954</v>
      </c>
      <c r="L11" s="95">
        <v>547.9</v>
      </c>
      <c r="M11" s="94">
        <v>8.4849999999999994</v>
      </c>
      <c r="N11" s="102">
        <v>7.14</v>
      </c>
    </row>
    <row r="12" spans="1:14" s="96" customFormat="1" ht="18" customHeight="1" x14ac:dyDescent="0.2">
      <c r="A12" s="94">
        <v>11</v>
      </c>
      <c r="B12" s="95">
        <v>8.5496599999999994</v>
      </c>
      <c r="C12" s="95">
        <v>8.5029500000000002</v>
      </c>
      <c r="D12" s="95">
        <v>556.17328999999995</v>
      </c>
      <c r="E12" s="95">
        <v>556.17328999999995</v>
      </c>
      <c r="F12" s="95">
        <v>0.41</v>
      </c>
      <c r="G12" s="95">
        <v>0.44400000000000001</v>
      </c>
      <c r="H12" s="95">
        <f t="shared" si="0"/>
        <v>0.99441307674072799</v>
      </c>
      <c r="I12" s="95">
        <f t="shared" si="1"/>
        <v>0.97522466032631783</v>
      </c>
      <c r="J12" s="95">
        <f t="shared" si="2"/>
        <v>3.7512097032094105E-4</v>
      </c>
      <c r="K12" s="95">
        <f t="shared" si="3"/>
        <v>0.99453662484823968</v>
      </c>
      <c r="L12" s="95">
        <v>547.9</v>
      </c>
      <c r="M12" s="94">
        <v>7.4560000000000004</v>
      </c>
      <c r="N12" s="102">
        <v>4.38</v>
      </c>
    </row>
    <row r="13" spans="1:14" s="96" customFormat="1" ht="18" customHeight="1" x14ac:dyDescent="0.2">
      <c r="A13" s="94">
        <v>12</v>
      </c>
      <c r="B13" s="95">
        <v>8.4761350000000011</v>
      </c>
      <c r="C13" s="95">
        <v>8.4294250000000002</v>
      </c>
      <c r="D13" s="95">
        <v>558.91278999999997</v>
      </c>
      <c r="E13" s="95">
        <v>558.91278999999997</v>
      </c>
      <c r="F13" s="95">
        <v>0.372</v>
      </c>
      <c r="G13" s="95">
        <v>0.38500000000000001</v>
      </c>
      <c r="H13" s="95">
        <f t="shared" si="0"/>
        <v>0.99808846738438994</v>
      </c>
      <c r="I13" s="95">
        <f t="shared" si="1"/>
        <v>0.9878516212497026</v>
      </c>
      <c r="J13" s="95">
        <f t="shared" si="2"/>
        <v>3.7866425674008174E-4</v>
      </c>
      <c r="K13" s="95">
        <f t="shared" si="3"/>
        <v>0.99448923359526475</v>
      </c>
      <c r="L13" s="95">
        <v>547.9</v>
      </c>
      <c r="M13" s="94">
        <v>6.806</v>
      </c>
      <c r="N13" s="102">
        <v>2</v>
      </c>
    </row>
    <row r="14" spans="1:14" ht="18" customHeight="1" x14ac:dyDescent="0.2">
      <c r="A14" s="27">
        <v>1</v>
      </c>
      <c r="B14" s="17">
        <v>8.3498450000000002</v>
      </c>
      <c r="C14" s="17">
        <v>14.602930000000001</v>
      </c>
      <c r="D14" s="17">
        <v>545.21528999999998</v>
      </c>
      <c r="E14" s="17">
        <v>672.43767000000003</v>
      </c>
      <c r="F14" s="17">
        <v>0.57799999999999996</v>
      </c>
      <c r="G14" s="17">
        <v>0.66</v>
      </c>
      <c r="H14" s="17">
        <f t="shared" si="0"/>
        <v>1.2103092949255161</v>
      </c>
      <c r="I14" s="17">
        <f t="shared" si="1"/>
        <v>1.6372117464115992</v>
      </c>
      <c r="J14" s="17">
        <f t="shared" si="2"/>
        <v>1.2015443627537592E-2</v>
      </c>
      <c r="K14" s="17">
        <f t="shared" si="3"/>
        <v>1.7488863565730861</v>
      </c>
      <c r="L14" s="17">
        <v>652.76</v>
      </c>
      <c r="M14" s="27">
        <v>13.535</v>
      </c>
      <c r="N14" s="27">
        <v>61.65</v>
      </c>
    </row>
    <row r="15" spans="1:14" ht="18" customHeight="1" x14ac:dyDescent="0.2">
      <c r="A15" s="27">
        <v>2</v>
      </c>
      <c r="B15" s="108">
        <v>8.4709450000000004</v>
      </c>
      <c r="C15" s="17">
        <v>14.643585000000002</v>
      </c>
      <c r="D15" s="17">
        <v>545.21528999999998</v>
      </c>
      <c r="E15" s="17">
        <v>656.71294</v>
      </c>
      <c r="F15" s="17">
        <v>0.6</v>
      </c>
      <c r="G15" s="17">
        <v>0.67300000000000004</v>
      </c>
      <c r="H15" s="17">
        <f t="shared" si="0"/>
        <v>1.1839748953463949</v>
      </c>
      <c r="I15" s="17">
        <f t="shared" si="1"/>
        <v>1.6277505995154733</v>
      </c>
      <c r="J15" s="17">
        <f t="shared" si="2"/>
        <v>7.1330642537578495E-3</v>
      </c>
      <c r="K15" s="108">
        <f t="shared" si="3"/>
        <v>1.7286837537016237</v>
      </c>
      <c r="L15" s="17">
        <v>649.48</v>
      </c>
      <c r="M15" s="27">
        <v>13.122999999999999</v>
      </c>
      <c r="N15" s="27">
        <v>58.22</v>
      </c>
    </row>
    <row r="16" spans="1:14" ht="18" customHeight="1" x14ac:dyDescent="0.2">
      <c r="A16" s="27">
        <v>3</v>
      </c>
      <c r="B16" s="108">
        <v>8.5513900000000014</v>
      </c>
      <c r="C16" s="17">
        <v>14.684240000000001</v>
      </c>
      <c r="D16" s="17">
        <v>545.21528999999998</v>
      </c>
      <c r="E16" s="17">
        <v>648.43964999999992</v>
      </c>
      <c r="F16" s="17">
        <v>0.61699999999999999</v>
      </c>
      <c r="G16" s="17">
        <v>0.67700000000000005</v>
      </c>
      <c r="H16" s="17">
        <f t="shared" si="0"/>
        <v>1.1724105497796973</v>
      </c>
      <c r="I16" s="17">
        <f t="shared" si="1"/>
        <v>1.6331963339168705</v>
      </c>
      <c r="J16" s="17">
        <f t="shared" si="2"/>
        <v>4.5484118829967335E-3</v>
      </c>
      <c r="K16" s="108">
        <f t="shared" si="3"/>
        <v>1.7171758041675094</v>
      </c>
      <c r="L16" s="17">
        <v>647.16999999999996</v>
      </c>
      <c r="M16" s="27">
        <v>12.743</v>
      </c>
      <c r="N16" s="27">
        <v>56.28</v>
      </c>
    </row>
    <row r="17" spans="1:14" ht="18" customHeight="1" x14ac:dyDescent="0.2">
      <c r="A17" s="27">
        <v>4</v>
      </c>
      <c r="B17" s="108">
        <v>8.6058850000000007</v>
      </c>
      <c r="C17" s="17">
        <v>14.738735</v>
      </c>
      <c r="D17" s="17">
        <v>545.21528999999998</v>
      </c>
      <c r="E17" s="17">
        <v>644.43997999999988</v>
      </c>
      <c r="F17" s="17">
        <v>0.63100000000000001</v>
      </c>
      <c r="G17" s="17">
        <v>0.68400000000000005</v>
      </c>
      <c r="H17" s="17">
        <f t="shared" si="0"/>
        <v>1.1669257235584947</v>
      </c>
      <c r="I17" s="17">
        <f t="shared" si="1"/>
        <v>1.6374398229493003</v>
      </c>
      <c r="J17" s="17">
        <f t="shared" si="2"/>
        <v>3.2451174614736705E-3</v>
      </c>
      <c r="K17" s="108">
        <f t="shared" si="3"/>
        <v>1.7126344356216705</v>
      </c>
      <c r="L17" s="17">
        <v>645.88</v>
      </c>
      <c r="M17" s="27">
        <v>12.246</v>
      </c>
      <c r="N17" s="27">
        <v>53.79</v>
      </c>
    </row>
    <row r="18" spans="1:14" ht="18" customHeight="1" x14ac:dyDescent="0.2">
      <c r="A18" s="27">
        <v>5</v>
      </c>
      <c r="B18" s="108">
        <v>8.6240500000000004</v>
      </c>
      <c r="C18" s="17">
        <v>14.793229999999999</v>
      </c>
      <c r="D18" s="17">
        <v>545.21528999999998</v>
      </c>
      <c r="E18" s="17">
        <v>643.07022999999992</v>
      </c>
      <c r="F18" s="17">
        <v>0.63600000000000001</v>
      </c>
      <c r="G18" s="17">
        <v>0.69399999999999995</v>
      </c>
      <c r="H18" s="17">
        <f t="shared" si="0"/>
        <v>1.1628812941670295</v>
      </c>
      <c r="I18" s="17">
        <f t="shared" si="1"/>
        <v>1.632334898581252</v>
      </c>
      <c r="J18" s="17">
        <f t="shared" si="2"/>
        <v>2.6259075094815301E-3</v>
      </c>
      <c r="K18" s="108">
        <f t="shared" si="3"/>
        <v>1.7153460381143428</v>
      </c>
      <c r="L18" s="17">
        <v>645.41999999999996</v>
      </c>
      <c r="M18" s="27">
        <v>11.746</v>
      </c>
      <c r="N18" s="27">
        <v>50.99</v>
      </c>
    </row>
    <row r="19" spans="1:14" ht="18" customHeight="1" x14ac:dyDescent="0.2">
      <c r="A19" s="27">
        <v>6</v>
      </c>
      <c r="B19" s="17">
        <v>8.6309700000000014</v>
      </c>
      <c r="C19" s="17">
        <v>14.847725000000001</v>
      </c>
      <c r="D19" s="17">
        <v>545.65360999999996</v>
      </c>
      <c r="E19" s="17">
        <v>642.96064999999999</v>
      </c>
      <c r="F19" s="17">
        <v>0.63600000000000001</v>
      </c>
      <c r="G19" s="17">
        <v>0.70499999999999996</v>
      </c>
      <c r="H19" s="17">
        <f t="shared" si="0"/>
        <v>1.1584968285059178</v>
      </c>
      <c r="I19" s="17">
        <f t="shared" si="1"/>
        <v>1.6210503896165971</v>
      </c>
      <c r="J19" s="17">
        <f t="shared" si="2"/>
        <v>2.1948533824332275E-3</v>
      </c>
      <c r="K19" s="17">
        <f t="shared" si="3"/>
        <v>1.7202846261775906</v>
      </c>
      <c r="L19" s="17">
        <v>645.38</v>
      </c>
      <c r="M19" s="27">
        <v>11.234999999999999</v>
      </c>
      <c r="N19" s="27">
        <v>47.76</v>
      </c>
    </row>
    <row r="20" spans="1:14" ht="18" customHeight="1" x14ac:dyDescent="0.2">
      <c r="A20" s="27">
        <v>7</v>
      </c>
      <c r="B20" s="17">
        <v>8.6361600000000003</v>
      </c>
      <c r="C20" s="17">
        <v>14.901355000000001</v>
      </c>
      <c r="D20" s="17">
        <v>546.31108999999992</v>
      </c>
      <c r="E20" s="17">
        <v>643.50855000000001</v>
      </c>
      <c r="F20" s="17">
        <v>0.629</v>
      </c>
      <c r="G20" s="17">
        <v>0.71799999999999997</v>
      </c>
      <c r="H20" s="17">
        <f t="shared" si="0"/>
        <v>1.152313293935779</v>
      </c>
      <c r="I20" s="17">
        <f t="shared" si="1"/>
        <v>1.5977249503684154</v>
      </c>
      <c r="J20" s="17">
        <f t="shared" si="2"/>
        <v>1.9039478783938607E-3</v>
      </c>
      <c r="K20" s="17">
        <f t="shared" si="3"/>
        <v>1.7254607371794872</v>
      </c>
      <c r="L20" s="17">
        <v>645.54</v>
      </c>
      <c r="M20" s="27">
        <v>10.711</v>
      </c>
      <c r="N20" s="27">
        <v>44.02</v>
      </c>
    </row>
    <row r="21" spans="1:14" ht="18" customHeight="1" x14ac:dyDescent="0.2">
      <c r="A21" s="27">
        <v>8</v>
      </c>
      <c r="B21" s="17">
        <v>8.641350000000001</v>
      </c>
      <c r="C21" s="17">
        <v>14.956715000000001</v>
      </c>
      <c r="D21" s="17">
        <v>547.68083999999999</v>
      </c>
      <c r="E21" s="17">
        <v>645.15224999999998</v>
      </c>
      <c r="F21" s="17">
        <v>0.61299999999999999</v>
      </c>
      <c r="G21" s="17">
        <v>0.73199999999999998</v>
      </c>
      <c r="H21" s="17">
        <f t="shared" si="0"/>
        <v>1.1439129925191189</v>
      </c>
      <c r="I21" s="17">
        <f t="shared" si="1"/>
        <v>1.561919898949544</v>
      </c>
      <c r="J21" s="17">
        <f t="shared" si="2"/>
        <v>1.7016343316463463E-3</v>
      </c>
      <c r="K21" s="17">
        <f t="shared" si="3"/>
        <v>1.7308308308308307</v>
      </c>
      <c r="L21" s="17">
        <v>645.97</v>
      </c>
      <c r="M21" s="27">
        <v>10.167999999999999</v>
      </c>
      <c r="N21" s="27">
        <v>39.619999999999997</v>
      </c>
    </row>
    <row r="22" spans="1:14" ht="18" customHeight="1" x14ac:dyDescent="0.2">
      <c r="A22" s="27">
        <v>9</v>
      </c>
      <c r="B22" s="17">
        <v>8.6361600000000003</v>
      </c>
      <c r="C22" s="17">
        <v>15.010345000000001</v>
      </c>
      <c r="D22" s="17">
        <v>549.59849000000008</v>
      </c>
      <c r="E22" s="17">
        <v>647.94654000000003</v>
      </c>
      <c r="F22" s="17">
        <v>0.58599999999999997</v>
      </c>
      <c r="G22" s="17">
        <v>0.75</v>
      </c>
      <c r="H22" s="17">
        <f t="shared" si="0"/>
        <v>1.1325072248344739</v>
      </c>
      <c r="I22" s="17">
        <f t="shared" si="1"/>
        <v>1.5100303423387247</v>
      </c>
      <c r="J22" s="17">
        <f t="shared" si="2"/>
        <v>1.6126558837370152E-3</v>
      </c>
      <c r="K22" s="17">
        <f t="shared" si="3"/>
        <v>1.7380809294871795</v>
      </c>
      <c r="L22" s="17">
        <v>647.39</v>
      </c>
      <c r="M22" s="27">
        <v>9.6029999999999998</v>
      </c>
      <c r="N22" s="27">
        <v>34.340000000000003</v>
      </c>
    </row>
    <row r="23" spans="1:14" ht="18" customHeight="1" x14ac:dyDescent="0.2">
      <c r="A23" s="27">
        <v>10</v>
      </c>
      <c r="B23" s="17">
        <v>8.5972349999999995</v>
      </c>
      <c r="C23" s="17">
        <v>15.06484</v>
      </c>
      <c r="D23" s="17">
        <v>552.33798999999999</v>
      </c>
      <c r="E23" s="17">
        <v>652.98721999999998</v>
      </c>
      <c r="F23" s="17">
        <v>0.54700000000000004</v>
      </c>
      <c r="G23" s="17">
        <v>0.77400000000000002</v>
      </c>
      <c r="H23" s="17">
        <f t="shared" si="0"/>
        <v>1.1189081886226449</v>
      </c>
      <c r="I23" s="17">
        <f t="shared" si="1"/>
        <v>1.4452305253876188</v>
      </c>
      <c r="J23" s="17">
        <f t="shared" si="2"/>
        <v>1.719981665292393E-3</v>
      </c>
      <c r="K23" s="17">
        <f t="shared" si="3"/>
        <v>1.7522889626723011</v>
      </c>
      <c r="L23" s="17">
        <v>649.72</v>
      </c>
      <c r="M23" s="27">
        <v>9.0060000000000002</v>
      </c>
      <c r="N23" s="27">
        <v>27.54</v>
      </c>
    </row>
    <row r="24" spans="1:14" ht="18" customHeight="1" x14ac:dyDescent="0.2">
      <c r="A24" s="27">
        <v>11</v>
      </c>
      <c r="B24" s="17">
        <v>8.5029500000000002</v>
      </c>
      <c r="C24" s="17">
        <v>15.119335000000001</v>
      </c>
      <c r="D24" s="17">
        <v>556.17328999999995</v>
      </c>
      <c r="E24" s="17">
        <v>661.53445999999997</v>
      </c>
      <c r="F24" s="17">
        <v>0.48399999999999999</v>
      </c>
      <c r="G24" s="17">
        <v>0.80900000000000005</v>
      </c>
      <c r="H24" s="17">
        <f t="shared" si="0"/>
        <v>1.1010436946487967</v>
      </c>
      <c r="I24" s="17">
        <f t="shared" si="1"/>
        <v>1.3570029790638687</v>
      </c>
      <c r="J24" s="17">
        <f t="shared" si="2"/>
        <v>2.1752039906038981E-3</v>
      </c>
      <c r="K24" s="17">
        <f t="shared" si="3"/>
        <v>1.7781281790437438</v>
      </c>
      <c r="L24" s="17">
        <v>654.1</v>
      </c>
      <c r="M24" s="27">
        <v>8.359</v>
      </c>
      <c r="N24" s="27">
        <v>18.190000000000001</v>
      </c>
    </row>
    <row r="25" spans="1:14" ht="18" customHeight="1" x14ac:dyDescent="0.2">
      <c r="A25" s="27">
        <v>12</v>
      </c>
      <c r="B25" s="17">
        <v>8.4294250000000002</v>
      </c>
      <c r="C25" s="17">
        <v>15.14615</v>
      </c>
      <c r="D25" s="17">
        <v>558.91278999999997</v>
      </c>
      <c r="E25" s="17">
        <v>667.89009999999996</v>
      </c>
      <c r="F25" s="17">
        <v>0.44800000000000001</v>
      </c>
      <c r="G25" s="17">
        <v>0.83499999999999996</v>
      </c>
      <c r="H25" s="17">
        <f t="shared" si="0"/>
        <v>1.0908366554810607</v>
      </c>
      <c r="I25" s="17">
        <f t="shared" si="1"/>
        <v>1.3058701070751333</v>
      </c>
      <c r="J25" s="17">
        <f t="shared" si="2"/>
        <v>2.572885314949213E-3</v>
      </c>
      <c r="K25" s="17">
        <f t="shared" si="3"/>
        <v>1.7968188814776809</v>
      </c>
      <c r="L25" s="17">
        <v>666.81</v>
      </c>
      <c r="M25" s="27">
        <v>8.0090000000000003</v>
      </c>
      <c r="N25" s="27">
        <v>11.9</v>
      </c>
    </row>
    <row r="26" spans="1:14" s="96" customFormat="1" ht="18" customHeight="1" x14ac:dyDescent="0.2">
      <c r="A26" s="97">
        <v>1</v>
      </c>
      <c r="B26" s="95">
        <v>14.602930000000001</v>
      </c>
      <c r="C26" s="95">
        <v>14.257795000000002</v>
      </c>
      <c r="D26" s="95">
        <v>672.43767000000003</v>
      </c>
      <c r="E26" s="95">
        <v>672.43767000000003</v>
      </c>
      <c r="F26" s="95">
        <v>0.66100000000000003</v>
      </c>
      <c r="G26" s="95">
        <v>0.45</v>
      </c>
      <c r="H26" s="95">
        <f t="shared" si="0"/>
        <v>1.045059298414224</v>
      </c>
      <c r="I26" s="95">
        <f t="shared" si="1"/>
        <v>1.1392148324407427</v>
      </c>
      <c r="J26" s="95">
        <f t="shared" si="2"/>
        <v>1.6429131317363711E-3</v>
      </c>
      <c r="K26" s="95">
        <f t="shared" si="3"/>
        <v>0.97636535955455517</v>
      </c>
      <c r="L26" s="95">
        <v>652.76</v>
      </c>
      <c r="M26" s="98">
        <v>13.3082867782893</v>
      </c>
      <c r="N26" s="97">
        <v>24.9</v>
      </c>
    </row>
    <row r="27" spans="1:14" s="96" customFormat="1" ht="18" customHeight="1" x14ac:dyDescent="0.2">
      <c r="A27" s="97">
        <v>2</v>
      </c>
      <c r="B27" s="95">
        <v>14.643585000000002</v>
      </c>
      <c r="C27" s="95">
        <v>14.324400000000001</v>
      </c>
      <c r="D27" s="95">
        <v>656.60335999999995</v>
      </c>
      <c r="E27" s="95">
        <v>656.60335999999995</v>
      </c>
      <c r="F27" s="95">
        <v>0.67700000000000005</v>
      </c>
      <c r="G27" s="95">
        <v>0.46500000000000002</v>
      </c>
      <c r="H27" s="95">
        <f t="shared" si="0"/>
        <v>1.0464136420495664</v>
      </c>
      <c r="I27" s="95">
        <f t="shared" si="1"/>
        <v>1.1465444663234314</v>
      </c>
      <c r="J27" s="95">
        <f t="shared" si="2"/>
        <v>1.514106095155043E-3</v>
      </c>
      <c r="K27" s="95">
        <f t="shared" si="3"/>
        <v>0.9782030834662413</v>
      </c>
      <c r="L27" s="95">
        <v>649.48</v>
      </c>
      <c r="M27" s="98">
        <v>12.95908401020438</v>
      </c>
      <c r="N27" s="97">
        <v>19.96</v>
      </c>
    </row>
    <row r="28" spans="1:14" s="96" customFormat="1" ht="18" customHeight="1" x14ac:dyDescent="0.2">
      <c r="A28" s="97">
        <v>3</v>
      </c>
      <c r="B28" s="95">
        <v>14.684240000000001</v>
      </c>
      <c r="C28" s="95">
        <v>14.393599999999999</v>
      </c>
      <c r="D28" s="95">
        <v>648.38486</v>
      </c>
      <c r="E28" s="95">
        <v>648.38486</v>
      </c>
      <c r="F28" s="95">
        <v>0.68799999999999994</v>
      </c>
      <c r="G28" s="95">
        <v>0.47899999999999998</v>
      </c>
      <c r="H28" s="95">
        <f t="shared" si="0"/>
        <v>1.0466403579273578</v>
      </c>
      <c r="I28" s="95">
        <f t="shared" si="1"/>
        <v>1.1497651069822514</v>
      </c>
      <c r="J28" s="95">
        <f t="shared" si="2"/>
        <v>1.3738119942454559E-3</v>
      </c>
      <c r="K28" s="95">
        <f t="shared" si="3"/>
        <v>0.98020735155513661</v>
      </c>
      <c r="L28" s="95">
        <v>647.16999999999996</v>
      </c>
      <c r="M28" s="98">
        <v>12.626022520012901</v>
      </c>
      <c r="N28" s="97">
        <v>17.12</v>
      </c>
    </row>
    <row r="29" spans="1:14" s="96" customFormat="1" ht="18" customHeight="1" x14ac:dyDescent="0.2">
      <c r="A29" s="97">
        <v>4</v>
      </c>
      <c r="B29" s="95">
        <v>14.738735</v>
      </c>
      <c r="C29" s="95">
        <v>14.471450000000001</v>
      </c>
      <c r="D29" s="95">
        <v>644.38518999999997</v>
      </c>
      <c r="E29" s="95">
        <v>644.38518999999997</v>
      </c>
      <c r="F29" s="95">
        <v>0.70099999999999996</v>
      </c>
      <c r="G29" s="95">
        <v>0.495</v>
      </c>
      <c r="H29" s="95">
        <f t="shared" si="0"/>
        <v>1.0469732746745726</v>
      </c>
      <c r="I29" s="95">
        <f t="shared" si="1"/>
        <v>1.1529923444208297</v>
      </c>
      <c r="J29" s="95">
        <f t="shared" si="2"/>
        <v>1.2579981889616204E-3</v>
      </c>
      <c r="K29" s="95">
        <f t="shared" si="3"/>
        <v>0.98186513293033628</v>
      </c>
      <c r="L29" s="95">
        <v>645.88</v>
      </c>
      <c r="M29" s="98">
        <v>12.190601706594727</v>
      </c>
      <c r="N29" s="97">
        <v>15.45</v>
      </c>
    </row>
    <row r="30" spans="1:14" s="96" customFormat="1" ht="18" customHeight="1" x14ac:dyDescent="0.2">
      <c r="A30" s="97">
        <v>5</v>
      </c>
      <c r="B30" s="95">
        <v>14.793229999999999</v>
      </c>
      <c r="C30" s="95">
        <v>14.526810000000001</v>
      </c>
      <c r="D30" s="95">
        <v>643.01544000000001</v>
      </c>
      <c r="E30" s="95">
        <v>643.01544000000001</v>
      </c>
      <c r="F30" s="95">
        <v>0.71299999999999997</v>
      </c>
      <c r="G30" s="95">
        <v>0.50700000000000001</v>
      </c>
      <c r="H30" s="95">
        <f t="shared" si="0"/>
        <v>1.0478062882807444</v>
      </c>
      <c r="I30" s="95">
        <f t="shared" si="1"/>
        <v>1.1563538440508088</v>
      </c>
      <c r="J30" s="95">
        <f t="shared" si="2"/>
        <v>1.2493120056114963E-3</v>
      </c>
      <c r="K30" s="95">
        <f t="shared" si="3"/>
        <v>0.98199041047830671</v>
      </c>
      <c r="L30" s="95">
        <v>645.41999999999996</v>
      </c>
      <c r="M30" s="98">
        <v>11.754393513767116</v>
      </c>
      <c r="N30" s="97">
        <v>14.8</v>
      </c>
    </row>
    <row r="31" spans="1:14" s="96" customFormat="1" ht="18" customHeight="1" x14ac:dyDescent="0.2">
      <c r="A31" s="97">
        <v>6</v>
      </c>
      <c r="B31" s="95">
        <v>14.847725000000001</v>
      </c>
      <c r="C31" s="95">
        <v>14.57525</v>
      </c>
      <c r="D31" s="95">
        <v>642.96064999999999</v>
      </c>
      <c r="E31" s="95">
        <v>642.96064999999999</v>
      </c>
      <c r="F31" s="95">
        <v>0.72699999999999998</v>
      </c>
      <c r="G31" s="95">
        <v>0.51800000000000002</v>
      </c>
      <c r="H31" s="95">
        <f t="shared" si="0"/>
        <v>1.0493904702899821</v>
      </c>
      <c r="I31" s="95">
        <f t="shared" si="1"/>
        <v>1.1620799371931465</v>
      </c>
      <c r="J31" s="95">
        <f t="shared" si="2"/>
        <v>1.2732830529629691E-3</v>
      </c>
      <c r="K31" s="95">
        <f t="shared" si="3"/>
        <v>0.98164870375764635</v>
      </c>
      <c r="L31" s="95">
        <v>645.38</v>
      </c>
      <c r="M31" s="98">
        <v>11.312279975368735</v>
      </c>
      <c r="N31" s="97">
        <v>14.16</v>
      </c>
    </row>
    <row r="32" spans="1:14" s="96" customFormat="1" ht="18" customHeight="1" x14ac:dyDescent="0.2">
      <c r="A32" s="97">
        <v>7</v>
      </c>
      <c r="B32" s="95">
        <v>14.902220000000002</v>
      </c>
      <c r="C32" s="95">
        <v>14.622824999999999</v>
      </c>
      <c r="D32" s="95">
        <v>643.45375999999999</v>
      </c>
      <c r="E32" s="95">
        <v>643.45375999999999</v>
      </c>
      <c r="F32" s="95">
        <v>0.74199999999999999</v>
      </c>
      <c r="G32" s="95">
        <v>0.52800000000000002</v>
      </c>
      <c r="H32" s="95">
        <f t="shared" si="0"/>
        <v>1.0514853420787817</v>
      </c>
      <c r="I32" s="95">
        <f t="shared" si="1"/>
        <v>1.169746063082628</v>
      </c>
      <c r="J32" s="95">
        <f t="shared" si="2"/>
        <v>1.3011789854485544E-3</v>
      </c>
      <c r="K32" s="95">
        <f t="shared" si="3"/>
        <v>0.9812514511260737</v>
      </c>
      <c r="L32" s="95">
        <v>645.54</v>
      </c>
      <c r="M32" s="98">
        <v>10.86071788405712</v>
      </c>
      <c r="N32" s="97">
        <v>13.51</v>
      </c>
    </row>
    <row r="33" spans="1:14" s="96" customFormat="1" ht="18" customHeight="1" x14ac:dyDescent="0.2">
      <c r="A33" s="97">
        <v>8</v>
      </c>
      <c r="B33" s="95">
        <v>14.956715000000001</v>
      </c>
      <c r="C33" s="95">
        <v>14.661750000000001</v>
      </c>
      <c r="D33" s="95">
        <v>645.20704000000001</v>
      </c>
      <c r="E33" s="95">
        <v>645.20704000000001</v>
      </c>
      <c r="F33" s="95">
        <v>0.75900000000000001</v>
      </c>
      <c r="G33" s="95">
        <v>0.53500000000000003</v>
      </c>
      <c r="H33" s="95">
        <f t="shared" si="0"/>
        <v>1.054832323633595</v>
      </c>
      <c r="I33" s="95">
        <f t="shared" si="1"/>
        <v>1.1816574441725536</v>
      </c>
      <c r="J33" s="95">
        <f t="shared" si="2"/>
        <v>1.3694031765954587E-3</v>
      </c>
      <c r="K33" s="95">
        <f t="shared" si="3"/>
        <v>0.98027875773523798</v>
      </c>
      <c r="L33" s="95">
        <v>645.97</v>
      </c>
      <c r="M33" s="98">
        <v>10.395376653080374</v>
      </c>
      <c r="N33" s="97">
        <v>12.92</v>
      </c>
    </row>
    <row r="34" spans="1:14" s="96" customFormat="1" ht="18" customHeight="1" x14ac:dyDescent="0.2">
      <c r="A34" s="97">
        <v>9</v>
      </c>
      <c r="B34" s="95">
        <v>15.010345000000001</v>
      </c>
      <c r="C34" s="95">
        <v>14.699810000000001</v>
      </c>
      <c r="D34" s="95">
        <v>647.89175</v>
      </c>
      <c r="E34" s="95">
        <v>647.89175</v>
      </c>
      <c r="F34" s="95">
        <v>0.77800000000000002</v>
      </c>
      <c r="G34" s="95">
        <v>0.54200000000000004</v>
      </c>
      <c r="H34" s="95">
        <f t="shared" si="0"/>
        <v>1.0588465976193877</v>
      </c>
      <c r="I34" s="95">
        <f t="shared" si="1"/>
        <v>1.1962906439289771</v>
      </c>
      <c r="J34" s="95">
        <f t="shared" si="2"/>
        <v>1.4373304826952541E-3</v>
      </c>
      <c r="K34" s="95">
        <f t="shared" si="3"/>
        <v>0.97931193453581511</v>
      </c>
      <c r="L34" s="95">
        <v>647.39</v>
      </c>
      <c r="M34" s="98">
        <v>9.910744626572443</v>
      </c>
      <c r="N34" s="97">
        <v>12.47</v>
      </c>
    </row>
    <row r="35" spans="1:14" s="96" customFormat="1" ht="18" customHeight="1" x14ac:dyDescent="0.2">
      <c r="A35" s="97">
        <v>10</v>
      </c>
      <c r="B35" s="95">
        <v>15.06484</v>
      </c>
      <c r="C35" s="95">
        <v>14.699810000000001</v>
      </c>
      <c r="D35" s="95">
        <v>652.98721999999998</v>
      </c>
      <c r="E35" s="95">
        <v>652.98721999999998</v>
      </c>
      <c r="F35" s="95">
        <v>0.80200000000000005</v>
      </c>
      <c r="G35" s="95">
        <v>0.54500000000000004</v>
      </c>
      <c r="H35" s="95">
        <f t="shared" si="0"/>
        <v>1.0653534767157038</v>
      </c>
      <c r="I35" s="95">
        <f t="shared" si="1"/>
        <v>1.2177979654877671</v>
      </c>
      <c r="J35" s="95">
        <f t="shared" si="2"/>
        <v>1.6862098072374689E-3</v>
      </c>
      <c r="K35" s="95">
        <f t="shared" si="3"/>
        <v>0.97576940744143326</v>
      </c>
      <c r="L35" s="95">
        <v>649.72</v>
      </c>
      <c r="M35" s="98">
        <v>9.3993417001436814</v>
      </c>
      <c r="N35" s="97">
        <v>12.71</v>
      </c>
    </row>
    <row r="36" spans="1:14" s="96" customFormat="1" ht="18" customHeight="1" x14ac:dyDescent="0.2">
      <c r="A36" s="97">
        <v>11</v>
      </c>
      <c r="B36" s="95">
        <v>15.119335000000001</v>
      </c>
      <c r="C36" s="95">
        <v>14.632340000000001</v>
      </c>
      <c r="D36" s="95">
        <v>661.53445999999997</v>
      </c>
      <c r="E36" s="95">
        <v>661.53445999999997</v>
      </c>
      <c r="F36" s="95">
        <v>0.83299999999999996</v>
      </c>
      <c r="G36" s="95">
        <v>0.54100000000000004</v>
      </c>
      <c r="H36" s="95">
        <f t="shared" si="0"/>
        <v>1.0758043040946543</v>
      </c>
      <c r="I36" s="95">
        <f t="shared" si="1"/>
        <v>1.2498202739533837</v>
      </c>
      <c r="J36" s="95">
        <f t="shared" si="2"/>
        <v>2.2498236457886237E-3</v>
      </c>
      <c r="K36" s="95">
        <f t="shared" si="3"/>
        <v>0.9677899193317695</v>
      </c>
      <c r="L36" s="95">
        <v>654.1</v>
      </c>
      <c r="M36" s="98">
        <v>8.8438455267864988</v>
      </c>
      <c r="N36" s="97">
        <v>14.31</v>
      </c>
    </row>
    <row r="37" spans="1:14" s="96" customFormat="1" ht="18" customHeight="1" x14ac:dyDescent="0.2">
      <c r="A37" s="97">
        <v>12</v>
      </c>
      <c r="B37" s="95">
        <v>15.147015000000001</v>
      </c>
      <c r="C37" s="95">
        <v>14.571790000000002</v>
      </c>
      <c r="D37" s="95">
        <v>667.89009999999996</v>
      </c>
      <c r="E37" s="95">
        <v>667.89009999999996</v>
      </c>
      <c r="F37" s="95">
        <v>0.85499999999999998</v>
      </c>
      <c r="G37" s="95">
        <v>0.53200000000000003</v>
      </c>
      <c r="H37" s="95">
        <f t="shared" si="0"/>
        <v>1.0848001069084674</v>
      </c>
      <c r="I37" s="95">
        <f t="shared" si="1"/>
        <v>1.2791158072458713</v>
      </c>
      <c r="J37" s="95">
        <f t="shared" si="2"/>
        <v>2.6600875082730159E-3</v>
      </c>
      <c r="K37" s="95">
        <f t="shared" si="3"/>
        <v>0.96202387070983952</v>
      </c>
      <c r="L37" s="95">
        <v>666.81</v>
      </c>
      <c r="M37" s="98">
        <v>8.5403107644488756</v>
      </c>
      <c r="N37" s="97">
        <v>16</v>
      </c>
    </row>
    <row r="38" spans="1:14" ht="18" customHeight="1" x14ac:dyDescent="0.2">
      <c r="A38" s="27">
        <v>1</v>
      </c>
      <c r="B38" s="17">
        <v>14.256065</v>
      </c>
      <c r="C38" s="17">
        <v>22.920770000000001</v>
      </c>
      <c r="D38" s="17">
        <v>672.43767000000003</v>
      </c>
      <c r="E38" s="17">
        <v>781.96287999999993</v>
      </c>
      <c r="F38" s="17">
        <v>0.495</v>
      </c>
      <c r="G38" s="17">
        <v>0.61399999999999999</v>
      </c>
      <c r="H38" s="17">
        <f t="shared" si="0"/>
        <v>1.1343366180665242</v>
      </c>
      <c r="I38" s="17">
        <f t="shared" si="1"/>
        <v>1.4738626335775056</v>
      </c>
      <c r="J38" s="17">
        <f t="shared" si="2"/>
        <v>3.6618944328339238E-3</v>
      </c>
      <c r="K38" s="17">
        <f t="shared" si="3"/>
        <v>1.6077907893938477</v>
      </c>
      <c r="L38" s="17">
        <v>755.83</v>
      </c>
      <c r="M38" s="27">
        <v>13.117000000000001</v>
      </c>
      <c r="N38" s="27">
        <v>61.4</v>
      </c>
    </row>
    <row r="39" spans="1:14" ht="18" customHeight="1" x14ac:dyDescent="0.2">
      <c r="A39" s="27">
        <v>2</v>
      </c>
      <c r="B39" s="17">
        <v>14.321804999999999</v>
      </c>
      <c r="C39" s="17">
        <v>22.982184999999998</v>
      </c>
      <c r="D39" s="17">
        <v>656.71294</v>
      </c>
      <c r="E39" s="17">
        <v>761.25225999999998</v>
      </c>
      <c r="F39" s="17">
        <v>0.50600000000000001</v>
      </c>
      <c r="G39" s="17">
        <v>0.623</v>
      </c>
      <c r="H39" s="17">
        <f t="shared" si="0"/>
        <v>1.130767629635522</v>
      </c>
      <c r="I39" s="17">
        <f t="shared" si="1"/>
        <v>1.4711764766033559</v>
      </c>
      <c r="J39" s="17">
        <f t="shared" si="2"/>
        <v>3.0306350274554722E-3</v>
      </c>
      <c r="K39" s="17">
        <f t="shared" si="3"/>
        <v>1.6046989188862715</v>
      </c>
      <c r="L39" s="17">
        <v>750.12</v>
      </c>
      <c r="M39" s="27">
        <v>12.792999999999999</v>
      </c>
      <c r="N39" s="27">
        <v>57.49</v>
      </c>
    </row>
    <row r="40" spans="1:14" ht="18" customHeight="1" x14ac:dyDescent="0.2">
      <c r="A40" s="27">
        <v>3</v>
      </c>
      <c r="B40" s="17">
        <v>14.389275</v>
      </c>
      <c r="C40" s="17">
        <v>23.044464999999999</v>
      </c>
      <c r="D40" s="17">
        <v>648.43964999999992</v>
      </c>
      <c r="E40" s="17">
        <v>750.07510000000002</v>
      </c>
      <c r="F40" s="17">
        <v>0.52</v>
      </c>
      <c r="G40" s="17">
        <v>0.63</v>
      </c>
      <c r="H40" s="17">
        <f t="shared" si="0"/>
        <v>1.1296252524069057</v>
      </c>
      <c r="I40" s="17">
        <f t="shared" si="1"/>
        <v>1.4739234888389312</v>
      </c>
      <c r="J40" s="17">
        <f t="shared" si="2"/>
        <v>2.6601697097011559E-3</v>
      </c>
      <c r="K40" s="17">
        <f t="shared" si="3"/>
        <v>1.6015028554253081</v>
      </c>
      <c r="L40" s="17">
        <v>746.33</v>
      </c>
      <c r="M40" s="27">
        <v>12.506</v>
      </c>
      <c r="N40" s="27">
        <v>55.36</v>
      </c>
    </row>
    <row r="41" spans="1:14" ht="18" customHeight="1" x14ac:dyDescent="0.2">
      <c r="A41" s="27">
        <v>4</v>
      </c>
      <c r="B41" s="17">
        <v>14.467990000000002</v>
      </c>
      <c r="C41" s="17">
        <v>23.125775000000004</v>
      </c>
      <c r="D41" s="17">
        <v>644.43997999999988</v>
      </c>
      <c r="E41" s="17">
        <v>743.82903999999996</v>
      </c>
      <c r="F41" s="17">
        <v>0.53600000000000003</v>
      </c>
      <c r="G41" s="17">
        <v>0.63900000000000001</v>
      </c>
      <c r="H41" s="17">
        <f t="shared" si="0"/>
        <v>1.1283967280151652</v>
      </c>
      <c r="I41" s="17">
        <f t="shared" si="1"/>
        <v>1.476682641453831</v>
      </c>
      <c r="J41" s="17">
        <f t="shared" si="2"/>
        <v>2.2708114353368961E-3</v>
      </c>
      <c r="K41" s="17">
        <f t="shared" si="3"/>
        <v>1.5984096616046874</v>
      </c>
      <c r="L41" s="17">
        <v>744.45</v>
      </c>
      <c r="M41" s="27">
        <v>12.141</v>
      </c>
      <c r="N41" s="27">
        <v>53.02</v>
      </c>
    </row>
    <row r="42" spans="1:14" ht="18" customHeight="1" x14ac:dyDescent="0.2">
      <c r="A42" s="27">
        <v>5</v>
      </c>
      <c r="B42" s="17">
        <v>14.525080000000001</v>
      </c>
      <c r="C42" s="17">
        <v>23.208815000000001</v>
      </c>
      <c r="D42" s="17">
        <v>643.07022999999992</v>
      </c>
      <c r="E42" s="17">
        <v>741.63743999999997</v>
      </c>
      <c r="F42" s="17">
        <v>0.54800000000000004</v>
      </c>
      <c r="G42" s="17">
        <v>0.65</v>
      </c>
      <c r="H42" s="17">
        <f t="shared" si="0"/>
        <v>1.127286899004001</v>
      </c>
      <c r="I42" s="17">
        <f t="shared" si="1"/>
        <v>1.4753283878347117</v>
      </c>
      <c r="J42" s="17">
        <f t="shared" si="2"/>
        <v>2.0975399563160912E-3</v>
      </c>
      <c r="K42" s="17">
        <f t="shared" si="3"/>
        <v>1.5978442115292997</v>
      </c>
      <c r="L42" s="17">
        <v>743.8</v>
      </c>
      <c r="M42" s="27">
        <v>11.78</v>
      </c>
      <c r="N42" s="27">
        <v>50.65</v>
      </c>
    </row>
    <row r="43" spans="1:14" ht="18" customHeight="1" x14ac:dyDescent="0.2">
      <c r="A43" s="27">
        <v>6</v>
      </c>
      <c r="B43" s="17">
        <v>14.573520000000002</v>
      </c>
      <c r="C43" s="17">
        <v>23.291854999999998</v>
      </c>
      <c r="D43" s="17">
        <v>642.96064999999999</v>
      </c>
      <c r="E43" s="17">
        <v>741.19911999999999</v>
      </c>
      <c r="F43" s="17">
        <v>0.55800000000000005</v>
      </c>
      <c r="G43" s="17">
        <v>0.66300000000000003</v>
      </c>
      <c r="H43" s="17">
        <f t="shared" si="0"/>
        <v>1.1256207132315204</v>
      </c>
      <c r="I43" s="17">
        <f t="shared" si="1"/>
        <v>1.4702294945680809</v>
      </c>
      <c r="J43" s="17">
        <f t="shared" si="2"/>
        <v>1.9798721834983803E-3</v>
      </c>
      <c r="K43" s="17">
        <f t="shared" si="3"/>
        <v>1.598231244064577</v>
      </c>
      <c r="L43" s="17">
        <v>743.77</v>
      </c>
      <c r="M43" s="27">
        <v>11.417999999999999</v>
      </c>
      <c r="N43" s="27">
        <v>47.95</v>
      </c>
    </row>
    <row r="44" spans="1:14" ht="18" customHeight="1" x14ac:dyDescent="0.2">
      <c r="A44" s="27">
        <v>7</v>
      </c>
      <c r="B44" s="17">
        <v>14.62196</v>
      </c>
      <c r="C44" s="17">
        <v>23.374030000000001</v>
      </c>
      <c r="D44" s="17">
        <v>643.50855000000001</v>
      </c>
      <c r="E44" s="17">
        <v>741.52785999999992</v>
      </c>
      <c r="F44" s="17">
        <v>0.56699999999999995</v>
      </c>
      <c r="G44" s="17">
        <v>0.67800000000000005</v>
      </c>
      <c r="H44" s="17">
        <f t="shared" si="0"/>
        <v>1.1231527189882735</v>
      </c>
      <c r="I44" s="17">
        <f t="shared" si="1"/>
        <v>1.4613620393148063</v>
      </c>
      <c r="J44" s="17">
        <f t="shared" si="2"/>
        <v>1.8677796346757945E-3</v>
      </c>
      <c r="K44" s="17">
        <f t="shared" si="3"/>
        <v>1.5985565546616187</v>
      </c>
      <c r="L44" s="17">
        <v>744.21</v>
      </c>
      <c r="M44" s="27">
        <v>11.054</v>
      </c>
      <c r="N44" s="27">
        <v>44.93</v>
      </c>
    </row>
    <row r="45" spans="1:14" ht="18" customHeight="1" x14ac:dyDescent="0.2">
      <c r="A45" s="27">
        <v>8</v>
      </c>
      <c r="B45" s="17">
        <v>14.660885</v>
      </c>
      <c r="C45" s="17">
        <v>23.456205000000001</v>
      </c>
      <c r="D45" s="17">
        <v>645.15224999999998</v>
      </c>
      <c r="E45" s="17">
        <v>743.55508999999995</v>
      </c>
      <c r="F45" s="17">
        <v>0.57299999999999995</v>
      </c>
      <c r="G45" s="17">
        <v>0.69499999999999995</v>
      </c>
      <c r="H45" s="17">
        <f t="shared" si="0"/>
        <v>1.120009590053904</v>
      </c>
      <c r="I45" s="17">
        <f t="shared" si="1"/>
        <v>1.447422717373992</v>
      </c>
      <c r="J45" s="17">
        <f t="shared" si="2"/>
        <v>1.8522093537247999E-3</v>
      </c>
      <c r="K45" s="17">
        <f t="shared" si="3"/>
        <v>1.5999173992565934</v>
      </c>
      <c r="L45" s="17">
        <v>745</v>
      </c>
      <c r="M45" s="27">
        <v>10.686</v>
      </c>
      <c r="N45" s="27">
        <v>41.5</v>
      </c>
    </row>
    <row r="46" spans="1:14" ht="18" customHeight="1" x14ac:dyDescent="0.2">
      <c r="A46" s="27">
        <v>9</v>
      </c>
      <c r="B46" s="17">
        <v>14.696350000000001</v>
      </c>
      <c r="C46" s="17">
        <v>23.539245000000001</v>
      </c>
      <c r="D46" s="17">
        <v>647.94654000000003</v>
      </c>
      <c r="E46" s="17">
        <v>746.89727999999991</v>
      </c>
      <c r="F46" s="17">
        <v>0.57699999999999996</v>
      </c>
      <c r="G46" s="17">
        <v>0.71399999999999997</v>
      </c>
      <c r="H46" s="17">
        <f t="shared" si="0"/>
        <v>1.1157116941404284</v>
      </c>
      <c r="I46" s="17">
        <f t="shared" si="1"/>
        <v>1.4288578690981892</v>
      </c>
      <c r="J46" s="17">
        <f t="shared" si="2"/>
        <v>1.8143872021449473E-3</v>
      </c>
      <c r="K46" s="17">
        <f t="shared" si="3"/>
        <v>1.6017068864037669</v>
      </c>
      <c r="L46" s="17">
        <v>747.16</v>
      </c>
      <c r="M46" s="27">
        <v>10.311</v>
      </c>
      <c r="N46" s="27">
        <v>37.58</v>
      </c>
    </row>
    <row r="47" spans="1:14" ht="18" customHeight="1" x14ac:dyDescent="0.2">
      <c r="A47" s="27">
        <v>10</v>
      </c>
      <c r="B47" s="17">
        <v>14.699810000000001</v>
      </c>
      <c r="C47" s="17">
        <v>23.621420000000001</v>
      </c>
      <c r="D47" s="17">
        <v>652.98721999999998</v>
      </c>
      <c r="E47" s="17">
        <v>753.69123999999988</v>
      </c>
      <c r="F47" s="17">
        <v>0.57199999999999995</v>
      </c>
      <c r="G47" s="17">
        <v>0.73799999999999999</v>
      </c>
      <c r="H47" s="17">
        <f t="shared" si="0"/>
        <v>1.1089521737153727</v>
      </c>
      <c r="I47" s="17">
        <f t="shared" si="1"/>
        <v>1.3969420386858695</v>
      </c>
      <c r="J47" s="17">
        <f t="shared" si="2"/>
        <v>1.9044624775110541E-3</v>
      </c>
      <c r="K47" s="17">
        <f t="shared" si="3"/>
        <v>1.6069200894433329</v>
      </c>
      <c r="L47" s="17">
        <v>751.07</v>
      </c>
      <c r="M47" s="27">
        <v>9.9269999999999996</v>
      </c>
      <c r="N47" s="27">
        <v>32.74</v>
      </c>
    </row>
    <row r="48" spans="1:14" ht="18" customHeight="1" x14ac:dyDescent="0.2">
      <c r="A48" s="27">
        <v>11</v>
      </c>
      <c r="B48" s="17">
        <v>14.630610000000001</v>
      </c>
      <c r="C48" s="17">
        <v>23.703595</v>
      </c>
      <c r="D48" s="17">
        <v>661.53445999999997</v>
      </c>
      <c r="E48" s="17">
        <v>765.69024999999999</v>
      </c>
      <c r="F48" s="17">
        <v>0.55600000000000005</v>
      </c>
      <c r="G48" s="17">
        <v>0.76800000000000002</v>
      </c>
      <c r="H48" s="17">
        <f t="shared" si="0"/>
        <v>1.099325650637281</v>
      </c>
      <c r="I48" s="17">
        <f t="shared" si="1"/>
        <v>1.3528255349444798</v>
      </c>
      <c r="J48" s="17">
        <f t="shared" si="2"/>
        <v>2.0117730036541756E-3</v>
      </c>
      <c r="K48" s="17">
        <f t="shared" si="3"/>
        <v>1.6201371644791296</v>
      </c>
      <c r="L48" s="17">
        <v>757.64</v>
      </c>
      <c r="M48" s="27">
        <v>9.5190000000000001</v>
      </c>
      <c r="N48" s="27">
        <v>25.92</v>
      </c>
    </row>
    <row r="49" spans="1:14" ht="18" customHeight="1" x14ac:dyDescent="0.2">
      <c r="A49" s="27">
        <v>12</v>
      </c>
      <c r="B49" s="17">
        <v>14.56833</v>
      </c>
      <c r="C49" s="17">
        <v>23.745114999999998</v>
      </c>
      <c r="D49" s="17">
        <v>667.89009999999996</v>
      </c>
      <c r="E49" s="17">
        <v>774.45664999999997</v>
      </c>
      <c r="F49" s="17">
        <v>0.54600000000000004</v>
      </c>
      <c r="G49" s="17">
        <v>0.78500000000000003</v>
      </c>
      <c r="H49" s="17">
        <f t="shared" si="0"/>
        <v>1.0938784625791826</v>
      </c>
      <c r="I49" s="17">
        <f t="shared" si="1"/>
        <v>1.3290272388922657</v>
      </c>
      <c r="J49" s="17">
        <f t="shared" si="2"/>
        <v>2.0362440685821534E-3</v>
      </c>
      <c r="K49" s="17">
        <f t="shared" si="3"/>
        <v>1.6299133119581997</v>
      </c>
      <c r="L49" s="17">
        <v>774.33</v>
      </c>
      <c r="M49" s="27">
        <v>9.3010000000000002</v>
      </c>
      <c r="N49" s="27">
        <v>21.37</v>
      </c>
    </row>
    <row r="50" spans="1:14" s="96" customFormat="1" ht="18" customHeight="1" x14ac:dyDescent="0.2">
      <c r="A50" s="97">
        <v>1</v>
      </c>
      <c r="B50" s="95">
        <v>22.920770000000001</v>
      </c>
      <c r="C50" s="95">
        <v>22.461455000000001</v>
      </c>
      <c r="D50" s="95">
        <v>782.01766999999995</v>
      </c>
      <c r="E50" s="95">
        <v>782.01766999999995</v>
      </c>
      <c r="F50" s="95">
        <v>0.624</v>
      </c>
      <c r="G50" s="95">
        <v>0.42499999999999999</v>
      </c>
      <c r="H50" s="95">
        <f t="shared" si="0"/>
        <v>1.0402945590541683</v>
      </c>
      <c r="I50" s="95">
        <f t="shared" si="1"/>
        <v>1.12526763241015</v>
      </c>
      <c r="J50" s="95">
        <f t="shared" si="2"/>
        <v>1.3906038090099083E-3</v>
      </c>
      <c r="K50" s="95">
        <f t="shared" si="3"/>
        <v>0.97996075175484942</v>
      </c>
      <c r="L50" s="95">
        <v>755.83</v>
      </c>
      <c r="M50" s="98">
        <v>12.981</v>
      </c>
      <c r="N50" s="97">
        <v>28</v>
      </c>
    </row>
    <row r="51" spans="1:14" s="96" customFormat="1" ht="18" customHeight="1" x14ac:dyDescent="0.2">
      <c r="A51" s="97">
        <v>2</v>
      </c>
      <c r="B51" s="95">
        <v>22.982184999999998</v>
      </c>
      <c r="C51" s="95">
        <v>22.566985000000003</v>
      </c>
      <c r="D51" s="95">
        <v>761.30704999999989</v>
      </c>
      <c r="E51" s="95">
        <v>761.30704999999989</v>
      </c>
      <c r="F51" s="95">
        <v>0.63700000000000001</v>
      </c>
      <c r="G51" s="95">
        <v>0.437</v>
      </c>
      <c r="H51" s="95">
        <f t="shared" si="0"/>
        <v>1.0413795574583475</v>
      </c>
      <c r="I51" s="95">
        <f t="shared" si="1"/>
        <v>1.1316545980595885</v>
      </c>
      <c r="J51" s="95">
        <f t="shared" si="2"/>
        <v>1.2528002284388825E-3</v>
      </c>
      <c r="K51" s="95">
        <f t="shared" si="3"/>
        <v>0.98193383266212519</v>
      </c>
      <c r="L51" s="95">
        <v>750.12</v>
      </c>
      <c r="M51" s="98">
        <v>12.721</v>
      </c>
      <c r="N51" s="97">
        <v>21.3</v>
      </c>
    </row>
    <row r="52" spans="1:14" s="96" customFormat="1" ht="18" customHeight="1" x14ac:dyDescent="0.2">
      <c r="A52" s="97">
        <v>3</v>
      </c>
      <c r="B52" s="95">
        <v>23.044464999999999</v>
      </c>
      <c r="C52" s="95">
        <v>22.670784999999999</v>
      </c>
      <c r="D52" s="95">
        <v>750.02030999999999</v>
      </c>
      <c r="E52" s="95">
        <v>750.02030999999999</v>
      </c>
      <c r="F52" s="95">
        <v>0.64700000000000002</v>
      </c>
      <c r="G52" s="95">
        <v>0.45</v>
      </c>
      <c r="H52" s="95">
        <f t="shared" si="0"/>
        <v>1.0415394521864487</v>
      </c>
      <c r="I52" s="95">
        <f t="shared" si="1"/>
        <v>1.1343967306575522</v>
      </c>
      <c r="J52" s="95">
        <f t="shared" si="2"/>
        <v>1.1237434858422431E-3</v>
      </c>
      <c r="K52" s="95">
        <f t="shared" si="3"/>
        <v>0.98378439247775984</v>
      </c>
      <c r="L52" s="95">
        <v>746.33</v>
      </c>
      <c r="M52" s="98">
        <v>12.477</v>
      </c>
      <c r="N52" s="97">
        <v>17.88</v>
      </c>
    </row>
    <row r="53" spans="1:14" s="96" customFormat="1" ht="18" customHeight="1" x14ac:dyDescent="0.2">
      <c r="A53" s="97">
        <v>4</v>
      </c>
      <c r="B53" s="95">
        <v>23.161239999999999</v>
      </c>
      <c r="C53" s="95">
        <v>22.784965000000003</v>
      </c>
      <c r="D53" s="95">
        <v>743.9386199999999</v>
      </c>
      <c r="E53" s="95">
        <v>743.82903999999996</v>
      </c>
      <c r="F53" s="95">
        <v>0.65900000000000003</v>
      </c>
      <c r="G53" s="95">
        <v>0.46400000000000002</v>
      </c>
      <c r="H53" s="95">
        <f t="shared" si="0"/>
        <v>1.0418355058231863</v>
      </c>
      <c r="I53" s="95">
        <f t="shared" si="1"/>
        <v>1.1360763289174027</v>
      </c>
      <c r="J53" s="95">
        <f t="shared" si="2"/>
        <v>1.0905321829794076E-3</v>
      </c>
      <c r="K53" s="95">
        <f t="shared" si="3"/>
        <v>0.98375410815655828</v>
      </c>
      <c r="L53" s="95">
        <v>744.45</v>
      </c>
      <c r="M53" s="98">
        <v>12.16</v>
      </c>
      <c r="N53" s="97">
        <v>16.23</v>
      </c>
    </row>
    <row r="54" spans="1:14" s="96" customFormat="1" ht="18" customHeight="1" x14ac:dyDescent="0.2">
      <c r="A54" s="97">
        <v>5</v>
      </c>
      <c r="B54" s="95">
        <v>23.208815000000001</v>
      </c>
      <c r="C54" s="95">
        <v>22.868005</v>
      </c>
      <c r="D54" s="95">
        <v>741.58264999999994</v>
      </c>
      <c r="E54" s="95">
        <v>741.58264999999994</v>
      </c>
      <c r="F54" s="95">
        <v>0.67200000000000004</v>
      </c>
      <c r="G54" s="95">
        <v>0.47499999999999998</v>
      </c>
      <c r="H54" s="95">
        <f t="shared" si="0"/>
        <v>1.0432405693098912</v>
      </c>
      <c r="I54" s="95">
        <f t="shared" si="1"/>
        <v>1.142670322200112</v>
      </c>
      <c r="J54" s="95">
        <f t="shared" si="2"/>
        <v>1.0172618624829134E-3</v>
      </c>
      <c r="K54" s="95">
        <f t="shared" si="3"/>
        <v>0.98531549327270684</v>
      </c>
      <c r="L54" s="95">
        <v>743.8</v>
      </c>
      <c r="M54" s="98">
        <v>11.846</v>
      </c>
      <c r="N54" s="97">
        <v>15.87</v>
      </c>
    </row>
    <row r="55" spans="1:14" s="96" customFormat="1" ht="18" customHeight="1" x14ac:dyDescent="0.2">
      <c r="A55" s="97">
        <v>6</v>
      </c>
      <c r="B55" s="95">
        <v>23.291854999999998</v>
      </c>
      <c r="C55" s="95">
        <v>22.943260000000002</v>
      </c>
      <c r="D55" s="95">
        <v>741.14432999999997</v>
      </c>
      <c r="E55" s="95">
        <v>741.14432999999997</v>
      </c>
      <c r="F55" s="95">
        <v>0.68500000000000005</v>
      </c>
      <c r="G55" s="95">
        <v>0.48499999999999999</v>
      </c>
      <c r="H55" s="95">
        <f t="shared" si="0"/>
        <v>1.0446972193172213</v>
      </c>
      <c r="I55" s="95">
        <f t="shared" si="1"/>
        <v>1.147935758515688</v>
      </c>
      <c r="J55" s="95">
        <f t="shared" si="2"/>
        <v>1.0369804356676112E-3</v>
      </c>
      <c r="K55" s="95">
        <f t="shared" si="3"/>
        <v>0.98503360938834639</v>
      </c>
      <c r="L55" s="95">
        <v>743.77</v>
      </c>
      <c r="M55" s="98">
        <v>11.53</v>
      </c>
      <c r="N55" s="97">
        <v>15.79</v>
      </c>
    </row>
    <row r="56" spans="1:14" s="96" customFormat="1" ht="18" customHeight="1" x14ac:dyDescent="0.2">
      <c r="A56" s="97">
        <v>7</v>
      </c>
      <c r="B56" s="95">
        <v>23.374030000000001</v>
      </c>
      <c r="C56" s="95">
        <v>23.015055</v>
      </c>
      <c r="D56" s="95">
        <v>741.52785999999992</v>
      </c>
      <c r="E56" s="95">
        <v>741.52785999999992</v>
      </c>
      <c r="F56" s="95">
        <v>0.69899999999999995</v>
      </c>
      <c r="G56" s="95">
        <v>0.495</v>
      </c>
      <c r="H56" s="95">
        <f t="shared" si="0"/>
        <v>1.0464394354650359</v>
      </c>
      <c r="I56" s="95">
        <f t="shared" si="1"/>
        <v>1.1541912097143208</v>
      </c>
      <c r="J56" s="95">
        <f t="shared" si="2"/>
        <v>1.0643535378953642E-3</v>
      </c>
      <c r="K56" s="95">
        <f t="shared" si="3"/>
        <v>0.98464214343867951</v>
      </c>
      <c r="L56" s="95">
        <v>744.21</v>
      </c>
      <c r="M56" s="98">
        <v>11.21</v>
      </c>
      <c r="N56" s="97">
        <v>15.79</v>
      </c>
    </row>
    <row r="57" spans="1:14" s="96" customFormat="1" ht="18" customHeight="1" x14ac:dyDescent="0.2">
      <c r="A57" s="97">
        <v>8</v>
      </c>
      <c r="B57" s="95">
        <v>23.456205000000001</v>
      </c>
      <c r="C57" s="95">
        <v>23.077335000000001</v>
      </c>
      <c r="D57" s="95">
        <v>743.55508999999995</v>
      </c>
      <c r="E57" s="95">
        <v>743.55508999999995</v>
      </c>
      <c r="F57" s="95">
        <v>0.71399999999999997</v>
      </c>
      <c r="G57" s="95">
        <v>0.504</v>
      </c>
      <c r="H57" s="95">
        <f t="shared" si="0"/>
        <v>1.0486827600068214</v>
      </c>
      <c r="I57" s="95">
        <f t="shared" si="1"/>
        <v>1.1619363953958728</v>
      </c>
      <c r="J57" s="95">
        <f t="shared" si="2"/>
        <v>1.1198400599103583E-3</v>
      </c>
      <c r="K57" s="95">
        <f t="shared" si="3"/>
        <v>0.98384777077110308</v>
      </c>
      <c r="L57" s="95">
        <v>745</v>
      </c>
      <c r="M57" s="98">
        <v>10.887</v>
      </c>
      <c r="N57" s="97">
        <v>15.78</v>
      </c>
    </row>
    <row r="58" spans="1:14" s="96" customFormat="1" ht="18" customHeight="1" x14ac:dyDescent="0.2">
      <c r="A58" s="97">
        <v>9</v>
      </c>
      <c r="B58" s="95">
        <v>23.539245000000001</v>
      </c>
      <c r="C58" s="95">
        <v>23.131830000000001</v>
      </c>
      <c r="D58" s="95">
        <v>746.84249</v>
      </c>
      <c r="E58" s="95">
        <v>746.84249</v>
      </c>
      <c r="F58" s="95">
        <v>0.73099999999999998</v>
      </c>
      <c r="G58" s="95">
        <v>0.51200000000000001</v>
      </c>
      <c r="H58" s="95">
        <f t="shared" si="0"/>
        <v>1.0517311954975006</v>
      </c>
      <c r="I58" s="95">
        <f t="shared" si="1"/>
        <v>1.1724224016217897</v>
      </c>
      <c r="J58" s="95">
        <f t="shared" si="2"/>
        <v>1.2006272310895634E-3</v>
      </c>
      <c r="K58" s="95">
        <f t="shared" si="3"/>
        <v>0.98269209568956017</v>
      </c>
      <c r="L58" s="95">
        <v>747.16</v>
      </c>
      <c r="M58" s="98">
        <v>10.557</v>
      </c>
      <c r="N58" s="97">
        <v>16.04</v>
      </c>
    </row>
    <row r="59" spans="1:14" s="96" customFormat="1" ht="18" customHeight="1" x14ac:dyDescent="0.2">
      <c r="A59" s="97">
        <v>10</v>
      </c>
      <c r="B59" s="95">
        <v>23.621420000000001</v>
      </c>
      <c r="C59" s="95">
        <v>23.13702</v>
      </c>
      <c r="D59" s="95">
        <v>753.69123999999988</v>
      </c>
      <c r="E59" s="95">
        <v>753.69123999999988</v>
      </c>
      <c r="F59" s="95">
        <v>0.751</v>
      </c>
      <c r="G59" s="95">
        <v>0.51800000000000002</v>
      </c>
      <c r="H59" s="95">
        <f t="shared" si="0"/>
        <v>1.0561235413767263</v>
      </c>
      <c r="I59" s="95">
        <f t="shared" si="1"/>
        <v>1.1857768079701547</v>
      </c>
      <c r="J59" s="95">
        <f t="shared" si="2"/>
        <v>1.4244510698515032E-3</v>
      </c>
      <c r="K59" s="95">
        <f t="shared" si="3"/>
        <v>0.97949318880914016</v>
      </c>
      <c r="L59" s="95">
        <v>751.07</v>
      </c>
      <c r="M59" s="98">
        <v>10.217000000000001</v>
      </c>
      <c r="N59" s="97">
        <v>17.420000000000002</v>
      </c>
    </row>
    <row r="60" spans="1:14" s="96" customFormat="1" ht="18" customHeight="1" x14ac:dyDescent="0.2">
      <c r="A60" s="97">
        <v>11</v>
      </c>
      <c r="B60" s="95">
        <v>23.703595</v>
      </c>
      <c r="C60" s="95">
        <v>23.062629999999999</v>
      </c>
      <c r="D60" s="95">
        <v>765.7450399999999</v>
      </c>
      <c r="E60" s="95">
        <v>765.7450399999999</v>
      </c>
      <c r="F60" s="95">
        <v>0.77300000000000002</v>
      </c>
      <c r="G60" s="95">
        <v>0.51900000000000002</v>
      </c>
      <c r="H60" s="95">
        <f t="shared" si="0"/>
        <v>1.062278519160103</v>
      </c>
      <c r="I60" s="95">
        <f t="shared" si="1"/>
        <v>1.2020679323350794</v>
      </c>
      <c r="J60" s="95">
        <f t="shared" si="2"/>
        <v>1.88370372392287E-3</v>
      </c>
      <c r="K60" s="95">
        <f t="shared" si="3"/>
        <v>0.97295916505492097</v>
      </c>
      <c r="L60" s="95">
        <v>757.64</v>
      </c>
      <c r="M60" s="98">
        <v>9.8550000000000004</v>
      </c>
      <c r="N60" s="97">
        <v>21.14</v>
      </c>
    </row>
    <row r="61" spans="1:14" s="96" customFormat="1" ht="18" customHeight="1" x14ac:dyDescent="0.2">
      <c r="A61" s="97">
        <v>12</v>
      </c>
      <c r="B61" s="95">
        <v>23.745114999999998</v>
      </c>
      <c r="C61" s="95">
        <v>22.997755000000002</v>
      </c>
      <c r="D61" s="95">
        <v>774.51143999999999</v>
      </c>
      <c r="E61" s="95">
        <v>774.51143999999999</v>
      </c>
      <c r="F61" s="95">
        <v>0.78600000000000003</v>
      </c>
      <c r="G61" s="95">
        <v>0.51400000000000001</v>
      </c>
      <c r="H61" s="95">
        <f t="shared" si="0"/>
        <v>1.0671707512410253</v>
      </c>
      <c r="I61" s="95">
        <f t="shared" si="1"/>
        <v>1.2159896088329984</v>
      </c>
      <c r="J61" s="95">
        <f t="shared" si="2"/>
        <v>2.1971200864584206E-3</v>
      </c>
      <c r="K61" s="95">
        <f t="shared" si="3"/>
        <v>0.968525736767331</v>
      </c>
      <c r="L61" s="95">
        <v>774.33</v>
      </c>
      <c r="M61" s="98">
        <v>9.66</v>
      </c>
      <c r="N61" s="97">
        <v>24</v>
      </c>
    </row>
    <row r="62" spans="1:14" ht="18" customHeight="1" x14ac:dyDescent="0.2">
      <c r="A62" s="27">
        <v>1</v>
      </c>
      <c r="B62" s="17">
        <v>22.454535</v>
      </c>
      <c r="C62" s="17">
        <v>33.995365</v>
      </c>
      <c r="D62" s="17">
        <v>781.96287999999993</v>
      </c>
      <c r="E62" s="17">
        <v>889.13211999999999</v>
      </c>
      <c r="F62" s="17">
        <v>0.46200000000000002</v>
      </c>
      <c r="G62" s="17">
        <v>0.59799999999999998</v>
      </c>
      <c r="H62" s="17">
        <f t="shared" ref="H62:H121" si="4">E62/D62*((1+0.2*F62^2)/(1+0.2*G62^2))</f>
        <v>1.1064562970192322</v>
      </c>
      <c r="I62" s="17">
        <f t="shared" ref="I62:I121" si="5">C62/B62*((1+0.2*F62^2)^(1.4/0.4)/(1+0.2*G62^2)^(1.4/0.4))</f>
        <v>1.3761158664739555</v>
      </c>
      <c r="J62" s="17">
        <f t="shared" ref="J62:J121" si="6">0.24 * LN(H62) - 0.06855 * LN(I62)</f>
        <v>2.3933602296451126E-3</v>
      </c>
      <c r="K62" s="17">
        <f t="shared" ref="K62:K121" si="7">C62/B62</f>
        <v>1.5139643283639586</v>
      </c>
      <c r="L62" s="17">
        <v>856.89</v>
      </c>
      <c r="M62" s="29">
        <v>12.835000000000001</v>
      </c>
      <c r="N62" s="27">
        <v>58.52</v>
      </c>
    </row>
    <row r="63" spans="1:14" ht="18" customHeight="1" x14ac:dyDescent="0.2">
      <c r="A63" s="27">
        <v>2</v>
      </c>
      <c r="B63" s="17">
        <v>22.560064999999998</v>
      </c>
      <c r="C63" s="17">
        <v>34.023910000000001</v>
      </c>
      <c r="D63" s="17">
        <v>761.25225999999998</v>
      </c>
      <c r="E63" s="17">
        <v>863.54519000000005</v>
      </c>
      <c r="F63" s="17">
        <v>0.47299999999999998</v>
      </c>
      <c r="G63" s="17">
        <v>0.60399999999999998</v>
      </c>
      <c r="H63" s="17">
        <f t="shared" si="4"/>
        <v>1.1045421193497935</v>
      </c>
      <c r="I63" s="17">
        <f t="shared" si="5"/>
        <v>1.3738338048598249</v>
      </c>
      <c r="J63" s="17">
        <f t="shared" si="6"/>
        <v>2.091572121520599E-3</v>
      </c>
      <c r="K63" s="17">
        <f t="shared" si="7"/>
        <v>1.5081476937234004</v>
      </c>
      <c r="L63" s="17">
        <v>848.66</v>
      </c>
      <c r="M63" s="29">
        <v>12.590999999999999</v>
      </c>
      <c r="N63" s="27">
        <v>55.17</v>
      </c>
    </row>
    <row r="64" spans="1:14" ht="18" customHeight="1" x14ac:dyDescent="0.2">
      <c r="A64" s="27">
        <v>3</v>
      </c>
      <c r="B64" s="17">
        <v>22.666460000000001</v>
      </c>
      <c r="C64" s="17">
        <v>34.104354999999998</v>
      </c>
      <c r="D64" s="17">
        <v>750.07510000000002</v>
      </c>
      <c r="E64" s="17">
        <v>849.29979000000003</v>
      </c>
      <c r="F64" s="17">
        <v>0.48499999999999999</v>
      </c>
      <c r="G64" s="17">
        <v>0.60599999999999998</v>
      </c>
      <c r="H64" s="17">
        <f t="shared" si="4"/>
        <v>1.1044369497431317</v>
      </c>
      <c r="I64" s="17">
        <f t="shared" si="5"/>
        <v>1.379025989606826</v>
      </c>
      <c r="J64" s="17">
        <f t="shared" si="6"/>
        <v>1.8101338889800409E-3</v>
      </c>
      <c r="K64" s="17">
        <f t="shared" si="7"/>
        <v>1.5046176156312012</v>
      </c>
      <c r="L64" s="17">
        <v>843.58</v>
      </c>
      <c r="M64" s="29">
        <v>12.377000000000001</v>
      </c>
      <c r="N64" s="27">
        <v>53.26</v>
      </c>
    </row>
    <row r="65" spans="1:14" ht="18" customHeight="1" x14ac:dyDescent="0.2">
      <c r="A65" s="27">
        <v>4</v>
      </c>
      <c r="B65" s="17">
        <v>22.781505000000003</v>
      </c>
      <c r="C65" s="17">
        <v>34.211615000000002</v>
      </c>
      <c r="D65" s="17">
        <v>743.82903999999996</v>
      </c>
      <c r="E65" s="17">
        <v>840.91691999999989</v>
      </c>
      <c r="F65" s="17">
        <v>0.498</v>
      </c>
      <c r="G65" s="17">
        <v>0.61399999999999999</v>
      </c>
      <c r="H65" s="17">
        <f t="shared" si="4"/>
        <v>1.1034036219332</v>
      </c>
      <c r="I65" s="17">
        <f t="shared" si="5"/>
        <v>1.3793729935875887</v>
      </c>
      <c r="J65" s="17">
        <f t="shared" si="6"/>
        <v>1.5682341208396282E-3</v>
      </c>
      <c r="K65" s="17">
        <f t="shared" si="7"/>
        <v>1.5017276075483159</v>
      </c>
      <c r="L65" s="17">
        <v>841.03</v>
      </c>
      <c r="M65" s="29">
        <v>12.11</v>
      </c>
      <c r="N65" s="27">
        <v>51.53</v>
      </c>
    </row>
    <row r="66" spans="1:14" ht="18" customHeight="1" x14ac:dyDescent="0.2">
      <c r="A66" s="27">
        <v>5</v>
      </c>
      <c r="B66" s="17">
        <v>22.864545</v>
      </c>
      <c r="C66" s="17">
        <v>34.320605</v>
      </c>
      <c r="D66" s="17">
        <v>741.63743999999997</v>
      </c>
      <c r="E66" s="17">
        <v>837.84867999999994</v>
      </c>
      <c r="F66" s="17">
        <v>0.50800000000000001</v>
      </c>
      <c r="G66" s="17">
        <v>0.622</v>
      </c>
      <c r="H66" s="17">
        <f t="shared" si="4"/>
        <v>1.1027122215171212</v>
      </c>
      <c r="I66" s="17">
        <f t="shared" si="5"/>
        <v>1.3791173639804977</v>
      </c>
      <c r="J66" s="17">
        <f t="shared" si="6"/>
        <v>1.4305063807703265E-3</v>
      </c>
      <c r="K66" s="17">
        <f t="shared" si="7"/>
        <v>1.5010403662089056</v>
      </c>
      <c r="L66" s="17">
        <v>839.89</v>
      </c>
      <c r="M66" s="29">
        <v>11.848000000000001</v>
      </c>
      <c r="N66" s="27">
        <v>49.81</v>
      </c>
    </row>
    <row r="67" spans="1:14" ht="18" customHeight="1" x14ac:dyDescent="0.2">
      <c r="A67" s="27">
        <v>6</v>
      </c>
      <c r="B67" s="17">
        <v>22.939800000000002</v>
      </c>
      <c r="C67" s="17">
        <v>34.427865000000004</v>
      </c>
      <c r="D67" s="17">
        <v>741.19911999999999</v>
      </c>
      <c r="E67" s="17">
        <v>837.02683000000002</v>
      </c>
      <c r="F67" s="17">
        <v>0.51800000000000002</v>
      </c>
      <c r="G67" s="17">
        <v>0.63300000000000001</v>
      </c>
      <c r="H67" s="17">
        <f t="shared" si="4"/>
        <v>1.1016098006902366</v>
      </c>
      <c r="I67" s="17">
        <f t="shared" si="5"/>
        <v>1.3759480550744225</v>
      </c>
      <c r="J67" s="17">
        <f t="shared" si="6"/>
        <v>1.3481638048549703E-3</v>
      </c>
      <c r="K67" s="17">
        <f t="shared" si="7"/>
        <v>1.5007918552036199</v>
      </c>
      <c r="L67" s="17">
        <v>839.85</v>
      </c>
      <c r="M67" s="29">
        <v>11.586</v>
      </c>
      <c r="N67" s="27">
        <v>47.74</v>
      </c>
    </row>
    <row r="68" spans="1:14" ht="18" customHeight="1" x14ac:dyDescent="0.2">
      <c r="A68" s="27">
        <v>7</v>
      </c>
      <c r="B68" s="17">
        <v>23.011595</v>
      </c>
      <c r="C68" s="17">
        <v>34.535989999999998</v>
      </c>
      <c r="D68" s="17">
        <v>741.52785999999992</v>
      </c>
      <c r="E68" s="17">
        <v>837.35556999999994</v>
      </c>
      <c r="F68" s="17">
        <v>0.52700000000000002</v>
      </c>
      <c r="G68" s="17">
        <v>0.64600000000000002</v>
      </c>
      <c r="H68" s="17">
        <f t="shared" si="4"/>
        <v>1.1001334200965394</v>
      </c>
      <c r="I68" s="17">
        <f t="shared" si="5"/>
        <v>1.369762894773755</v>
      </c>
      <c r="J68" s="17">
        <f t="shared" si="6"/>
        <v>1.3351399525577227E-3</v>
      </c>
      <c r="K68" s="17">
        <f t="shared" si="7"/>
        <v>1.5008081795286246</v>
      </c>
      <c r="L68" s="17">
        <v>840.39</v>
      </c>
      <c r="M68" s="29">
        <v>11.321</v>
      </c>
      <c r="N68" s="27">
        <v>45.35</v>
      </c>
    </row>
    <row r="69" spans="1:14" ht="18" customHeight="1" x14ac:dyDescent="0.2">
      <c r="A69" s="27">
        <v>8</v>
      </c>
      <c r="B69" s="17">
        <v>23.074740000000002</v>
      </c>
      <c r="C69" s="17">
        <v>34.643250000000002</v>
      </c>
      <c r="D69" s="17">
        <v>743.55508999999995</v>
      </c>
      <c r="E69" s="17">
        <v>839.65674999999999</v>
      </c>
      <c r="F69" s="17">
        <v>0.53500000000000003</v>
      </c>
      <c r="G69" s="17">
        <v>0.66</v>
      </c>
      <c r="H69" s="17">
        <f t="shared" si="4"/>
        <v>1.0982135225923255</v>
      </c>
      <c r="I69" s="17">
        <f t="shared" si="5"/>
        <v>1.3618376969885864</v>
      </c>
      <c r="J69" s="17">
        <f t="shared" si="6"/>
        <v>1.313707730393545E-3</v>
      </c>
      <c r="K69" s="17">
        <f t="shared" si="7"/>
        <v>1.501349527665317</v>
      </c>
      <c r="L69" s="17">
        <v>841.58</v>
      </c>
      <c r="M69" s="29">
        <v>11.054</v>
      </c>
      <c r="N69" s="27">
        <v>42.63</v>
      </c>
    </row>
    <row r="70" spans="1:14" ht="18" customHeight="1" x14ac:dyDescent="0.2">
      <c r="A70" s="27">
        <v>9</v>
      </c>
      <c r="B70" s="17">
        <v>23.12837</v>
      </c>
      <c r="C70" s="17">
        <v>34.751375000000003</v>
      </c>
      <c r="D70" s="17">
        <v>746.34938</v>
      </c>
      <c r="E70" s="17">
        <v>843.49205000000006</v>
      </c>
      <c r="F70" s="17">
        <v>0.54100000000000004</v>
      </c>
      <c r="G70" s="17">
        <v>0.67700000000000005</v>
      </c>
      <c r="H70" s="17">
        <f t="shared" si="4"/>
        <v>1.0958593745248346</v>
      </c>
      <c r="I70" s="17">
        <f t="shared" si="5"/>
        <v>1.3489100829879417</v>
      </c>
      <c r="J70" s="17">
        <f t="shared" si="6"/>
        <v>1.4525254749031373E-3</v>
      </c>
      <c r="K70" s="17">
        <f t="shared" si="7"/>
        <v>1.5025431969481637</v>
      </c>
      <c r="L70" s="17">
        <v>844.52</v>
      </c>
      <c r="M70" s="29">
        <v>10.785</v>
      </c>
      <c r="N70" s="27">
        <v>39.520000000000003</v>
      </c>
    </row>
    <row r="71" spans="1:14" ht="18" customHeight="1" x14ac:dyDescent="0.2">
      <c r="A71" s="27">
        <v>10</v>
      </c>
      <c r="B71" s="17">
        <v>23.135290000000001</v>
      </c>
      <c r="C71" s="17">
        <v>34.859500000000004</v>
      </c>
      <c r="D71" s="17">
        <v>753.69123999999988</v>
      </c>
      <c r="E71" s="17">
        <v>852.03928999999994</v>
      </c>
      <c r="F71" s="17">
        <v>0.54100000000000004</v>
      </c>
      <c r="G71" s="17">
        <v>0.69699999999999995</v>
      </c>
      <c r="H71" s="17">
        <f t="shared" si="4"/>
        <v>1.0906896465609441</v>
      </c>
      <c r="I71" s="17">
        <f t="shared" si="5"/>
        <v>1.3291342004950102</v>
      </c>
      <c r="J71" s="17">
        <f t="shared" si="6"/>
        <v>1.3300703837465615E-3</v>
      </c>
      <c r="K71" s="17">
        <f t="shared" si="7"/>
        <v>1.5067673670829285</v>
      </c>
      <c r="L71" s="17">
        <v>849.92</v>
      </c>
      <c r="M71" s="29">
        <v>10.507</v>
      </c>
      <c r="N71" s="27">
        <v>35.57</v>
      </c>
    </row>
    <row r="72" spans="1:14" ht="18" customHeight="1" x14ac:dyDescent="0.2">
      <c r="A72" s="27">
        <v>11</v>
      </c>
      <c r="B72" s="17">
        <v>23.058305000000004</v>
      </c>
      <c r="C72" s="17">
        <v>34.966760000000001</v>
      </c>
      <c r="D72" s="17">
        <v>765.69024999999999</v>
      </c>
      <c r="E72" s="17">
        <v>867.65443999999991</v>
      </c>
      <c r="F72" s="17">
        <v>0.53300000000000003</v>
      </c>
      <c r="G72" s="17">
        <v>0.72199999999999998</v>
      </c>
      <c r="H72" s="17">
        <f t="shared" si="4"/>
        <v>1.0844854101040888</v>
      </c>
      <c r="I72" s="17">
        <f t="shared" si="5"/>
        <v>1.3004185124269856</v>
      </c>
      <c r="J72" s="17">
        <f t="shared" si="6"/>
        <v>1.4582082807144611E-3</v>
      </c>
      <c r="K72" s="17">
        <f t="shared" si="7"/>
        <v>1.5164497130209698</v>
      </c>
      <c r="L72" s="17">
        <v>858.77</v>
      </c>
      <c r="M72" s="29">
        <v>10.208</v>
      </c>
      <c r="N72" s="27">
        <v>29.71</v>
      </c>
    </row>
    <row r="73" spans="1:14" ht="18" customHeight="1" x14ac:dyDescent="0.2">
      <c r="A73" s="27">
        <v>12</v>
      </c>
      <c r="B73" s="17">
        <v>22.991700000000002</v>
      </c>
      <c r="C73" s="17">
        <v>35.021255000000004</v>
      </c>
      <c r="D73" s="17">
        <v>774.45664999999997</v>
      </c>
      <c r="E73" s="17">
        <v>878.94118000000003</v>
      </c>
      <c r="F73" s="17">
        <v>0.52700000000000002</v>
      </c>
      <c r="G73" s="17">
        <v>0.73499999999999999</v>
      </c>
      <c r="H73" s="17">
        <f t="shared" si="4"/>
        <v>1.0811411132699498</v>
      </c>
      <c r="I73" s="17">
        <f t="shared" si="5"/>
        <v>1.2852260333368717</v>
      </c>
      <c r="J73" s="17">
        <f t="shared" si="6"/>
        <v>1.5225296033461212E-3</v>
      </c>
      <c r="K73" s="17">
        <f t="shared" si="7"/>
        <v>1.5232129420617007</v>
      </c>
      <c r="L73" s="17">
        <v>879.47</v>
      </c>
      <c r="M73" s="29">
        <v>10.041</v>
      </c>
      <c r="N73" s="27">
        <v>25.56</v>
      </c>
    </row>
    <row r="74" spans="1:14" s="96" customFormat="1" ht="18" customHeight="1" x14ac:dyDescent="0.2">
      <c r="A74" s="97">
        <v>1</v>
      </c>
      <c r="B74" s="95">
        <v>33.942599999999999</v>
      </c>
      <c r="C74" s="95">
        <v>33.344885000000005</v>
      </c>
      <c r="D74" s="95">
        <v>889.13211999999999</v>
      </c>
      <c r="E74" s="95">
        <v>889.13211999999999</v>
      </c>
      <c r="F74" s="95">
        <v>0.60399999999999998</v>
      </c>
      <c r="G74" s="95">
        <v>0.41699999999999998</v>
      </c>
      <c r="H74" s="95">
        <f t="shared" si="4"/>
        <v>1.0369020286287549</v>
      </c>
      <c r="I74" s="95">
        <f t="shared" si="5"/>
        <v>1.115234387913888</v>
      </c>
      <c r="J74" s="95">
        <f t="shared" si="6"/>
        <v>1.2206096947073725E-3</v>
      </c>
      <c r="K74" s="95">
        <f t="shared" si="7"/>
        <v>0.98239041794087689</v>
      </c>
      <c r="L74" s="95">
        <v>856.89</v>
      </c>
      <c r="M74" s="97">
        <v>12.702999999999999</v>
      </c>
      <c r="N74" s="97">
        <v>30.6</v>
      </c>
    </row>
    <row r="75" spans="1:14" s="96" customFormat="1" ht="18" customHeight="1" x14ac:dyDescent="0.2">
      <c r="A75" s="97">
        <v>2</v>
      </c>
      <c r="B75" s="95">
        <v>34.005744999999997</v>
      </c>
      <c r="C75" s="95">
        <v>33.497990000000001</v>
      </c>
      <c r="D75" s="95">
        <v>863.70956000000001</v>
      </c>
      <c r="E75" s="95">
        <v>863.70956000000001</v>
      </c>
      <c r="F75" s="95">
        <v>0.61399999999999999</v>
      </c>
      <c r="G75" s="95">
        <v>0.43099999999999999</v>
      </c>
      <c r="H75" s="95">
        <f t="shared" si="4"/>
        <v>1.03687694053004</v>
      </c>
      <c r="I75" s="95">
        <f t="shared" si="5"/>
        <v>1.1181799773158159</v>
      </c>
      <c r="J75" s="95">
        <f t="shared" si="6"/>
        <v>1.0339852033234131E-3</v>
      </c>
      <c r="K75" s="95">
        <f t="shared" si="7"/>
        <v>0.98506855238725111</v>
      </c>
      <c r="L75" s="95">
        <v>848.66</v>
      </c>
      <c r="M75" s="97">
        <v>12.500999999999999</v>
      </c>
      <c r="N75" s="97">
        <v>23.56</v>
      </c>
    </row>
    <row r="76" spans="1:14" s="96" customFormat="1" ht="18" customHeight="1" x14ac:dyDescent="0.2">
      <c r="A76" s="97">
        <v>3</v>
      </c>
      <c r="B76" s="95">
        <v>34.104354999999998</v>
      </c>
      <c r="C76" s="95">
        <v>33.6312</v>
      </c>
      <c r="D76" s="95">
        <v>849.35457999999994</v>
      </c>
      <c r="E76" s="95">
        <v>849.35457999999994</v>
      </c>
      <c r="F76" s="95">
        <v>0.621</v>
      </c>
      <c r="G76" s="95">
        <v>0.442</v>
      </c>
      <c r="H76" s="95">
        <f t="shared" si="4"/>
        <v>1.0366243828151405</v>
      </c>
      <c r="I76" s="95">
        <f t="shared" si="5"/>
        <v>1.1184266134661391</v>
      </c>
      <c r="J76" s="95">
        <f t="shared" si="6"/>
        <v>9.6040163008953312E-4</v>
      </c>
      <c r="K76" s="95">
        <f t="shared" si="7"/>
        <v>0.98612625865523629</v>
      </c>
      <c r="L76" s="95">
        <v>843.58</v>
      </c>
      <c r="M76" s="97">
        <v>12.317</v>
      </c>
      <c r="N76" s="97">
        <v>19.96</v>
      </c>
    </row>
    <row r="77" spans="1:14" s="96" customFormat="1" ht="18" customHeight="1" x14ac:dyDescent="0.2">
      <c r="A77" s="97">
        <v>4</v>
      </c>
      <c r="B77" s="95">
        <v>34.212479999999999</v>
      </c>
      <c r="C77" s="95">
        <v>33.785170000000001</v>
      </c>
      <c r="D77" s="95">
        <v>840.97170999999992</v>
      </c>
      <c r="E77" s="95">
        <v>840.97170999999992</v>
      </c>
      <c r="F77" s="95">
        <v>0.63100000000000001</v>
      </c>
      <c r="G77" s="95">
        <v>0.45400000000000001</v>
      </c>
      <c r="H77" s="95">
        <f t="shared" si="4"/>
        <v>1.0368883444010852</v>
      </c>
      <c r="I77" s="95">
        <f t="shared" si="5"/>
        <v>1.1209946146239416</v>
      </c>
      <c r="J77" s="95">
        <f t="shared" si="6"/>
        <v>8.6429030268916039E-4</v>
      </c>
      <c r="K77" s="95">
        <f t="shared" si="7"/>
        <v>0.98751011326860849</v>
      </c>
      <c r="L77" s="95">
        <v>841.03</v>
      </c>
      <c r="M77" s="97">
        <v>12.08</v>
      </c>
      <c r="N77" s="97">
        <v>18.239999999999998</v>
      </c>
    </row>
    <row r="78" spans="1:14" s="96" customFormat="1" ht="18" customHeight="1" x14ac:dyDescent="0.2">
      <c r="A78" s="97">
        <v>5</v>
      </c>
      <c r="B78" s="95">
        <v>34.319740000000003</v>
      </c>
      <c r="C78" s="95">
        <v>33.904540000000004</v>
      </c>
      <c r="D78" s="95">
        <v>837.79388999999992</v>
      </c>
      <c r="E78" s="95">
        <v>837.79388999999992</v>
      </c>
      <c r="F78" s="95">
        <v>0.64100000000000001</v>
      </c>
      <c r="G78" s="95">
        <v>0.46300000000000002</v>
      </c>
      <c r="H78" s="95">
        <f t="shared" si="4"/>
        <v>1.0376866309231279</v>
      </c>
      <c r="I78" s="95">
        <f t="shared" si="5"/>
        <v>1.1244642246871293</v>
      </c>
      <c r="J78" s="95">
        <f t="shared" si="6"/>
        <v>8.3714937921541138E-4</v>
      </c>
      <c r="K78" s="95">
        <f t="shared" si="7"/>
        <v>0.98790200625063018</v>
      </c>
      <c r="L78" s="95">
        <v>839.89</v>
      </c>
      <c r="M78" s="97">
        <v>11.846</v>
      </c>
      <c r="N78" s="97">
        <v>18.05</v>
      </c>
    </row>
    <row r="79" spans="1:14" s="96" customFormat="1" ht="18" customHeight="1" x14ac:dyDescent="0.2">
      <c r="A79" s="97">
        <v>6</v>
      </c>
      <c r="B79" s="95">
        <v>34.427865000000004</v>
      </c>
      <c r="C79" s="95">
        <v>34.005744999999997</v>
      </c>
      <c r="D79" s="95">
        <v>837.02683000000002</v>
      </c>
      <c r="E79" s="95">
        <v>837.02683000000002</v>
      </c>
      <c r="F79" s="95">
        <v>0.65300000000000002</v>
      </c>
      <c r="G79" s="95">
        <v>0.47099999999999997</v>
      </c>
      <c r="H79" s="95">
        <f t="shared" si="4"/>
        <v>1.039175455552936</v>
      </c>
      <c r="I79" s="95">
        <f t="shared" si="5"/>
        <v>1.1299345397465237</v>
      </c>
      <c r="J79" s="95">
        <f t="shared" si="6"/>
        <v>8.4856865341115945E-4</v>
      </c>
      <c r="K79" s="95">
        <f t="shared" si="7"/>
        <v>0.98773900153262462</v>
      </c>
      <c r="L79" s="95">
        <v>839.85</v>
      </c>
      <c r="M79" s="97">
        <v>11.611000000000001</v>
      </c>
      <c r="N79" s="97">
        <v>18.100000000000001</v>
      </c>
    </row>
    <row r="80" spans="1:14" s="96" customFormat="1" ht="18" customHeight="1" x14ac:dyDescent="0.2">
      <c r="A80" s="97">
        <v>7</v>
      </c>
      <c r="B80" s="95">
        <v>34.535989999999998</v>
      </c>
      <c r="C80" s="95">
        <v>34.100030000000004</v>
      </c>
      <c r="D80" s="95">
        <v>837.24599000000001</v>
      </c>
      <c r="E80" s="95">
        <v>837.24599000000001</v>
      </c>
      <c r="F80" s="95">
        <v>0.66500000000000004</v>
      </c>
      <c r="G80" s="95">
        <v>0.47799999999999998</v>
      </c>
      <c r="H80" s="95">
        <f t="shared" si="4"/>
        <v>1.0408801097985574</v>
      </c>
      <c r="I80" s="95">
        <f t="shared" si="5"/>
        <v>1.1360183198551967</v>
      </c>
      <c r="J80" s="95">
        <f t="shared" si="6"/>
        <v>8.7384394956683924E-4</v>
      </c>
      <c r="K80" s="95">
        <f t="shared" si="7"/>
        <v>0.98737664679657378</v>
      </c>
      <c r="L80" s="95">
        <v>840.39</v>
      </c>
      <c r="M80" s="97">
        <v>11.375999999999999</v>
      </c>
      <c r="N80" s="97">
        <v>18.100000000000001</v>
      </c>
    </row>
    <row r="81" spans="1:14" s="96" customFormat="1" ht="18" customHeight="1" x14ac:dyDescent="0.2">
      <c r="A81" s="97">
        <v>8</v>
      </c>
      <c r="B81" s="95">
        <v>34.643250000000002</v>
      </c>
      <c r="C81" s="95">
        <v>34.185665</v>
      </c>
      <c r="D81" s="95">
        <v>839.60195999999996</v>
      </c>
      <c r="E81" s="95">
        <v>839.60195999999996</v>
      </c>
      <c r="F81" s="95">
        <v>0.67800000000000005</v>
      </c>
      <c r="G81" s="95">
        <v>0.48499999999999999</v>
      </c>
      <c r="H81" s="95">
        <f t="shared" si="4"/>
        <v>1.0428747570543768</v>
      </c>
      <c r="I81" s="95">
        <f t="shared" si="5"/>
        <v>1.1429782036150116</v>
      </c>
      <c r="J81" s="95">
        <f t="shared" si="6"/>
        <v>9.1462347237265991E-4</v>
      </c>
      <c r="K81" s="95">
        <f t="shared" si="7"/>
        <v>0.98679151061173531</v>
      </c>
      <c r="L81" s="95">
        <v>841.58</v>
      </c>
      <c r="M81" s="97">
        <v>11.138999999999999</v>
      </c>
      <c r="N81" s="97">
        <v>18.059999999999999</v>
      </c>
    </row>
    <row r="82" spans="1:14" s="96" customFormat="1" ht="18" customHeight="1" x14ac:dyDescent="0.2">
      <c r="A82" s="97">
        <v>9</v>
      </c>
      <c r="B82" s="95">
        <v>34.751375000000003</v>
      </c>
      <c r="C82" s="95">
        <v>34.249674999999996</v>
      </c>
      <c r="D82" s="95">
        <v>843.49205000000006</v>
      </c>
      <c r="E82" s="95">
        <v>843.49205000000006</v>
      </c>
      <c r="F82" s="95">
        <v>0.69299999999999995</v>
      </c>
      <c r="G82" s="95">
        <v>0.49</v>
      </c>
      <c r="H82" s="95">
        <f t="shared" si="4"/>
        <v>1.0458290872311597</v>
      </c>
      <c r="I82" s="95">
        <f t="shared" si="5"/>
        <v>1.152914150728876</v>
      </c>
      <c r="J82" s="95">
        <f t="shared" si="6"/>
        <v>1.0002192312225568E-3</v>
      </c>
      <c r="K82" s="95">
        <f t="shared" si="7"/>
        <v>0.98556316116988163</v>
      </c>
      <c r="L82" s="95">
        <v>844.52</v>
      </c>
      <c r="M82" s="97">
        <v>10.898</v>
      </c>
      <c r="N82" s="97">
        <v>18.13</v>
      </c>
    </row>
    <row r="83" spans="1:14" s="96" customFormat="1" ht="18" customHeight="1" x14ac:dyDescent="0.2">
      <c r="A83" s="97">
        <v>10</v>
      </c>
      <c r="B83" s="95">
        <v>34.859500000000004</v>
      </c>
      <c r="C83" s="95">
        <v>34.246214999999999</v>
      </c>
      <c r="D83" s="95">
        <v>851.98449999999991</v>
      </c>
      <c r="E83" s="95">
        <v>851.98449999999991</v>
      </c>
      <c r="F83" s="95">
        <v>0.70799999999999996</v>
      </c>
      <c r="G83" s="95">
        <v>0.49299999999999999</v>
      </c>
      <c r="H83" s="95">
        <f t="shared" si="4"/>
        <v>1.0492490152199609</v>
      </c>
      <c r="I83" s="95">
        <f t="shared" si="5"/>
        <v>1.1624289602067854</v>
      </c>
      <c r="J83" s="95">
        <f t="shared" si="6"/>
        <v>1.2203440574268601E-3</v>
      </c>
      <c r="K83" s="95">
        <f t="shared" si="7"/>
        <v>0.98240694789081873</v>
      </c>
      <c r="L83" s="95">
        <v>849.92</v>
      </c>
      <c r="M83" s="97">
        <v>10.651999999999999</v>
      </c>
      <c r="N83" s="97">
        <v>19.48</v>
      </c>
    </row>
    <row r="84" spans="1:14" s="96" customFormat="1" ht="18" customHeight="1" x14ac:dyDescent="0.2">
      <c r="A84" s="97">
        <v>11</v>
      </c>
      <c r="B84" s="95">
        <v>34.967625000000005</v>
      </c>
      <c r="C84" s="95">
        <v>34.166634999999999</v>
      </c>
      <c r="D84" s="95">
        <v>867.54485999999997</v>
      </c>
      <c r="E84" s="95">
        <v>867.54485999999997</v>
      </c>
      <c r="F84" s="95">
        <v>0.72599999999999998</v>
      </c>
      <c r="G84" s="95">
        <v>0.49299999999999999</v>
      </c>
      <c r="H84" s="95">
        <f t="shared" si="4"/>
        <v>1.0541721048191615</v>
      </c>
      <c r="I84" s="95">
        <f t="shared" si="5"/>
        <v>1.1752395321824112</v>
      </c>
      <c r="J84" s="95">
        <f t="shared" si="6"/>
        <v>1.592469279583307E-3</v>
      </c>
      <c r="K84" s="95">
        <f t="shared" si="7"/>
        <v>0.97709338280766833</v>
      </c>
      <c r="L84" s="95">
        <v>858.77</v>
      </c>
      <c r="M84" s="97">
        <v>10.39</v>
      </c>
      <c r="N84" s="97">
        <v>24.22</v>
      </c>
    </row>
    <row r="85" spans="1:14" s="96" customFormat="1" ht="18" customHeight="1" x14ac:dyDescent="0.2">
      <c r="A85" s="97">
        <v>12</v>
      </c>
      <c r="B85" s="95">
        <v>35.021255000000004</v>
      </c>
      <c r="C85" s="95">
        <v>34.091380000000001</v>
      </c>
      <c r="D85" s="95">
        <v>878.94118000000003</v>
      </c>
      <c r="E85" s="95">
        <v>878.94118000000003</v>
      </c>
      <c r="F85" s="95">
        <v>0.73599999999999999</v>
      </c>
      <c r="G85" s="95">
        <v>0.48699999999999999</v>
      </c>
      <c r="H85" s="95">
        <f t="shared" si="4"/>
        <v>1.0581472547477464</v>
      </c>
      <c r="I85" s="95">
        <f t="shared" si="5"/>
        <v>1.1863812104811768</v>
      </c>
      <c r="J85" s="95">
        <f t="shared" si="6"/>
        <v>1.848960350989531E-3</v>
      </c>
      <c r="K85" s="95">
        <f t="shared" si="7"/>
        <v>0.97344826734507361</v>
      </c>
      <c r="L85" s="95">
        <v>879.47</v>
      </c>
      <c r="M85" s="97">
        <v>10.247999999999999</v>
      </c>
      <c r="N85" s="97">
        <v>28.5</v>
      </c>
    </row>
    <row r="86" spans="1:14" ht="18" customHeight="1" x14ac:dyDescent="0.2">
      <c r="A86" s="26">
        <v>1</v>
      </c>
      <c r="B86" s="17">
        <v>33.340560000000004</v>
      </c>
      <c r="C86" s="17">
        <v>48.075835000000005</v>
      </c>
      <c r="D86" s="17">
        <v>889.13211999999999</v>
      </c>
      <c r="E86" s="17">
        <v>993.50706999999989</v>
      </c>
      <c r="F86" s="17">
        <v>0.44</v>
      </c>
      <c r="G86" s="17">
        <v>0.58399999999999996</v>
      </c>
      <c r="H86" s="17">
        <f t="shared" si="4"/>
        <v>1.0865407757203756</v>
      </c>
      <c r="I86" s="17">
        <f t="shared" si="5"/>
        <v>1.307370644462128</v>
      </c>
      <c r="J86" s="17">
        <f t="shared" si="6"/>
        <v>1.5471394332831137E-3</v>
      </c>
      <c r="K86" s="17">
        <f t="shared" si="7"/>
        <v>1.4419624325446243</v>
      </c>
      <c r="L86" s="17">
        <v>956.2</v>
      </c>
      <c r="M86" s="26">
        <v>12.571999999999999</v>
      </c>
      <c r="N86" s="103">
        <v>56.48</v>
      </c>
    </row>
    <row r="87" spans="1:14" ht="18" customHeight="1" x14ac:dyDescent="0.2">
      <c r="A87" s="26">
        <v>2</v>
      </c>
      <c r="B87" s="17">
        <v>33.490205000000003</v>
      </c>
      <c r="C87" s="17">
        <v>48.180500000000002</v>
      </c>
      <c r="D87" s="17">
        <v>863.54519000000005</v>
      </c>
      <c r="E87" s="17">
        <v>963.81088999999997</v>
      </c>
      <c r="F87" s="17">
        <v>0.45100000000000001</v>
      </c>
      <c r="G87" s="17">
        <v>0.58799999999999997</v>
      </c>
      <c r="H87" s="17">
        <f t="shared" si="4"/>
        <v>1.086390347987275</v>
      </c>
      <c r="I87" s="17">
        <f t="shared" si="5"/>
        <v>1.3089723801216395</v>
      </c>
      <c r="J87" s="17">
        <f t="shared" si="6"/>
        <v>1.4299768019823168E-3</v>
      </c>
      <c r="K87" s="17">
        <f t="shared" si="7"/>
        <v>1.4386445230777176</v>
      </c>
      <c r="L87" s="17">
        <v>945.53</v>
      </c>
      <c r="M87" s="26">
        <v>12.377000000000001</v>
      </c>
      <c r="N87" s="103">
        <v>52.79</v>
      </c>
    </row>
    <row r="88" spans="1:14" ht="18" customHeight="1" x14ac:dyDescent="0.2">
      <c r="A88" s="26">
        <v>3</v>
      </c>
      <c r="B88" s="17">
        <v>33.625145000000003</v>
      </c>
      <c r="C88" s="17">
        <v>48.285164999999999</v>
      </c>
      <c r="D88" s="17">
        <v>849.29979000000003</v>
      </c>
      <c r="E88" s="17">
        <v>946.55203999999992</v>
      </c>
      <c r="F88" s="17">
        <v>0.46300000000000002</v>
      </c>
      <c r="G88" s="17">
        <v>0.59099999999999997</v>
      </c>
      <c r="H88" s="17">
        <f t="shared" si="4"/>
        <v>1.0864001781242549</v>
      </c>
      <c r="I88" s="17">
        <f t="shared" si="5"/>
        <v>1.3131724888677461</v>
      </c>
      <c r="J88" s="17">
        <f t="shared" si="6"/>
        <v>1.2125436930533161E-3</v>
      </c>
      <c r="K88" s="17">
        <f t="shared" si="7"/>
        <v>1.4359838448280295</v>
      </c>
      <c r="L88" s="17">
        <v>938.76</v>
      </c>
      <c r="M88" s="26">
        <v>12.21</v>
      </c>
      <c r="N88" s="103">
        <v>51.29</v>
      </c>
    </row>
    <row r="89" spans="1:14" ht="18" customHeight="1" x14ac:dyDescent="0.2">
      <c r="A89" s="26">
        <v>4</v>
      </c>
      <c r="B89" s="17">
        <v>33.780844999999999</v>
      </c>
      <c r="C89" s="17">
        <v>48.425295000000006</v>
      </c>
      <c r="D89" s="17">
        <v>840.91691999999989</v>
      </c>
      <c r="E89" s="17">
        <v>935.92277999999988</v>
      </c>
      <c r="F89" s="17">
        <v>0.47699999999999998</v>
      </c>
      <c r="G89" s="17">
        <v>0.59699999999999998</v>
      </c>
      <c r="H89" s="17">
        <f t="shared" si="4"/>
        <v>1.0861996204165474</v>
      </c>
      <c r="I89" s="17">
        <f t="shared" si="5"/>
        <v>1.3163800294172958</v>
      </c>
      <c r="J89" s="17">
        <f t="shared" si="6"/>
        <v>1.0009984749556403E-3</v>
      </c>
      <c r="K89" s="17">
        <f t="shared" si="7"/>
        <v>1.4335134304662895</v>
      </c>
      <c r="L89" s="17">
        <v>935.23</v>
      </c>
      <c r="M89" s="26">
        <v>12.002000000000001</v>
      </c>
      <c r="N89" s="103">
        <v>49.75</v>
      </c>
    </row>
    <row r="90" spans="1:14" ht="18" customHeight="1" x14ac:dyDescent="0.2">
      <c r="A90" s="26">
        <v>5</v>
      </c>
      <c r="B90" s="17">
        <v>33.90108</v>
      </c>
      <c r="C90" s="17">
        <v>48.56456</v>
      </c>
      <c r="D90" s="17">
        <v>837.84867999999994</v>
      </c>
      <c r="E90" s="17">
        <v>931.81353000000001</v>
      </c>
      <c r="F90" s="17">
        <v>0.48799999999999999</v>
      </c>
      <c r="G90" s="17">
        <v>0.60599999999999998</v>
      </c>
      <c r="H90" s="17">
        <f t="shared" si="4"/>
        <v>1.085400866142501</v>
      </c>
      <c r="I90" s="17">
        <f t="shared" si="5"/>
        <v>1.315526253211831</v>
      </c>
      <c r="J90" s="17">
        <f t="shared" si="6"/>
        <v>8.6892021291191945E-4</v>
      </c>
      <c r="K90" s="17">
        <f t="shared" si="7"/>
        <v>1.4325372525005102</v>
      </c>
      <c r="L90" s="17">
        <v>933.68</v>
      </c>
      <c r="M90" s="26">
        <v>11.798</v>
      </c>
      <c r="N90" s="103">
        <v>48.12</v>
      </c>
    </row>
    <row r="91" spans="1:14" ht="18" customHeight="1" x14ac:dyDescent="0.2">
      <c r="A91" s="26">
        <v>6</v>
      </c>
      <c r="B91" s="17">
        <v>34.002285000000001</v>
      </c>
      <c r="C91" s="17">
        <v>48.704690000000006</v>
      </c>
      <c r="D91" s="17">
        <v>837.02683000000002</v>
      </c>
      <c r="E91" s="17">
        <v>930.60814999999991</v>
      </c>
      <c r="F91" s="17">
        <v>0.497</v>
      </c>
      <c r="G91" s="17">
        <v>0.61599999999999999</v>
      </c>
      <c r="H91" s="17">
        <f t="shared" si="4"/>
        <v>1.0844284981201686</v>
      </c>
      <c r="I91" s="17">
        <f t="shared" si="5"/>
        <v>1.3127129010275398</v>
      </c>
      <c r="J91" s="17">
        <f t="shared" si="6"/>
        <v>8.0057359963233571E-4</v>
      </c>
      <c r="K91" s="17">
        <f t="shared" si="7"/>
        <v>1.4323946170088278</v>
      </c>
      <c r="L91" s="17">
        <v>933.59</v>
      </c>
      <c r="M91" s="26">
        <v>11.595000000000001</v>
      </c>
      <c r="N91" s="103">
        <v>46.27</v>
      </c>
    </row>
    <row r="92" spans="1:14" ht="18" customHeight="1" x14ac:dyDescent="0.2">
      <c r="A92" s="26">
        <v>7</v>
      </c>
      <c r="B92" s="17">
        <v>34.097435000000004</v>
      </c>
      <c r="C92" s="17">
        <v>48.843955000000001</v>
      </c>
      <c r="D92" s="17">
        <v>837.35556999999994</v>
      </c>
      <c r="E92" s="17">
        <v>930.82731000000001</v>
      </c>
      <c r="F92" s="17">
        <v>0.505</v>
      </c>
      <c r="G92" s="17">
        <v>0.627</v>
      </c>
      <c r="H92" s="17">
        <f t="shared" si="4"/>
        <v>1.0831614158083078</v>
      </c>
      <c r="I92" s="17">
        <f t="shared" si="5"/>
        <v>1.3081514753771266</v>
      </c>
      <c r="J92" s="17">
        <f t="shared" si="6"/>
        <v>7.5859857891246232E-4</v>
      </c>
      <c r="K92" s="17">
        <f t="shared" si="7"/>
        <v>1.4324817981176587</v>
      </c>
      <c r="L92" s="17">
        <v>934.32</v>
      </c>
      <c r="M92" s="26">
        <v>11.391999999999999</v>
      </c>
      <c r="N92" s="103">
        <v>44.22</v>
      </c>
    </row>
    <row r="93" spans="1:14" ht="18" customHeight="1" x14ac:dyDescent="0.2">
      <c r="A93" s="26">
        <v>8</v>
      </c>
      <c r="B93" s="17">
        <v>34.183070000000001</v>
      </c>
      <c r="C93" s="17">
        <v>48.984085</v>
      </c>
      <c r="D93" s="17">
        <v>839.65674999999999</v>
      </c>
      <c r="E93" s="17">
        <v>933.45722999999998</v>
      </c>
      <c r="F93" s="17">
        <v>0.51200000000000001</v>
      </c>
      <c r="G93" s="17">
        <v>0.64</v>
      </c>
      <c r="H93" s="17">
        <f t="shared" si="4"/>
        <v>1.0814095867270943</v>
      </c>
      <c r="I93" s="17">
        <f t="shared" si="5"/>
        <v>1.300874643198435</v>
      </c>
      <c r="J93" s="17">
        <f t="shared" si="6"/>
        <v>7.5251169829026673E-4</v>
      </c>
      <c r="K93" s="17">
        <f t="shared" si="7"/>
        <v>1.4329925603522444</v>
      </c>
      <c r="L93" s="17">
        <v>935.89</v>
      </c>
      <c r="M93" s="26">
        <v>11.189</v>
      </c>
      <c r="N93" s="103">
        <v>41.92</v>
      </c>
    </row>
    <row r="94" spans="1:14" ht="18" customHeight="1" x14ac:dyDescent="0.2">
      <c r="A94" s="26">
        <v>9</v>
      </c>
      <c r="B94" s="17">
        <v>34.248809999999999</v>
      </c>
      <c r="C94" s="17">
        <v>49.123350000000002</v>
      </c>
      <c r="D94" s="17">
        <v>843.49205000000006</v>
      </c>
      <c r="E94" s="17">
        <v>938.11437999999998</v>
      </c>
      <c r="F94" s="17">
        <v>0.51700000000000002</v>
      </c>
      <c r="G94" s="17">
        <v>0.65400000000000003</v>
      </c>
      <c r="H94" s="17">
        <f t="shared" si="4"/>
        <v>1.0793065964089663</v>
      </c>
      <c r="I94" s="17">
        <f t="shared" si="5"/>
        <v>1.2913310730661516</v>
      </c>
      <c r="J94" s="17">
        <f t="shared" si="6"/>
        <v>7.9009049281860561E-4</v>
      </c>
      <c r="K94" s="17">
        <f t="shared" si="7"/>
        <v>1.4343082285194728</v>
      </c>
      <c r="L94" s="17">
        <v>939.75</v>
      </c>
      <c r="M94" s="26">
        <v>10.984999999999999</v>
      </c>
      <c r="N94" s="103">
        <v>39.33</v>
      </c>
    </row>
    <row r="95" spans="1:14" ht="18" customHeight="1" x14ac:dyDescent="0.2">
      <c r="A95" s="26">
        <v>10</v>
      </c>
      <c r="B95" s="17">
        <v>34.245350000000002</v>
      </c>
      <c r="C95" s="17">
        <v>49.263480000000001</v>
      </c>
      <c r="D95" s="17">
        <v>852.03928999999994</v>
      </c>
      <c r="E95" s="17">
        <v>948.68885</v>
      </c>
      <c r="F95" s="17">
        <v>0.51700000000000002</v>
      </c>
      <c r="G95" s="17">
        <v>0.67</v>
      </c>
      <c r="H95" s="17">
        <f t="shared" si="4"/>
        <v>1.0763226615484265</v>
      </c>
      <c r="I95" s="17">
        <f t="shared" si="5"/>
        <v>1.2776078227856049</v>
      </c>
      <c r="J95" s="17">
        <f t="shared" si="6"/>
        <v>8.5804297165063478E-4</v>
      </c>
      <c r="K95" s="17">
        <f t="shared" si="7"/>
        <v>1.4385450871432179</v>
      </c>
      <c r="L95" s="17">
        <v>946.75</v>
      </c>
      <c r="M95" s="26">
        <v>10.776</v>
      </c>
      <c r="N95" s="103">
        <v>36.03</v>
      </c>
    </row>
    <row r="96" spans="1:14" ht="18" customHeight="1" x14ac:dyDescent="0.2">
      <c r="A96" s="26">
        <v>11</v>
      </c>
      <c r="B96" s="17">
        <v>34.16404</v>
      </c>
      <c r="C96" s="17">
        <v>49.403610000000008</v>
      </c>
      <c r="D96" s="17">
        <v>867.65443999999991</v>
      </c>
      <c r="E96" s="17">
        <v>967.70097999999996</v>
      </c>
      <c r="F96" s="17">
        <v>0.51300000000000001</v>
      </c>
      <c r="G96" s="17">
        <v>0.68899999999999995</v>
      </c>
      <c r="H96" s="17">
        <f t="shared" si="4"/>
        <v>1.0722096484611796</v>
      </c>
      <c r="I96" s="17">
        <f t="shared" si="5"/>
        <v>1.2597608157309068</v>
      </c>
      <c r="J96" s="17">
        <f t="shared" si="6"/>
        <v>9.0349219574089798E-4</v>
      </c>
      <c r="K96" s="17">
        <f t="shared" si="7"/>
        <v>1.4460704881506989</v>
      </c>
      <c r="L96" s="17">
        <v>957.92</v>
      </c>
      <c r="M96" s="26">
        <v>10.551</v>
      </c>
      <c r="N96" s="103">
        <v>31.18</v>
      </c>
    </row>
    <row r="97" spans="1:14" ht="18" customHeight="1" x14ac:dyDescent="0.2">
      <c r="A97" s="26">
        <v>12</v>
      </c>
      <c r="B97" s="17">
        <v>34.086190000000002</v>
      </c>
      <c r="C97" s="17">
        <v>49.472810000000003</v>
      </c>
      <c r="D97" s="17">
        <v>878.94118000000003</v>
      </c>
      <c r="E97" s="17">
        <v>981.56285000000003</v>
      </c>
      <c r="F97" s="17">
        <v>0.50700000000000001</v>
      </c>
      <c r="G97" s="17">
        <v>0.69899999999999995</v>
      </c>
      <c r="H97" s="17">
        <f t="shared" si="4"/>
        <v>1.0696425362883772</v>
      </c>
      <c r="I97" s="17">
        <f t="shared" si="5"/>
        <v>1.2481575100256352</v>
      </c>
      <c r="J97" s="17">
        <f t="shared" si="6"/>
        <v>9.6250970982317274E-4</v>
      </c>
      <c r="K97" s="17">
        <f t="shared" si="7"/>
        <v>1.4514033395929553</v>
      </c>
      <c r="L97" s="17">
        <v>982.18</v>
      </c>
      <c r="M97" s="26">
        <v>10.422000000000001</v>
      </c>
      <c r="N97" s="103">
        <v>27.67</v>
      </c>
    </row>
    <row r="98" spans="1:14" s="96" customFormat="1" ht="18" customHeight="1" x14ac:dyDescent="0.2">
      <c r="A98" s="97">
        <v>1</v>
      </c>
      <c r="B98" s="95">
        <v>48.075835000000005</v>
      </c>
      <c r="C98" s="95">
        <v>47.313770000000005</v>
      </c>
      <c r="D98" s="95">
        <v>993.50706999999989</v>
      </c>
      <c r="E98" s="95">
        <v>993.50706999999989</v>
      </c>
      <c r="F98" s="95">
        <v>0.59499999999999997</v>
      </c>
      <c r="G98" s="95">
        <v>0.39800000000000002</v>
      </c>
      <c r="H98" s="95">
        <f t="shared" si="4"/>
        <v>1.0379227761144727</v>
      </c>
      <c r="I98" s="95">
        <f t="shared" si="5"/>
        <v>1.1210845463418391</v>
      </c>
      <c r="J98" s="95">
        <f t="shared" si="6"/>
        <v>1.0981031352931252E-3</v>
      </c>
      <c r="K98" s="95">
        <f t="shared" si="7"/>
        <v>0.98414868925313514</v>
      </c>
      <c r="L98" s="95">
        <v>956.2</v>
      </c>
      <c r="M98" s="97">
        <v>12.456</v>
      </c>
      <c r="N98" s="105">
        <v>-4.84</v>
      </c>
    </row>
    <row r="99" spans="1:14" s="96" customFormat="1" ht="18" customHeight="1" x14ac:dyDescent="0.2">
      <c r="A99" s="97">
        <v>2</v>
      </c>
      <c r="B99" s="95">
        <v>48.180500000000002</v>
      </c>
      <c r="C99" s="95">
        <v>47.536075000000004</v>
      </c>
      <c r="D99" s="95">
        <v>963.92047000000002</v>
      </c>
      <c r="E99" s="95">
        <v>963.92047000000002</v>
      </c>
      <c r="F99" s="95">
        <v>0.60299999999999998</v>
      </c>
      <c r="G99" s="95">
        <v>0.41099999999999998</v>
      </c>
      <c r="H99" s="95">
        <f t="shared" si="4"/>
        <v>1.0376651142472482</v>
      </c>
      <c r="I99" s="95">
        <f t="shared" si="5"/>
        <v>1.122928938090594</v>
      </c>
      <c r="J99" s="95">
        <f t="shared" si="6"/>
        <v>9.2583152817246953E-4</v>
      </c>
      <c r="K99" s="95">
        <f t="shared" si="7"/>
        <v>0.98662477558348294</v>
      </c>
      <c r="L99" s="95">
        <v>945.53</v>
      </c>
      <c r="M99" s="97">
        <v>12.295999999999999</v>
      </c>
      <c r="N99" s="105">
        <v>-3.5</v>
      </c>
    </row>
    <row r="100" spans="1:14" s="96" customFormat="1" ht="18" customHeight="1" x14ac:dyDescent="0.2">
      <c r="A100" s="97">
        <v>3</v>
      </c>
      <c r="B100" s="95">
        <v>48.285164999999999</v>
      </c>
      <c r="C100" s="95">
        <v>47.712535000000003</v>
      </c>
      <c r="D100" s="95">
        <v>946.66161999999997</v>
      </c>
      <c r="E100" s="95">
        <v>946.66161999999997</v>
      </c>
      <c r="F100" s="95">
        <v>0.60899999999999999</v>
      </c>
      <c r="G100" s="95">
        <v>0.42099999999999999</v>
      </c>
      <c r="H100" s="95">
        <f t="shared" si="4"/>
        <v>1.0374021607261472</v>
      </c>
      <c r="I100" s="95">
        <f t="shared" si="5"/>
        <v>1.1236570746271777</v>
      </c>
      <c r="J100" s="95">
        <f t="shared" si="6"/>
        <v>8.205704868261051E-4</v>
      </c>
      <c r="K100" s="95">
        <f t="shared" si="7"/>
        <v>0.98814066390784838</v>
      </c>
      <c r="L100" s="95">
        <v>938.76</v>
      </c>
      <c r="M100" s="97">
        <v>12.148</v>
      </c>
      <c r="N100" s="105">
        <v>-2.9</v>
      </c>
    </row>
    <row r="101" spans="1:14" s="96" customFormat="1" ht="18" customHeight="1" x14ac:dyDescent="0.2">
      <c r="A101" s="97">
        <v>4</v>
      </c>
      <c r="B101" s="95">
        <v>48.425295000000006</v>
      </c>
      <c r="C101" s="95">
        <v>47.913215000000008</v>
      </c>
      <c r="D101" s="95">
        <v>935.86798999999996</v>
      </c>
      <c r="E101" s="95">
        <v>935.86798999999996</v>
      </c>
      <c r="F101" s="95">
        <v>0.61699999999999999</v>
      </c>
      <c r="G101" s="95">
        <v>0.432</v>
      </c>
      <c r="H101" s="95">
        <f t="shared" si="4"/>
        <v>1.0374164389012968</v>
      </c>
      <c r="I101" s="95">
        <f t="shared" si="5"/>
        <v>1.1251721590068764</v>
      </c>
      <c r="J101" s="95">
        <f t="shared" si="6"/>
        <v>7.3150646084602436E-4</v>
      </c>
      <c r="K101" s="95">
        <f t="shared" si="7"/>
        <v>0.98942536127038572</v>
      </c>
      <c r="L101" s="95">
        <v>935.23</v>
      </c>
      <c r="M101" s="97">
        <v>11.96</v>
      </c>
      <c r="N101" s="105">
        <v>-2.2799999999999998</v>
      </c>
    </row>
    <row r="102" spans="1:14" s="96" customFormat="1" ht="18" customHeight="1" x14ac:dyDescent="0.2">
      <c r="A102" s="97">
        <v>5</v>
      </c>
      <c r="B102" s="95">
        <v>48.56456</v>
      </c>
      <c r="C102" s="95">
        <v>48.070644999999999</v>
      </c>
      <c r="D102" s="95">
        <v>931.70394999999996</v>
      </c>
      <c r="E102" s="95">
        <v>931.70394999999996</v>
      </c>
      <c r="F102" s="95">
        <v>0.625</v>
      </c>
      <c r="G102" s="95">
        <v>0.441</v>
      </c>
      <c r="H102" s="95">
        <f t="shared" si="4"/>
        <v>1.037760076511975</v>
      </c>
      <c r="I102" s="95">
        <f t="shared" si="5"/>
        <v>1.1269375438715046</v>
      </c>
      <c r="J102" s="95">
        <f t="shared" si="6"/>
        <v>7.0352173610801517E-4</v>
      </c>
      <c r="K102" s="95">
        <f t="shared" si="7"/>
        <v>0.98982972356796806</v>
      </c>
      <c r="L102" s="95">
        <v>933.68</v>
      </c>
      <c r="M102" s="97">
        <v>11.776</v>
      </c>
      <c r="N102" s="105">
        <v>-1.65</v>
      </c>
    </row>
    <row r="103" spans="1:14" s="96" customFormat="1" ht="18" customHeight="1" x14ac:dyDescent="0.2">
      <c r="A103" s="97">
        <v>6</v>
      </c>
      <c r="B103" s="95">
        <v>48.704690000000006</v>
      </c>
      <c r="C103" s="95">
        <v>48.205584999999999</v>
      </c>
      <c r="D103" s="95">
        <v>930.55335999999988</v>
      </c>
      <c r="E103" s="95">
        <v>930.55335999999988</v>
      </c>
      <c r="F103" s="95">
        <v>0.63400000000000001</v>
      </c>
      <c r="G103" s="95">
        <v>0.44800000000000001</v>
      </c>
      <c r="H103" s="95">
        <f t="shared" si="4"/>
        <v>1.0386970687045445</v>
      </c>
      <c r="I103" s="95">
        <f t="shared" si="5"/>
        <v>1.1304145664910699</v>
      </c>
      <c r="J103" s="95">
        <f t="shared" si="6"/>
        <v>7.0894294469428347E-4</v>
      </c>
      <c r="K103" s="95">
        <f t="shared" si="7"/>
        <v>0.98975242425318777</v>
      </c>
      <c r="L103" s="95">
        <v>933.59</v>
      </c>
      <c r="M103" s="97">
        <v>11.592000000000001</v>
      </c>
      <c r="N103" s="105">
        <v>-0.98</v>
      </c>
    </row>
    <row r="104" spans="1:14" s="96" customFormat="1" ht="18" customHeight="1" x14ac:dyDescent="0.2">
      <c r="A104" s="97">
        <v>7</v>
      </c>
      <c r="B104" s="95">
        <v>48.843955000000001</v>
      </c>
      <c r="C104" s="95">
        <v>48.331875000000004</v>
      </c>
      <c r="D104" s="95">
        <v>930.77251999999999</v>
      </c>
      <c r="E104" s="95">
        <v>930.77251999999999</v>
      </c>
      <c r="F104" s="95">
        <v>0.64400000000000002</v>
      </c>
      <c r="G104" s="95">
        <v>0.45500000000000002</v>
      </c>
      <c r="H104" s="95">
        <f t="shared" si="4"/>
        <v>1.0398905325017644</v>
      </c>
      <c r="I104" s="95">
        <f t="shared" si="5"/>
        <v>1.1346959534526382</v>
      </c>
      <c r="J104" s="95">
        <f t="shared" si="6"/>
        <v>7.2540567533858555E-4</v>
      </c>
      <c r="K104" s="95">
        <f t="shared" si="7"/>
        <v>0.98951600049586486</v>
      </c>
      <c r="L104" s="95">
        <v>934.32</v>
      </c>
      <c r="M104" s="97">
        <v>11.407999999999999</v>
      </c>
      <c r="N104" s="105">
        <v>-0.27</v>
      </c>
    </row>
    <row r="105" spans="1:14" s="96" customFormat="1" ht="18" customHeight="1" x14ac:dyDescent="0.2">
      <c r="A105" s="97">
        <v>8</v>
      </c>
      <c r="B105" s="95">
        <v>48.984085</v>
      </c>
      <c r="C105" s="95">
        <v>48.442594999999997</v>
      </c>
      <c r="D105" s="95">
        <v>933.45722999999998</v>
      </c>
      <c r="E105" s="95">
        <v>933.45722999999998</v>
      </c>
      <c r="F105" s="95">
        <v>0.65400000000000003</v>
      </c>
      <c r="G105" s="95">
        <v>0.46200000000000002</v>
      </c>
      <c r="H105" s="95">
        <f t="shared" si="4"/>
        <v>1.0410998948104171</v>
      </c>
      <c r="I105" s="95">
        <f t="shared" si="5"/>
        <v>1.1386645727759559</v>
      </c>
      <c r="J105" s="95">
        <f t="shared" si="6"/>
        <v>7.6501994073863329E-4</v>
      </c>
      <c r="K105" s="95">
        <f t="shared" si="7"/>
        <v>0.98894559324727604</v>
      </c>
      <c r="L105" s="95">
        <v>935.89</v>
      </c>
      <c r="M105" s="97">
        <v>11.224</v>
      </c>
      <c r="N105" s="105">
        <v>0.48</v>
      </c>
    </row>
    <row r="106" spans="1:14" s="96" customFormat="1" ht="18" customHeight="1" x14ac:dyDescent="0.2">
      <c r="A106" s="97">
        <v>9</v>
      </c>
      <c r="B106" s="95">
        <v>49.124215</v>
      </c>
      <c r="C106" s="95">
        <v>48.512659999999997</v>
      </c>
      <c r="D106" s="95">
        <v>938.11437999999998</v>
      </c>
      <c r="E106" s="95">
        <v>938.11437999999998</v>
      </c>
      <c r="F106" s="95">
        <v>0.66600000000000004</v>
      </c>
      <c r="G106" s="95">
        <v>0.46600000000000003</v>
      </c>
      <c r="H106" s="95">
        <f t="shared" si="4"/>
        <v>1.0433952904609332</v>
      </c>
      <c r="I106" s="95">
        <f t="shared" si="5"/>
        <v>1.1458572504339684</v>
      </c>
      <c r="J106" s="95">
        <f t="shared" si="6"/>
        <v>8.6193212136757846E-4</v>
      </c>
      <c r="K106" s="95">
        <f t="shared" si="7"/>
        <v>0.98755084432392448</v>
      </c>
      <c r="L106" s="95">
        <v>939.75</v>
      </c>
      <c r="M106" s="94">
        <v>11.038</v>
      </c>
      <c r="N106" s="105">
        <v>1.22</v>
      </c>
    </row>
    <row r="107" spans="1:14" s="96" customFormat="1" ht="18" customHeight="1" x14ac:dyDescent="0.2">
      <c r="A107" s="97">
        <v>10</v>
      </c>
      <c r="B107" s="95">
        <v>49.263480000000001</v>
      </c>
      <c r="C107" s="95">
        <v>48.508335000000002</v>
      </c>
      <c r="D107" s="95">
        <v>948.63405999999998</v>
      </c>
      <c r="E107" s="95">
        <v>948.63405999999998</v>
      </c>
      <c r="F107" s="95">
        <v>0.67800000000000005</v>
      </c>
      <c r="G107" s="95">
        <v>0.46899999999999997</v>
      </c>
      <c r="H107" s="95">
        <f t="shared" si="4"/>
        <v>1.045924289472661</v>
      </c>
      <c r="I107" s="95">
        <f t="shared" si="5"/>
        <v>1.1522378870984806</v>
      </c>
      <c r="J107" s="95">
        <f t="shared" si="6"/>
        <v>1.0622866313706597E-3</v>
      </c>
      <c r="K107" s="95">
        <f t="shared" si="7"/>
        <v>0.98467130214917831</v>
      </c>
      <c r="L107" s="95">
        <v>946.75</v>
      </c>
      <c r="M107" s="97">
        <v>10.849</v>
      </c>
      <c r="N107" s="105">
        <v>2.0299999999999998</v>
      </c>
    </row>
    <row r="108" spans="1:14" s="96" customFormat="1" ht="18" customHeight="1" x14ac:dyDescent="0.2">
      <c r="A108" s="97">
        <v>11</v>
      </c>
      <c r="B108" s="95">
        <v>49.403610000000008</v>
      </c>
      <c r="C108" s="95">
        <v>48.430485000000004</v>
      </c>
      <c r="D108" s="95">
        <v>967.64618999999993</v>
      </c>
      <c r="E108" s="95">
        <v>967.64618999999993</v>
      </c>
      <c r="F108" s="95">
        <v>0.69099999999999995</v>
      </c>
      <c r="G108" s="95">
        <v>0.47</v>
      </c>
      <c r="H108" s="95">
        <f t="shared" si="4"/>
        <v>1.0491449750043096</v>
      </c>
      <c r="I108" s="95">
        <f t="shared" si="5"/>
        <v>1.1595364377175617</v>
      </c>
      <c r="J108" s="95">
        <f t="shared" si="6"/>
        <v>1.3673337581266605E-3</v>
      </c>
      <c r="K108" s="95">
        <f t="shared" si="7"/>
        <v>0.98030255278915845</v>
      </c>
      <c r="L108" s="95">
        <v>957.92</v>
      </c>
      <c r="M108" s="97">
        <v>10.648999999999999</v>
      </c>
      <c r="N108" s="105">
        <v>3.27</v>
      </c>
    </row>
    <row r="109" spans="1:14" s="96" customFormat="1" ht="18" customHeight="1" x14ac:dyDescent="0.2">
      <c r="A109" s="97">
        <v>12</v>
      </c>
      <c r="B109" s="95">
        <v>49.473675</v>
      </c>
      <c r="C109" s="95">
        <v>48.349175000000002</v>
      </c>
      <c r="D109" s="95">
        <v>981.50806</v>
      </c>
      <c r="E109" s="95">
        <v>981.50806</v>
      </c>
      <c r="F109" s="95">
        <v>0.69899999999999995</v>
      </c>
      <c r="G109" s="95">
        <v>0.46400000000000002</v>
      </c>
      <c r="H109" s="95">
        <f t="shared" si="4"/>
        <v>1.0524045039821324</v>
      </c>
      <c r="I109" s="95">
        <f t="shared" si="5"/>
        <v>1.1685689416592007</v>
      </c>
      <c r="J109" s="95">
        <f t="shared" si="6"/>
        <v>1.5799016547965311E-3</v>
      </c>
      <c r="K109" s="95">
        <f t="shared" si="7"/>
        <v>0.97727074044934004</v>
      </c>
      <c r="L109" s="95">
        <v>982.18</v>
      </c>
      <c r="M109" s="97">
        <v>10.541</v>
      </c>
      <c r="N109" s="105">
        <v>5.91</v>
      </c>
    </row>
    <row r="110" spans="1:14" ht="18" customHeight="1" x14ac:dyDescent="0.2">
      <c r="A110" s="27">
        <v>1</v>
      </c>
      <c r="B110" s="17">
        <v>47.313770000000005</v>
      </c>
      <c r="C110" s="17">
        <v>65.73827</v>
      </c>
      <c r="D110" s="17">
        <v>993.50706999999989</v>
      </c>
      <c r="E110" s="17">
        <v>1096.4026900000001</v>
      </c>
      <c r="F110" s="17">
        <v>0.41699999999999998</v>
      </c>
      <c r="G110" s="17">
        <v>0.56100000000000005</v>
      </c>
      <c r="H110" s="17">
        <f t="shared" si="4"/>
        <v>1.0743252094310294</v>
      </c>
      <c r="I110" s="17">
        <f t="shared" si="5"/>
        <v>1.2647623927344642</v>
      </c>
      <c r="J110" s="17">
        <f t="shared" si="6"/>
        <v>1.104943664859772E-3</v>
      </c>
      <c r="K110" s="17">
        <f t="shared" si="7"/>
        <v>1.3894109473838165</v>
      </c>
      <c r="M110" s="27">
        <v>12.343</v>
      </c>
      <c r="N110" s="27">
        <v>55.9</v>
      </c>
    </row>
    <row r="111" spans="1:14" ht="18" customHeight="1" x14ac:dyDescent="0.2">
      <c r="A111" s="27">
        <v>2</v>
      </c>
      <c r="B111" s="17">
        <v>47.536075000000004</v>
      </c>
      <c r="C111" s="17">
        <v>65.875805</v>
      </c>
      <c r="D111" s="17">
        <v>963.92047000000002</v>
      </c>
      <c r="E111" s="17">
        <v>1062.48768</v>
      </c>
      <c r="F111" s="17">
        <v>0.42799999999999999</v>
      </c>
      <c r="G111" s="17">
        <v>0.56799999999999995</v>
      </c>
      <c r="H111" s="17">
        <f t="shared" si="4"/>
        <v>1.0733800970786214</v>
      </c>
      <c r="I111" s="17">
        <f t="shared" si="5"/>
        <v>1.2628464569734192</v>
      </c>
      <c r="J111" s="17">
        <f t="shared" si="6"/>
        <v>9.9763864854605228E-4</v>
      </c>
      <c r="K111" s="17">
        <f t="shared" si="7"/>
        <v>1.3858065690110088</v>
      </c>
      <c r="M111" s="27">
        <v>12.179</v>
      </c>
      <c r="N111" s="27">
        <v>51.24</v>
      </c>
    </row>
    <row r="112" spans="1:14" ht="18" customHeight="1" x14ac:dyDescent="0.2">
      <c r="A112" s="27">
        <v>3</v>
      </c>
      <c r="B112" s="17">
        <v>47.712535000000003</v>
      </c>
      <c r="C112" s="17">
        <v>66.012475000000009</v>
      </c>
      <c r="D112" s="17">
        <v>947.26431000000002</v>
      </c>
      <c r="E112" s="17">
        <v>1042.3249599999999</v>
      </c>
      <c r="F112" s="17">
        <v>0.438</v>
      </c>
      <c r="G112" s="17">
        <v>0.57299999999999995</v>
      </c>
      <c r="H112" s="17">
        <f t="shared" si="4"/>
        <v>1.0721673182970406</v>
      </c>
      <c r="I112" s="17">
        <f t="shared" si="5"/>
        <v>1.2634283898122731</v>
      </c>
      <c r="J112" s="17">
        <f t="shared" si="6"/>
        <v>6.9473552626824961E-4</v>
      </c>
      <c r="K112" s="17">
        <f t="shared" si="7"/>
        <v>1.383545749560362</v>
      </c>
      <c r="M112" s="27">
        <v>12.042999999999999</v>
      </c>
      <c r="N112" s="27">
        <v>49.66</v>
      </c>
    </row>
    <row r="113" spans="1:14" ht="18" customHeight="1" x14ac:dyDescent="0.2">
      <c r="A113" s="27">
        <v>4</v>
      </c>
      <c r="B113" s="17">
        <v>47.913215000000008</v>
      </c>
      <c r="C113" s="17">
        <v>66.195855000000009</v>
      </c>
      <c r="D113" s="17">
        <v>935.86798999999996</v>
      </c>
      <c r="E113" s="17">
        <v>1029.2301500000001</v>
      </c>
      <c r="F113" s="17">
        <v>0.45800000000000002</v>
      </c>
      <c r="G113" s="17">
        <v>0.57899999999999996</v>
      </c>
      <c r="H113" s="17">
        <f t="shared" si="4"/>
        <v>1.0738952346928783</v>
      </c>
      <c r="I113" s="17">
        <f t="shared" si="5"/>
        <v>1.2711579344371255</v>
      </c>
      <c r="J113" s="17">
        <f t="shared" si="6"/>
        <v>6.631055186689036E-4</v>
      </c>
      <c r="K113" s="17">
        <f t="shared" si="7"/>
        <v>1.3815782347312739</v>
      </c>
      <c r="M113" s="27">
        <v>11.875999999999999</v>
      </c>
      <c r="N113" s="27">
        <v>48.3</v>
      </c>
    </row>
    <row r="114" spans="1:14" ht="18" customHeight="1" x14ac:dyDescent="0.2">
      <c r="A114" s="27">
        <v>5</v>
      </c>
      <c r="B114" s="17">
        <v>48.070644999999999</v>
      </c>
      <c r="C114" s="17">
        <v>66.378370000000004</v>
      </c>
      <c r="D114" s="17">
        <v>931.70394999999996</v>
      </c>
      <c r="E114" s="17">
        <v>1024.07989</v>
      </c>
      <c r="F114" s="17">
        <v>0.46</v>
      </c>
      <c r="G114" s="17">
        <v>0.58499999999999996</v>
      </c>
      <c r="H114" s="17">
        <f t="shared" si="4"/>
        <v>1.0722715944739487</v>
      </c>
      <c r="I114" s="17">
        <f t="shared" si="5"/>
        <v>1.266245118976707</v>
      </c>
      <c r="J114" s="17">
        <f t="shared" si="6"/>
        <v>5.6541862350168587E-4</v>
      </c>
      <c r="K114" s="17">
        <f t="shared" si="7"/>
        <v>1.3808504129703274</v>
      </c>
      <c r="M114" s="27">
        <v>11.712999999999999</v>
      </c>
      <c r="N114" s="27">
        <v>46.97</v>
      </c>
    </row>
    <row r="115" spans="1:14" ht="18" customHeight="1" x14ac:dyDescent="0.2">
      <c r="A115" s="27">
        <v>6</v>
      </c>
      <c r="B115" s="17">
        <v>48.205584999999999</v>
      </c>
      <c r="C115" s="17">
        <v>66.561750000000004</v>
      </c>
      <c r="D115" s="17">
        <v>930.55335999999988</v>
      </c>
      <c r="E115" s="17">
        <v>1022.65535</v>
      </c>
      <c r="F115" s="17">
        <v>0.46800000000000003</v>
      </c>
      <c r="G115" s="17">
        <v>0.59299999999999997</v>
      </c>
      <c r="H115" s="17">
        <f t="shared" si="4"/>
        <v>1.0717406061382926</v>
      </c>
      <c r="I115" s="17">
        <f t="shared" si="5"/>
        <v>1.2646875047342574</v>
      </c>
      <c r="J115" s="17">
        <f t="shared" si="6"/>
        <v>5.3091690441740141E-4</v>
      </c>
      <c r="K115" s="17">
        <f t="shared" si="7"/>
        <v>1.3807891761919289</v>
      </c>
      <c r="M115" s="27">
        <v>11.55</v>
      </c>
      <c r="N115" s="27">
        <v>45.47</v>
      </c>
    </row>
    <row r="116" spans="1:14" ht="18" customHeight="1" x14ac:dyDescent="0.2">
      <c r="A116" s="27">
        <v>7</v>
      </c>
      <c r="B116" s="17">
        <v>48.331875000000004</v>
      </c>
      <c r="C116" s="17">
        <v>66.744264999999999</v>
      </c>
      <c r="D116" s="17">
        <v>930.77251999999999</v>
      </c>
      <c r="E116" s="17">
        <v>1022.7649299999999</v>
      </c>
      <c r="F116" s="17">
        <v>0.47399999999999998</v>
      </c>
      <c r="G116" s="17">
        <v>0.60099999999999998</v>
      </c>
      <c r="H116" s="17">
        <f t="shared" si="4"/>
        <v>1.0708522382675496</v>
      </c>
      <c r="I116" s="17">
        <f t="shared" si="5"/>
        <v>1.2617426075594211</v>
      </c>
      <c r="J116" s="17">
        <f t="shared" si="6"/>
        <v>4.9170667226113712E-4</v>
      </c>
      <c r="K116" s="17">
        <f t="shared" si="7"/>
        <v>1.3809574944071588</v>
      </c>
      <c r="M116" s="27">
        <v>11.388</v>
      </c>
      <c r="N116" s="27">
        <v>43.81</v>
      </c>
    </row>
    <row r="117" spans="1:14" ht="18" customHeight="1" x14ac:dyDescent="0.2">
      <c r="A117" s="27">
        <v>8</v>
      </c>
      <c r="B117" s="17">
        <v>48.442594999999997</v>
      </c>
      <c r="C117" s="17">
        <v>66.927644999999998</v>
      </c>
      <c r="D117" s="17">
        <v>933.45722999999998</v>
      </c>
      <c r="E117" s="17">
        <v>1025.88796</v>
      </c>
      <c r="F117" s="17">
        <v>0.48</v>
      </c>
      <c r="G117" s="17">
        <v>0.61099999999999999</v>
      </c>
      <c r="H117" s="17">
        <f t="shared" si="4"/>
        <v>1.0697877643660223</v>
      </c>
      <c r="I117" s="17">
        <f t="shared" si="5"/>
        <v>1.2571889484904577</v>
      </c>
      <c r="J117" s="17">
        <f t="shared" si="6"/>
        <v>5.00863625780789E-4</v>
      </c>
      <c r="K117" s="17">
        <f t="shared" si="7"/>
        <v>1.3815867007124618</v>
      </c>
      <c r="M117" s="27">
        <v>11.224</v>
      </c>
      <c r="N117" s="27">
        <v>41.94</v>
      </c>
    </row>
    <row r="118" spans="1:14" ht="18" customHeight="1" x14ac:dyDescent="0.2">
      <c r="A118" s="27">
        <v>9</v>
      </c>
      <c r="B118" s="17">
        <v>48.512659999999997</v>
      </c>
      <c r="C118" s="17">
        <v>67.110160000000008</v>
      </c>
      <c r="D118" s="17">
        <v>938.11437999999998</v>
      </c>
      <c r="E118" s="17">
        <v>1031.4765399999999</v>
      </c>
      <c r="F118" s="17">
        <v>0.48299999999999998</v>
      </c>
      <c r="G118" s="17">
        <v>0.62</v>
      </c>
      <c r="H118" s="17">
        <f t="shared" si="4"/>
        <v>1.068663471155463</v>
      </c>
      <c r="I118" s="17">
        <f t="shared" si="5"/>
        <v>1.2521723129271143</v>
      </c>
      <c r="J118" s="17">
        <f t="shared" si="6"/>
        <v>5.225893905688242E-4</v>
      </c>
      <c r="K118" s="17">
        <f t="shared" si="7"/>
        <v>1.3833535411168962</v>
      </c>
      <c r="M118" s="27">
        <v>11.06</v>
      </c>
      <c r="N118" s="27">
        <v>39.380000000000003</v>
      </c>
    </row>
    <row r="119" spans="1:14" ht="18" customHeight="1" x14ac:dyDescent="0.2">
      <c r="A119" s="27">
        <v>10</v>
      </c>
      <c r="B119" s="17">
        <v>48.508335000000002</v>
      </c>
      <c r="C119" s="17">
        <v>67.293540000000007</v>
      </c>
      <c r="D119" s="17">
        <v>948.63405999999998</v>
      </c>
      <c r="E119" s="17">
        <v>1044.0782399999998</v>
      </c>
      <c r="F119" s="17">
        <v>0.48399999999999999</v>
      </c>
      <c r="G119" s="17">
        <v>0.63100000000000001</v>
      </c>
      <c r="H119" s="17">
        <f t="shared" si="4"/>
        <v>1.0671942024584566</v>
      </c>
      <c r="I119" s="17">
        <f t="shared" si="5"/>
        <v>1.2453428999156158</v>
      </c>
      <c r="J119" s="17">
        <f t="shared" si="6"/>
        <v>5.6729315627774939E-4</v>
      </c>
      <c r="K119" s="17">
        <f t="shared" si="7"/>
        <v>1.3872572620767132</v>
      </c>
      <c r="M119" s="27">
        <v>10.891</v>
      </c>
      <c r="N119" s="27">
        <v>37.18</v>
      </c>
    </row>
    <row r="120" spans="1:14" ht="18" customHeight="1" x14ac:dyDescent="0.2">
      <c r="A120" s="27">
        <v>11</v>
      </c>
      <c r="B120" s="17">
        <v>48.430485000000004</v>
      </c>
      <c r="C120" s="17">
        <v>67.476055000000002</v>
      </c>
      <c r="D120" s="17">
        <v>967.64618999999993</v>
      </c>
      <c r="E120" s="17">
        <v>1066.5969299999999</v>
      </c>
      <c r="F120" s="17">
        <v>0.48399999999999999</v>
      </c>
      <c r="G120" s="17">
        <v>0.64400000000000002</v>
      </c>
      <c r="H120" s="17">
        <f t="shared" si="4"/>
        <v>1.0655195213248536</v>
      </c>
      <c r="I120" s="17">
        <f t="shared" si="5"/>
        <v>1.2373789365840289</v>
      </c>
      <c r="J120" s="17">
        <f t="shared" si="6"/>
        <v>6.3016506846329604E-4</v>
      </c>
      <c r="K120" s="17">
        <f t="shared" si="7"/>
        <v>1.3932558181071282</v>
      </c>
      <c r="M120" s="27">
        <v>10.706</v>
      </c>
      <c r="N120" s="27">
        <v>33.43</v>
      </c>
    </row>
    <row r="121" spans="1:14" ht="18" customHeight="1" x14ac:dyDescent="0.2">
      <c r="A121" s="27">
        <v>12</v>
      </c>
      <c r="B121" s="17">
        <v>48.349175000000002</v>
      </c>
      <c r="C121" s="17">
        <v>67.567745000000002</v>
      </c>
      <c r="D121" s="17">
        <v>981.50806</v>
      </c>
      <c r="E121" s="17">
        <v>1083.0339299999998</v>
      </c>
      <c r="F121" s="17">
        <v>0.48299999999999998</v>
      </c>
      <c r="G121" s="17">
        <v>0.65</v>
      </c>
      <c r="H121" s="17">
        <f t="shared" si="4"/>
        <v>1.0649356120243156</v>
      </c>
      <c r="I121" s="17">
        <f t="shared" si="5"/>
        <v>1.2341371051785632</v>
      </c>
      <c r="J121" s="17">
        <f t="shared" si="6"/>
        <v>6.7843903784068488E-4</v>
      </c>
      <c r="K121" s="17">
        <f t="shared" si="7"/>
        <v>1.3974953036944271</v>
      </c>
      <c r="M121" s="27">
        <v>10.598000000000001</v>
      </c>
      <c r="N121" s="27">
        <v>30.97</v>
      </c>
    </row>
    <row r="122" spans="1:14" s="96" customFormat="1" ht="18" customHeight="1" x14ac:dyDescent="0.2">
      <c r="A122" s="97">
        <v>1</v>
      </c>
      <c r="B122" s="95">
        <v>65.73827</v>
      </c>
      <c r="C122" s="95">
        <v>64.773795000000007</v>
      </c>
      <c r="D122" s="95">
        <v>1096.4026900000001</v>
      </c>
      <c r="E122" s="95">
        <v>1096.4026900000001</v>
      </c>
      <c r="F122" s="95">
        <v>0.56999999999999995</v>
      </c>
      <c r="G122" s="95">
        <v>0.36499999999999999</v>
      </c>
      <c r="H122" s="95">
        <f t="shared" ref="H122:H181" si="8">E122/D122*((1+0.2*F122^2)/(1+0.2*G122^2))</f>
        <v>1.0373400737353224</v>
      </c>
      <c r="I122" s="95">
        <f t="shared" ref="I122:I181" si="9">C122/B122*((1+0.2*F122^2)^(1.4/0.4)/(1+0.2*G122^2)^(1.4/0.4))</f>
        <v>1.1202246273953256</v>
      </c>
      <c r="J122" s="95">
        <f t="shared" ref="J122:J181" si="10">0.24 * LN(H122) - 0.06855 * LN(I122)</f>
        <v>1.015927307256948E-3</v>
      </c>
      <c r="K122" s="95">
        <f t="shared" ref="K122:K181" si="11">C122/B122</f>
        <v>0.98532856127792845</v>
      </c>
      <c r="L122" s="95"/>
      <c r="M122" s="97">
        <v>12.24</v>
      </c>
      <c r="N122" s="97">
        <v>31.7</v>
      </c>
    </row>
    <row r="123" spans="1:14" s="96" customFormat="1" ht="18" customHeight="1" x14ac:dyDescent="0.2">
      <c r="A123" s="97">
        <v>2</v>
      </c>
      <c r="B123" s="95">
        <v>65.875805</v>
      </c>
      <c r="C123" s="95">
        <v>65.061840000000004</v>
      </c>
      <c r="D123" s="95">
        <v>1062.48768</v>
      </c>
      <c r="E123" s="95">
        <v>1062.48768</v>
      </c>
      <c r="F123" s="95">
        <v>0.57699999999999996</v>
      </c>
      <c r="G123" s="95">
        <v>0.378</v>
      </c>
      <c r="H123" s="95">
        <f t="shared" si="8"/>
        <v>1.0369530014676589</v>
      </c>
      <c r="I123" s="95">
        <f t="shared" si="9"/>
        <v>1.1213912460299289</v>
      </c>
      <c r="J123" s="95">
        <f t="shared" si="10"/>
        <v>8.550053365675124E-4</v>
      </c>
      <c r="K123" s="95">
        <f t="shared" si="11"/>
        <v>0.98764394605879968</v>
      </c>
      <c r="L123" s="95"/>
      <c r="M123" s="97">
        <v>12.103999999999999</v>
      </c>
      <c r="N123" s="97">
        <v>25.48</v>
      </c>
    </row>
    <row r="124" spans="1:14" s="96" customFormat="1" ht="18" customHeight="1" x14ac:dyDescent="0.2">
      <c r="A124" s="97">
        <v>3</v>
      </c>
      <c r="B124" s="95">
        <v>66.012475000000009</v>
      </c>
      <c r="C124" s="95">
        <v>65.290199999999999</v>
      </c>
      <c r="D124" s="95">
        <v>1042.3249599999999</v>
      </c>
      <c r="E124" s="95">
        <v>1042.3249599999999</v>
      </c>
      <c r="F124" s="95">
        <v>0.58199999999999996</v>
      </c>
      <c r="G124" s="95">
        <v>0.38700000000000001</v>
      </c>
      <c r="H124" s="95">
        <f t="shared" si="8"/>
        <v>1.0366919370558176</v>
      </c>
      <c r="I124" s="95">
        <f t="shared" si="9"/>
        <v>1.1220081349307423</v>
      </c>
      <c r="J124" s="95">
        <f t="shared" si="10"/>
        <v>7.5687537495030231E-4</v>
      </c>
      <c r="K124" s="95">
        <f t="shared" si="11"/>
        <v>0.98905850750180158</v>
      </c>
      <c r="L124" s="95"/>
      <c r="M124" s="97">
        <v>11.98</v>
      </c>
      <c r="N124" s="97">
        <v>21.97</v>
      </c>
    </row>
    <row r="125" spans="1:14" s="96" customFormat="1" ht="18" customHeight="1" x14ac:dyDescent="0.2">
      <c r="A125" s="97">
        <v>4</v>
      </c>
      <c r="B125" s="95">
        <v>66.195855000000009</v>
      </c>
      <c r="C125" s="95">
        <v>65.552295000000001</v>
      </c>
      <c r="D125" s="95">
        <v>1029.2301500000001</v>
      </c>
      <c r="E125" s="95">
        <v>1029.2301500000001</v>
      </c>
      <c r="F125" s="95">
        <v>0.58899999999999997</v>
      </c>
      <c r="G125" s="95">
        <v>0.39700000000000002</v>
      </c>
      <c r="H125" s="95">
        <f t="shared" si="8"/>
        <v>1.0367053803419375</v>
      </c>
      <c r="I125" s="95">
        <f t="shared" si="9"/>
        <v>1.1234424725769894</v>
      </c>
      <c r="J125" s="95">
        <f t="shared" si="10"/>
        <v>6.7241149052662402E-4</v>
      </c>
      <c r="K125" s="95">
        <f t="shared" si="11"/>
        <v>0.99027794111882073</v>
      </c>
      <c r="L125" s="95"/>
      <c r="M125" s="97">
        <v>11.823</v>
      </c>
      <c r="N125" s="97">
        <v>19.760000000000002</v>
      </c>
    </row>
    <row r="126" spans="1:14" s="96" customFormat="1" ht="18" customHeight="1" x14ac:dyDescent="0.2">
      <c r="A126" s="97">
        <v>5</v>
      </c>
      <c r="B126" s="95">
        <v>66.378370000000004</v>
      </c>
      <c r="C126" s="95">
        <v>65.758165000000005</v>
      </c>
      <c r="D126" s="95">
        <v>1024.07989</v>
      </c>
      <c r="E126" s="95">
        <v>1024.07989</v>
      </c>
      <c r="F126" s="95">
        <v>0.59599999999999997</v>
      </c>
      <c r="G126" s="95">
        <v>0.40500000000000003</v>
      </c>
      <c r="H126" s="95">
        <f t="shared" si="8"/>
        <v>1.0370236395060055</v>
      </c>
      <c r="I126" s="95">
        <f t="shared" si="9"/>
        <v>1.125079987461657</v>
      </c>
      <c r="J126" s="95">
        <f t="shared" si="10"/>
        <v>6.4623318586450214E-4</v>
      </c>
      <c r="K126" s="95">
        <f t="shared" si="11"/>
        <v>0.99065651958612422</v>
      </c>
      <c r="L126" s="95"/>
      <c r="M126" s="97">
        <v>11.669</v>
      </c>
      <c r="N126" s="97">
        <v>19.190000000000001</v>
      </c>
    </row>
    <row r="127" spans="1:14" s="96" customFormat="1" ht="18" customHeight="1" x14ac:dyDescent="0.2">
      <c r="A127" s="97">
        <v>6</v>
      </c>
      <c r="B127" s="95">
        <v>66.561750000000004</v>
      </c>
      <c r="C127" s="95">
        <v>65.937219999999996</v>
      </c>
      <c r="D127" s="95">
        <v>1022.65535</v>
      </c>
      <c r="E127" s="95">
        <v>1022.65535</v>
      </c>
      <c r="F127" s="95">
        <v>0.60299999999999998</v>
      </c>
      <c r="G127" s="95">
        <v>0.41099999999999998</v>
      </c>
      <c r="H127" s="95">
        <f t="shared" si="8"/>
        <v>1.0376651142472482</v>
      </c>
      <c r="I127" s="95">
        <f t="shared" si="9"/>
        <v>1.1274730193786122</v>
      </c>
      <c r="J127" s="95">
        <f t="shared" si="10"/>
        <v>6.4899458834009015E-4</v>
      </c>
      <c r="K127" s="95">
        <f t="shared" si="11"/>
        <v>0.99061728395061721</v>
      </c>
      <c r="L127" s="95"/>
      <c r="M127" s="97">
        <v>11.516</v>
      </c>
      <c r="N127" s="97">
        <v>19.190000000000001</v>
      </c>
    </row>
    <row r="128" spans="1:14" s="96" customFormat="1" ht="18" customHeight="1" x14ac:dyDescent="0.2">
      <c r="A128" s="97">
        <v>7</v>
      </c>
      <c r="B128" s="95">
        <v>66.744264999999999</v>
      </c>
      <c r="C128" s="95">
        <v>66.104165000000009</v>
      </c>
      <c r="D128" s="95">
        <v>1022.7649299999999</v>
      </c>
      <c r="E128" s="95">
        <v>1022.7649299999999</v>
      </c>
      <c r="F128" s="95">
        <v>0.61199999999999999</v>
      </c>
      <c r="G128" s="95">
        <v>0.41599999999999998</v>
      </c>
      <c r="H128" s="95">
        <f t="shared" si="8"/>
        <v>1.0389495106954187</v>
      </c>
      <c r="I128" s="95">
        <f t="shared" si="9"/>
        <v>1.1321277064315807</v>
      </c>
      <c r="J128" s="95">
        <f t="shared" si="10"/>
        <v>6.6345609565726313E-4</v>
      </c>
      <c r="K128" s="95">
        <f t="shared" si="11"/>
        <v>0.99040966291261145</v>
      </c>
      <c r="L128" s="95"/>
      <c r="M128" s="97">
        <v>11.363</v>
      </c>
      <c r="N128" s="97">
        <v>19.2</v>
      </c>
    </row>
    <row r="129" spans="1:14" s="96" customFormat="1" ht="18" customHeight="1" x14ac:dyDescent="0.2">
      <c r="A129" s="97">
        <v>8</v>
      </c>
      <c r="B129" s="95">
        <v>66.927644999999998</v>
      </c>
      <c r="C129" s="95">
        <v>66.252944999999997</v>
      </c>
      <c r="D129" s="95">
        <v>1025.88796</v>
      </c>
      <c r="E129" s="95">
        <v>1025.88796</v>
      </c>
      <c r="F129" s="95">
        <v>0.62</v>
      </c>
      <c r="G129" s="95">
        <v>0.42099999999999999</v>
      </c>
      <c r="H129" s="95">
        <f t="shared" si="8"/>
        <v>1.0400133970970253</v>
      </c>
      <c r="I129" s="95">
        <f t="shared" si="9"/>
        <v>1.1356275303936594</v>
      </c>
      <c r="J129" s="95">
        <f t="shared" si="10"/>
        <v>6.9750440253319931E-4</v>
      </c>
      <c r="K129" s="95">
        <f t="shared" si="11"/>
        <v>0.98991896397968282</v>
      </c>
      <c r="L129" s="95"/>
      <c r="M129" s="97">
        <v>11.21</v>
      </c>
      <c r="N129" s="97">
        <v>19.14</v>
      </c>
    </row>
    <row r="130" spans="1:14" s="96" customFormat="1" ht="18" customHeight="1" x14ac:dyDescent="0.2">
      <c r="A130" s="97">
        <v>9</v>
      </c>
      <c r="B130" s="95">
        <v>67.110160000000008</v>
      </c>
      <c r="C130" s="95">
        <v>66.351555000000005</v>
      </c>
      <c r="D130" s="95">
        <v>1031.4765399999999</v>
      </c>
      <c r="E130" s="95">
        <v>1031.4765399999999</v>
      </c>
      <c r="F130" s="95">
        <v>0.63</v>
      </c>
      <c r="G130" s="95">
        <v>0.42299999999999999</v>
      </c>
      <c r="H130" s="95">
        <f t="shared" si="8"/>
        <v>1.0420880456171537</v>
      </c>
      <c r="I130" s="95">
        <f t="shared" si="9"/>
        <v>1.1421635062277582</v>
      </c>
      <c r="J130" s="95">
        <f t="shared" si="10"/>
        <v>7.823856221461957E-4</v>
      </c>
      <c r="K130" s="95">
        <f t="shared" si="11"/>
        <v>0.98869612291194053</v>
      </c>
      <c r="L130" s="95"/>
      <c r="M130" s="97">
        <v>11.055</v>
      </c>
      <c r="N130" s="97">
        <v>19.43</v>
      </c>
    </row>
    <row r="131" spans="1:14" s="96" customFormat="1" ht="18" customHeight="1" x14ac:dyDescent="0.2">
      <c r="A131" s="97">
        <v>10</v>
      </c>
      <c r="B131" s="95">
        <v>67.293540000000007</v>
      </c>
      <c r="C131" s="95">
        <v>66.358474999999999</v>
      </c>
      <c r="D131" s="95">
        <v>1044.0782399999998</v>
      </c>
      <c r="E131" s="95">
        <v>1044.0782399999998</v>
      </c>
      <c r="F131" s="95">
        <v>0.64</v>
      </c>
      <c r="G131" s="95">
        <v>0.42299999999999999</v>
      </c>
      <c r="H131" s="95">
        <f t="shared" si="8"/>
        <v>1.0445402900870044</v>
      </c>
      <c r="I131" s="95">
        <f t="shared" si="9"/>
        <v>1.1485798915062149</v>
      </c>
      <c r="J131" s="95">
        <f t="shared" si="10"/>
        <v>9.6247193507449126E-4</v>
      </c>
      <c r="K131" s="95">
        <f t="shared" si="11"/>
        <v>0.98610468404545204</v>
      </c>
      <c r="L131" s="95"/>
      <c r="M131" s="97">
        <v>10.898999999999999</v>
      </c>
      <c r="N131" s="97">
        <v>20.99</v>
      </c>
    </row>
    <row r="132" spans="1:14" s="96" customFormat="1" ht="18" customHeight="1" x14ac:dyDescent="0.2">
      <c r="A132" s="97">
        <v>11</v>
      </c>
      <c r="B132" s="95">
        <v>67.476055000000002</v>
      </c>
      <c r="C132" s="95">
        <v>66.273705000000007</v>
      </c>
      <c r="D132" s="95">
        <v>1066.5969299999999</v>
      </c>
      <c r="E132" s="95">
        <v>1066.5969299999999</v>
      </c>
      <c r="F132" s="95">
        <v>0.65200000000000002</v>
      </c>
      <c r="G132" s="95">
        <v>0.42</v>
      </c>
      <c r="H132" s="95">
        <f t="shared" si="8"/>
        <v>1.0480457460783557</v>
      </c>
      <c r="I132" s="95">
        <f t="shared" si="9"/>
        <v>1.157503745968143</v>
      </c>
      <c r="J132" s="95">
        <f t="shared" si="10"/>
        <v>1.2360198897764553E-3</v>
      </c>
      <c r="K132" s="95">
        <f t="shared" si="11"/>
        <v>0.9821810863127669</v>
      </c>
      <c r="L132" s="95"/>
      <c r="M132" s="97">
        <v>10.731</v>
      </c>
      <c r="N132" s="97">
        <v>25.45</v>
      </c>
    </row>
    <row r="133" spans="1:14" s="96" customFormat="1" ht="18" customHeight="1" x14ac:dyDescent="0.2">
      <c r="A133" s="97">
        <v>12</v>
      </c>
      <c r="B133" s="95">
        <v>67.567745000000002</v>
      </c>
      <c r="C133" s="95">
        <v>66.179420000000007</v>
      </c>
      <c r="D133" s="95">
        <v>1082.8695599999999</v>
      </c>
      <c r="E133" s="95">
        <v>1082.8695599999999</v>
      </c>
      <c r="F133" s="95">
        <v>0.65900000000000003</v>
      </c>
      <c r="G133" s="95">
        <v>0.41599999999999998</v>
      </c>
      <c r="H133" s="95">
        <f t="shared" si="8"/>
        <v>1.0504972302638904</v>
      </c>
      <c r="I133" s="95">
        <f t="shared" si="9"/>
        <v>1.1637661542991911</v>
      </c>
      <c r="J133" s="95">
        <f t="shared" si="10"/>
        <v>1.4268740521852803E-3</v>
      </c>
      <c r="K133" s="95">
        <f t="shared" si="11"/>
        <v>0.97945284395683185</v>
      </c>
      <c r="L133" s="95"/>
      <c r="M133" s="97">
        <v>10.641999999999999</v>
      </c>
      <c r="N133" s="97">
        <v>29.6</v>
      </c>
    </row>
    <row r="134" spans="1:14" ht="18" customHeight="1" x14ac:dyDescent="0.2">
      <c r="A134" s="27">
        <v>1</v>
      </c>
      <c r="B134" s="17">
        <v>64.829155</v>
      </c>
      <c r="C134" s="17">
        <v>84.830550000000002</v>
      </c>
      <c r="D134" s="17">
        <v>1089.3895699999998</v>
      </c>
      <c r="E134" s="17">
        <v>1180.7244999999998</v>
      </c>
      <c r="F134" s="17">
        <v>0.39900000000000002</v>
      </c>
      <c r="G134" s="17">
        <v>0.51800000000000002</v>
      </c>
      <c r="H134" s="17">
        <f t="shared" si="8"/>
        <v>1.0613908369712657</v>
      </c>
      <c r="I134" s="17">
        <f t="shared" si="9"/>
        <v>1.2160930990314147</v>
      </c>
      <c r="J134" s="17">
        <f t="shared" si="10"/>
        <v>8.8788690251321613E-4</v>
      </c>
      <c r="K134" s="17">
        <f t="shared" si="11"/>
        <v>1.3085246907814856</v>
      </c>
      <c r="M134" s="27">
        <v>12.099</v>
      </c>
      <c r="N134" s="27">
        <v>54.78</v>
      </c>
    </row>
    <row r="135" spans="1:14" ht="18" customHeight="1" x14ac:dyDescent="0.2">
      <c r="A135" s="27">
        <v>2</v>
      </c>
      <c r="B135" s="17">
        <v>65.061840000000004</v>
      </c>
      <c r="C135" s="17">
        <v>84.986249999999998</v>
      </c>
      <c r="D135" s="17">
        <v>1062.48768</v>
      </c>
      <c r="E135" s="17">
        <v>1150.6447899999998</v>
      </c>
      <c r="F135" s="17">
        <v>0.40699999999999997</v>
      </c>
      <c r="G135" s="17">
        <v>0.52400000000000002</v>
      </c>
      <c r="H135" s="17">
        <f t="shared" si="8"/>
        <v>1.0606075421223946</v>
      </c>
      <c r="I135" s="17">
        <f t="shared" si="9"/>
        <v>1.2142357365055003</v>
      </c>
      <c r="J135" s="17">
        <f t="shared" si="10"/>
        <v>8.1548191207393879E-4</v>
      </c>
      <c r="K135" s="17">
        <f t="shared" si="11"/>
        <v>1.3062380344607529</v>
      </c>
      <c r="M135" s="27">
        <v>11.992000000000001</v>
      </c>
      <c r="N135" s="27">
        <v>52.18</v>
      </c>
    </row>
    <row r="136" spans="1:14" ht="18" customHeight="1" x14ac:dyDescent="0.2">
      <c r="A136" s="27">
        <v>3</v>
      </c>
      <c r="B136" s="17">
        <v>65.290199999999999</v>
      </c>
      <c r="C136" s="17">
        <v>85.141950000000008</v>
      </c>
      <c r="D136" s="17">
        <v>1042.3249599999999</v>
      </c>
      <c r="E136" s="17">
        <v>1127.6329900000001</v>
      </c>
      <c r="F136" s="17">
        <v>0.41399999999999998</v>
      </c>
      <c r="G136" s="17">
        <v>0.52800000000000002</v>
      </c>
      <c r="H136" s="17">
        <f t="shared" si="8"/>
        <v>1.0598356865206358</v>
      </c>
      <c r="I136" s="17">
        <f t="shared" si="9"/>
        <v>1.2135404470309599</v>
      </c>
      <c r="J136" s="17">
        <f t="shared" si="10"/>
        <v>6.8002266889926298E-4</v>
      </c>
      <c r="K136" s="17">
        <f t="shared" si="11"/>
        <v>1.3040540540540542</v>
      </c>
      <c r="M136" s="27">
        <v>11.878</v>
      </c>
      <c r="N136" s="27">
        <v>50.84</v>
      </c>
    </row>
    <row r="137" spans="1:14" ht="18" customHeight="1" x14ac:dyDescent="0.2">
      <c r="A137" s="27">
        <v>4</v>
      </c>
      <c r="B137" s="17">
        <v>65.552295000000001</v>
      </c>
      <c r="C137" s="17">
        <v>85.350415000000012</v>
      </c>
      <c r="D137" s="17">
        <v>1029.2301500000001</v>
      </c>
      <c r="E137" s="17">
        <v>1112.1274199999998</v>
      </c>
      <c r="F137" s="17">
        <v>0.42399999999999999</v>
      </c>
      <c r="G137" s="17">
        <v>0.53300000000000003</v>
      </c>
      <c r="H137" s="17">
        <f t="shared" si="8"/>
        <v>1.0592120284223634</v>
      </c>
      <c r="I137" s="17">
        <f t="shared" si="9"/>
        <v>1.2142573173819213</v>
      </c>
      <c r="J137" s="17">
        <f t="shared" si="10"/>
        <v>4.9827126357222112E-4</v>
      </c>
      <c r="K137" s="17">
        <f t="shared" si="11"/>
        <v>1.3020202420067828</v>
      </c>
      <c r="M137" s="27">
        <v>11.737</v>
      </c>
      <c r="N137" s="27">
        <v>49.71</v>
      </c>
    </row>
    <row r="138" spans="1:14" ht="18" customHeight="1" x14ac:dyDescent="0.2">
      <c r="A138" s="27">
        <v>5</v>
      </c>
      <c r="B138" s="17">
        <v>65.758165000000005</v>
      </c>
      <c r="C138" s="17">
        <v>85.558014999999997</v>
      </c>
      <c r="D138" s="17">
        <v>1024.07989</v>
      </c>
      <c r="E138" s="17">
        <v>1106.4292600000001</v>
      </c>
      <c r="F138" s="17">
        <v>0.43099999999999999</v>
      </c>
      <c r="G138" s="17">
        <v>0.53800000000000003</v>
      </c>
      <c r="H138" s="17">
        <f t="shared" si="8"/>
        <v>1.0592349158962211</v>
      </c>
      <c r="I138" s="17">
        <f t="shared" si="9"/>
        <v>1.2140027552689687</v>
      </c>
      <c r="J138" s="17">
        <f t="shared" si="10"/>
        <v>5.1782975484312641E-4</v>
      </c>
      <c r="K138" s="17">
        <f t="shared" si="11"/>
        <v>1.3011010115625945</v>
      </c>
      <c r="M138" s="27">
        <v>11.602</v>
      </c>
      <c r="N138" s="27">
        <v>48.65</v>
      </c>
    </row>
    <row r="139" spans="1:14" ht="18" customHeight="1" x14ac:dyDescent="0.2">
      <c r="A139" s="27">
        <v>6</v>
      </c>
      <c r="B139" s="17">
        <v>65.937219999999996</v>
      </c>
      <c r="C139" s="17">
        <v>85.765615000000011</v>
      </c>
      <c r="D139" s="17">
        <v>1022.65535</v>
      </c>
      <c r="E139" s="17">
        <v>1104.0732899999998</v>
      </c>
      <c r="F139" s="17">
        <v>0.437</v>
      </c>
      <c r="G139" s="17">
        <v>0.54400000000000004</v>
      </c>
      <c r="H139" s="17">
        <f t="shared" si="8"/>
        <v>1.0582159811435448</v>
      </c>
      <c r="I139" s="17">
        <f t="shared" si="9"/>
        <v>1.2126976851258899</v>
      </c>
      <c r="J139" s="17">
        <f t="shared" si="10"/>
        <v>3.6058165560508108E-4</v>
      </c>
      <c r="K139" s="17">
        <f t="shared" si="11"/>
        <v>1.300716272235924</v>
      </c>
      <c r="M139" s="27">
        <v>11.467000000000001</v>
      </c>
      <c r="N139" s="27">
        <v>47.48</v>
      </c>
    </row>
    <row r="140" spans="1:14" ht="18" customHeight="1" x14ac:dyDescent="0.2">
      <c r="A140" s="27">
        <v>7</v>
      </c>
      <c r="B140" s="17">
        <v>66.104165000000009</v>
      </c>
      <c r="C140" s="17">
        <v>85.973214999999996</v>
      </c>
      <c r="D140" s="17">
        <v>1022.7649299999999</v>
      </c>
      <c r="E140" s="17">
        <v>1104.12808</v>
      </c>
      <c r="F140" s="17">
        <v>0.442</v>
      </c>
      <c r="G140" s="17">
        <v>0.55000000000000004</v>
      </c>
      <c r="H140" s="17">
        <f t="shared" si="8"/>
        <v>1.0577400057843986</v>
      </c>
      <c r="I140" s="17">
        <f t="shared" si="9"/>
        <v>1.2108989599050719</v>
      </c>
      <c r="J140" s="17">
        <f t="shared" si="10"/>
        <v>3.5435946200179126E-4</v>
      </c>
      <c r="K140" s="17">
        <f t="shared" si="11"/>
        <v>1.3005718323497466</v>
      </c>
      <c r="M140" s="27">
        <v>11.333</v>
      </c>
      <c r="N140" s="27">
        <v>46.2</v>
      </c>
    </row>
    <row r="141" spans="1:14" ht="18" customHeight="1" x14ac:dyDescent="0.2">
      <c r="A141" s="27">
        <v>8</v>
      </c>
      <c r="B141" s="17">
        <v>66.252944999999997</v>
      </c>
      <c r="C141" s="17">
        <v>86.18081500000001</v>
      </c>
      <c r="D141" s="17">
        <v>1025.88796</v>
      </c>
      <c r="E141" s="17">
        <v>1107.5250599999999</v>
      </c>
      <c r="F141" s="17">
        <v>0.44600000000000001</v>
      </c>
      <c r="G141" s="17">
        <v>0.55700000000000005</v>
      </c>
      <c r="H141" s="17">
        <f t="shared" si="8"/>
        <v>1.0569429434481239</v>
      </c>
      <c r="I141" s="17">
        <f t="shared" si="9"/>
        <v>1.2078085799655418</v>
      </c>
      <c r="J141" s="17">
        <f t="shared" si="10"/>
        <v>3.4861136568508158E-4</v>
      </c>
      <c r="K141" s="17">
        <f t="shared" si="11"/>
        <v>1.3007846670061234</v>
      </c>
      <c r="M141" s="27">
        <v>11.198</v>
      </c>
      <c r="N141" s="27">
        <v>44.75</v>
      </c>
    </row>
    <row r="142" spans="1:14" ht="18" customHeight="1" x14ac:dyDescent="0.2">
      <c r="A142" s="27">
        <v>9</v>
      </c>
      <c r="B142" s="17">
        <v>66.351555000000005</v>
      </c>
      <c r="C142" s="17">
        <v>86.388415000000009</v>
      </c>
      <c r="D142" s="17">
        <v>1031.4765399999999</v>
      </c>
      <c r="E142" s="17">
        <v>1113.99028</v>
      </c>
      <c r="F142" s="17">
        <v>0.44900000000000001</v>
      </c>
      <c r="G142" s="17">
        <v>0.56499999999999995</v>
      </c>
      <c r="H142" s="17">
        <f t="shared" si="8"/>
        <v>1.0561138090787452</v>
      </c>
      <c r="I142" s="17">
        <f t="shared" si="9"/>
        <v>1.203967493811507</v>
      </c>
      <c r="J142" s="17">
        <f t="shared" si="10"/>
        <v>3.7861681693713428E-4</v>
      </c>
      <c r="K142" s="17">
        <f t="shared" si="11"/>
        <v>1.3019802625575241</v>
      </c>
      <c r="M142" s="27">
        <v>11.063000000000001</v>
      </c>
      <c r="N142" s="27">
        <v>43.12</v>
      </c>
    </row>
    <row r="143" spans="1:14" ht="18" customHeight="1" x14ac:dyDescent="0.2">
      <c r="A143" s="27">
        <v>10</v>
      </c>
      <c r="B143" s="17">
        <v>66.358474999999999</v>
      </c>
      <c r="C143" s="17">
        <v>86.596015000000008</v>
      </c>
      <c r="D143" s="17">
        <v>1044.0782399999998</v>
      </c>
      <c r="E143" s="17">
        <v>1128.5644199999999</v>
      </c>
      <c r="F143" s="17">
        <v>0.44900000000000001</v>
      </c>
      <c r="G143" s="17">
        <v>0.57299999999999995</v>
      </c>
      <c r="H143" s="17">
        <f t="shared" si="8"/>
        <v>1.0552110067481411</v>
      </c>
      <c r="I143" s="17">
        <f t="shared" si="9"/>
        <v>1.1995338845802943</v>
      </c>
      <c r="J143" s="17">
        <f t="shared" si="10"/>
        <v>4.2627009597278991E-4</v>
      </c>
      <c r="K143" s="17">
        <f t="shared" si="11"/>
        <v>1.3049729518347131</v>
      </c>
      <c r="M143" s="27">
        <v>10.923999999999999</v>
      </c>
      <c r="N143" s="27">
        <v>41.07</v>
      </c>
    </row>
    <row r="144" spans="1:14" ht="18" customHeight="1" x14ac:dyDescent="0.2">
      <c r="A144" s="27">
        <v>11</v>
      </c>
      <c r="B144" s="17">
        <v>66.273705000000007</v>
      </c>
      <c r="C144" s="17">
        <v>86.803615000000008</v>
      </c>
      <c r="D144" s="17">
        <v>1050.15993</v>
      </c>
      <c r="E144" s="17">
        <v>1154.3157199999998</v>
      </c>
      <c r="F144" s="17">
        <v>0.44800000000000001</v>
      </c>
      <c r="G144" s="17">
        <v>0.58199999999999996</v>
      </c>
      <c r="H144" s="17">
        <f t="shared" si="8"/>
        <v>1.0707641786984918</v>
      </c>
      <c r="I144" s="17">
        <f t="shared" si="9"/>
        <v>1.1950412502627898</v>
      </c>
      <c r="J144" s="17">
        <f t="shared" si="10"/>
        <v>4.1951317754203785E-3</v>
      </c>
      <c r="K144" s="17">
        <f t="shared" si="11"/>
        <v>1.3097745931059686</v>
      </c>
      <c r="M144" s="27">
        <v>10.773</v>
      </c>
      <c r="N144" s="27">
        <v>38.380000000000003</v>
      </c>
    </row>
    <row r="145" spans="1:14" ht="18" customHeight="1" x14ac:dyDescent="0.2">
      <c r="A145" s="27">
        <v>12</v>
      </c>
      <c r="B145" s="17">
        <v>66.179420000000007</v>
      </c>
      <c r="C145" s="17">
        <v>86.907415</v>
      </c>
      <c r="D145" s="17">
        <v>1082.8695599999999</v>
      </c>
      <c r="E145" s="17">
        <v>1172.9443200000001</v>
      </c>
      <c r="F145" s="17">
        <v>0.44700000000000001</v>
      </c>
      <c r="G145" s="17">
        <v>0.58699999999999997</v>
      </c>
      <c r="H145" s="17">
        <f t="shared" si="8"/>
        <v>1.0538430941306411</v>
      </c>
      <c r="I145" s="17">
        <f t="shared" si="9"/>
        <v>1.192876097389608</v>
      </c>
      <c r="J145" s="17">
        <f t="shared" si="10"/>
        <v>4.9648025326225718E-4</v>
      </c>
      <c r="K145" s="17">
        <f t="shared" si="11"/>
        <v>1.3132090761750403</v>
      </c>
      <c r="M145" s="27">
        <v>10.686999999999999</v>
      </c>
      <c r="N145" s="27">
        <v>36.86</v>
      </c>
    </row>
    <row r="146" spans="1:14" s="96" customFormat="1" ht="18" customHeight="1" x14ac:dyDescent="0.2">
      <c r="A146" s="97">
        <v>1</v>
      </c>
      <c r="B146" s="95">
        <v>84.830550000000002</v>
      </c>
      <c r="C146" s="95">
        <v>83.749300000000005</v>
      </c>
      <c r="D146" s="95">
        <v>1180.7244999999998</v>
      </c>
      <c r="E146" s="95">
        <v>1180.7244999999998</v>
      </c>
      <c r="F146" s="95">
        <v>0.52700000000000002</v>
      </c>
      <c r="G146" s="95">
        <v>0.36099999999999999</v>
      </c>
      <c r="H146" s="95">
        <f t="shared" si="8"/>
        <v>1.0287327050295683</v>
      </c>
      <c r="I146" s="95">
        <f t="shared" si="9"/>
        <v>1.0901539114293943</v>
      </c>
      <c r="J146" s="95">
        <f t="shared" si="10"/>
        <v>8.8147882598563557E-4</v>
      </c>
      <c r="K146" s="95">
        <f t="shared" si="11"/>
        <v>0.98725400224329563</v>
      </c>
      <c r="L146" s="95"/>
      <c r="M146" s="98">
        <v>12.016</v>
      </c>
      <c r="N146" s="107">
        <v>28.9</v>
      </c>
    </row>
    <row r="147" spans="1:14" s="96" customFormat="1" ht="18" customHeight="1" x14ac:dyDescent="0.2">
      <c r="A147" s="97">
        <v>2</v>
      </c>
      <c r="B147" s="95">
        <v>84.986249999999998</v>
      </c>
      <c r="C147" s="95">
        <v>84.047725</v>
      </c>
      <c r="D147" s="95">
        <v>1150.6447899999998</v>
      </c>
      <c r="E147" s="95">
        <v>1150.6447899999998</v>
      </c>
      <c r="F147" s="95">
        <v>0.53200000000000003</v>
      </c>
      <c r="G147" s="95">
        <v>0.37</v>
      </c>
      <c r="H147" s="95">
        <f t="shared" si="8"/>
        <v>1.0284459498919583</v>
      </c>
      <c r="I147" s="95">
        <f t="shared" si="9"/>
        <v>1.0909690967624279</v>
      </c>
      <c r="J147" s="95">
        <f t="shared" si="10"/>
        <v>7.6332992068915608E-4</v>
      </c>
      <c r="K147" s="95">
        <f t="shared" si="11"/>
        <v>0.98895674300254455</v>
      </c>
      <c r="L147" s="95"/>
      <c r="M147" s="98">
        <v>11.926</v>
      </c>
      <c r="N147" s="104">
        <v>24.17</v>
      </c>
    </row>
    <row r="148" spans="1:14" s="96" customFormat="1" ht="18" customHeight="1" x14ac:dyDescent="0.2">
      <c r="A148" s="97">
        <v>3</v>
      </c>
      <c r="B148" s="95">
        <v>85.141950000000008</v>
      </c>
      <c r="C148" s="95">
        <v>84.319334999999995</v>
      </c>
      <c r="D148" s="95">
        <v>1127.6329900000001</v>
      </c>
      <c r="E148" s="95">
        <v>1127.6329900000001</v>
      </c>
      <c r="F148" s="95">
        <v>0.53700000000000003</v>
      </c>
      <c r="G148" s="95">
        <v>0.378</v>
      </c>
      <c r="H148" s="95">
        <f t="shared" si="8"/>
        <v>1.0282886022706328</v>
      </c>
      <c r="I148" s="95">
        <f t="shared" si="9"/>
        <v>1.0919082749996369</v>
      </c>
      <c r="J148" s="95">
        <f t="shared" si="10"/>
        <v>6.6762120687222093E-4</v>
      </c>
      <c r="K148" s="95">
        <f t="shared" si="11"/>
        <v>0.99033831149039908</v>
      </c>
      <c r="L148" s="95"/>
      <c r="M148" s="98">
        <v>11.823</v>
      </c>
      <c r="N148" s="104">
        <v>20.46</v>
      </c>
    </row>
    <row r="149" spans="1:14" s="96" customFormat="1" ht="18" customHeight="1" x14ac:dyDescent="0.2">
      <c r="A149" s="97">
        <v>4</v>
      </c>
      <c r="B149" s="95">
        <v>85.350415000000012</v>
      </c>
      <c r="C149" s="95">
        <v>84.623814999999993</v>
      </c>
      <c r="D149" s="95">
        <v>1112.1274199999998</v>
      </c>
      <c r="E149" s="95">
        <v>1112.1274199999998</v>
      </c>
      <c r="F149" s="95">
        <v>0.54300000000000004</v>
      </c>
      <c r="G149" s="95">
        <v>0.38700000000000001</v>
      </c>
      <c r="H149" s="95">
        <f t="shared" si="8"/>
        <v>1.0281721374298538</v>
      </c>
      <c r="I149" s="95">
        <f t="shared" si="9"/>
        <v>1.0927413328081474</v>
      </c>
      <c r="J149" s="95">
        <f t="shared" si="10"/>
        <v>5.8815763584094734E-4</v>
      </c>
      <c r="K149" s="95">
        <f t="shared" si="11"/>
        <v>0.99148686037437528</v>
      </c>
      <c r="L149" s="95"/>
      <c r="M149" s="98">
        <v>11.693</v>
      </c>
      <c r="N149" s="104">
        <v>17.670000000000002</v>
      </c>
    </row>
    <row r="150" spans="1:14" s="96" customFormat="1" ht="18" customHeight="1" x14ac:dyDescent="0.2">
      <c r="A150" s="97">
        <v>5</v>
      </c>
      <c r="B150" s="95">
        <v>85.558014999999997</v>
      </c>
      <c r="C150" s="95">
        <v>84.866015000000004</v>
      </c>
      <c r="D150" s="95">
        <v>1105.8813600000001</v>
      </c>
      <c r="E150" s="95">
        <v>1105.8813600000001</v>
      </c>
      <c r="F150" s="95">
        <v>0.54900000000000004</v>
      </c>
      <c r="G150" s="95">
        <v>0.39400000000000002</v>
      </c>
      <c r="H150" s="95">
        <f t="shared" si="8"/>
        <v>1.028352727207833</v>
      </c>
      <c r="I150" s="95">
        <f t="shared" si="9"/>
        <v>1.0938819954660595</v>
      </c>
      <c r="J150" s="95">
        <f t="shared" si="10"/>
        <v>5.5878902728263759E-4</v>
      </c>
      <c r="K150" s="95">
        <f t="shared" si="11"/>
        <v>0.99191192081770485</v>
      </c>
      <c r="L150" s="95"/>
      <c r="M150" s="98">
        <v>11.566000000000001</v>
      </c>
      <c r="N150" s="104">
        <v>16.52</v>
      </c>
    </row>
    <row r="151" spans="1:14" s="96" customFormat="1" ht="18" customHeight="1" x14ac:dyDescent="0.2">
      <c r="A151" s="97">
        <v>6</v>
      </c>
      <c r="B151" s="95">
        <v>85.765615000000011</v>
      </c>
      <c r="C151" s="95">
        <v>85.071020000000004</v>
      </c>
      <c r="D151" s="95">
        <v>1104.0732899999998</v>
      </c>
      <c r="E151" s="95">
        <v>1104.0732899999998</v>
      </c>
      <c r="F151" s="95">
        <v>0.55500000000000005</v>
      </c>
      <c r="G151" s="95">
        <v>0.4</v>
      </c>
      <c r="H151" s="95">
        <f t="shared" si="8"/>
        <v>1.0286870155038759</v>
      </c>
      <c r="I151" s="95">
        <f t="shared" si="9"/>
        <v>1.095115275743225</v>
      </c>
      <c r="J151" s="95">
        <f t="shared" si="10"/>
        <v>5.5955144138114359E-4</v>
      </c>
      <c r="K151" s="95">
        <f t="shared" si="11"/>
        <v>0.99190124154068027</v>
      </c>
      <c r="L151" s="95"/>
      <c r="M151" s="98">
        <v>11.44</v>
      </c>
      <c r="N151" s="104">
        <v>16.37</v>
      </c>
    </row>
    <row r="152" spans="1:14" s="96" customFormat="1" ht="18" customHeight="1" x14ac:dyDescent="0.2">
      <c r="A152" s="97">
        <v>7</v>
      </c>
      <c r="B152" s="95">
        <v>85.973214999999996</v>
      </c>
      <c r="C152" s="95">
        <v>85.264780000000016</v>
      </c>
      <c r="D152" s="95">
        <v>1104.4568199999999</v>
      </c>
      <c r="E152" s="95">
        <v>1104.12808</v>
      </c>
      <c r="F152" s="95">
        <v>0.56100000000000005</v>
      </c>
      <c r="G152" s="95">
        <v>0.40500000000000003</v>
      </c>
      <c r="H152" s="95">
        <f t="shared" si="8"/>
        <v>1.0288755536352356</v>
      </c>
      <c r="I152" s="95">
        <f t="shared" si="9"/>
        <v>1.0968038843986372</v>
      </c>
      <c r="J152" s="95">
        <f t="shared" si="10"/>
        <v>4.9791570629902516E-4</v>
      </c>
      <c r="K152" s="95">
        <f t="shared" si="11"/>
        <v>0.9917598172872798</v>
      </c>
      <c r="L152" s="95"/>
      <c r="M152" s="98">
        <v>11.315</v>
      </c>
      <c r="N152" s="104">
        <v>16.39</v>
      </c>
    </row>
    <row r="153" spans="1:14" s="96" customFormat="1" ht="18" customHeight="1" x14ac:dyDescent="0.2">
      <c r="A153" s="97">
        <v>8</v>
      </c>
      <c r="B153" s="95">
        <v>86.18081500000001</v>
      </c>
      <c r="C153" s="95">
        <v>85.436915000000013</v>
      </c>
      <c r="D153" s="95">
        <v>1107.5250599999999</v>
      </c>
      <c r="E153" s="95">
        <v>1107.5250599999999</v>
      </c>
      <c r="F153" s="95">
        <v>0.56799999999999995</v>
      </c>
      <c r="G153" s="95">
        <v>0.40899999999999997</v>
      </c>
      <c r="H153" s="95">
        <f t="shared" si="8"/>
        <v>1.0300628125313873</v>
      </c>
      <c r="I153" s="95">
        <f t="shared" si="9"/>
        <v>1.0996587674117069</v>
      </c>
      <c r="J153" s="95">
        <f t="shared" si="10"/>
        <v>5.9650348925837163E-4</v>
      </c>
      <c r="K153" s="95">
        <f t="shared" si="11"/>
        <v>0.99136814846784638</v>
      </c>
      <c r="L153" s="95"/>
      <c r="M153" s="98">
        <v>11.19</v>
      </c>
      <c r="N153" s="104">
        <v>16.399999999999999</v>
      </c>
    </row>
    <row r="154" spans="1:14" s="96" customFormat="1" ht="18" customHeight="1" x14ac:dyDescent="0.2">
      <c r="A154" s="97">
        <v>9</v>
      </c>
      <c r="B154" s="95">
        <v>86.388415000000009</v>
      </c>
      <c r="C154" s="95">
        <v>85.556285000000003</v>
      </c>
      <c r="D154" s="95">
        <v>1113.99028</v>
      </c>
      <c r="E154" s="95">
        <v>1113.99028</v>
      </c>
      <c r="F154" s="95">
        <v>0.57499999999999996</v>
      </c>
      <c r="G154" s="95">
        <v>0.41199999999999998</v>
      </c>
      <c r="H154" s="95">
        <f t="shared" si="8"/>
        <v>1.031119722756098</v>
      </c>
      <c r="I154" s="95">
        <f t="shared" si="9"/>
        <v>1.1024990940445289</v>
      </c>
      <c r="J154" s="95">
        <f t="shared" si="10"/>
        <v>6.6580191896252992E-4</v>
      </c>
      <c r="K154" s="95">
        <f t="shared" si="11"/>
        <v>0.99036757417068011</v>
      </c>
      <c r="L154" s="95"/>
      <c r="M154" s="98">
        <v>11.063000000000001</v>
      </c>
      <c r="N154" s="104">
        <v>16.940000000000001</v>
      </c>
    </row>
    <row r="155" spans="1:14" s="96" customFormat="1" ht="18" customHeight="1" x14ac:dyDescent="0.2">
      <c r="A155" s="97">
        <v>10</v>
      </c>
      <c r="B155" s="95">
        <v>86.596015000000008</v>
      </c>
      <c r="C155" s="95">
        <v>85.572720000000004</v>
      </c>
      <c r="D155" s="95">
        <v>1128.5644199999999</v>
      </c>
      <c r="E155" s="95">
        <v>1128.5644199999999</v>
      </c>
      <c r="F155" s="95">
        <v>0.58199999999999996</v>
      </c>
      <c r="G155" s="95">
        <v>0.41299999999999998</v>
      </c>
      <c r="H155" s="95">
        <f t="shared" si="8"/>
        <v>1.0325215658083278</v>
      </c>
      <c r="I155" s="95">
        <f t="shared" si="9"/>
        <v>1.1053107383125533</v>
      </c>
      <c r="J155" s="95">
        <f t="shared" si="10"/>
        <v>8.1727180187535914E-4</v>
      </c>
      <c r="K155" s="95">
        <f t="shared" si="11"/>
        <v>0.98818311674041803</v>
      </c>
      <c r="L155" s="95"/>
      <c r="M155" s="98">
        <v>10.935</v>
      </c>
      <c r="N155" s="104">
        <v>18.79</v>
      </c>
    </row>
    <row r="156" spans="1:14" s="96" customFormat="1" ht="18" customHeight="1" x14ac:dyDescent="0.2">
      <c r="A156" s="97">
        <v>11</v>
      </c>
      <c r="B156" s="95">
        <v>86.803615000000008</v>
      </c>
      <c r="C156" s="95">
        <v>85.494005000000001</v>
      </c>
      <c r="D156" s="95">
        <v>1154.3157199999998</v>
      </c>
      <c r="E156" s="95">
        <v>1154.3157199999998</v>
      </c>
      <c r="F156" s="95">
        <v>0.59099999999999997</v>
      </c>
      <c r="G156" s="95">
        <v>0.41099999999999998</v>
      </c>
      <c r="H156" s="95">
        <f t="shared" si="8"/>
        <v>1.0348931624220994</v>
      </c>
      <c r="I156" s="95">
        <f t="shared" si="9"/>
        <v>1.1105347728265726</v>
      </c>
      <c r="J156" s="95">
        <f t="shared" si="10"/>
        <v>1.0446702694707835E-3</v>
      </c>
      <c r="K156" s="95">
        <f t="shared" si="11"/>
        <v>0.98491295552610325</v>
      </c>
      <c r="L156" s="95"/>
      <c r="M156" s="98">
        <v>10.8</v>
      </c>
      <c r="N156" s="104">
        <v>23.11</v>
      </c>
    </row>
    <row r="157" spans="1:14" s="96" customFormat="1" ht="18" customHeight="1" x14ac:dyDescent="0.2">
      <c r="A157" s="97">
        <v>12</v>
      </c>
      <c r="B157" s="95">
        <v>86.907415</v>
      </c>
      <c r="C157" s="95">
        <v>85.401449999999997</v>
      </c>
      <c r="D157" s="95">
        <v>1172.9443200000001</v>
      </c>
      <c r="E157" s="95">
        <v>1172.9443200000001</v>
      </c>
      <c r="F157" s="95">
        <v>0.59699999999999998</v>
      </c>
      <c r="G157" s="95">
        <v>0.40799999999999997</v>
      </c>
      <c r="H157" s="95">
        <f t="shared" si="8"/>
        <v>1.0367649905234992</v>
      </c>
      <c r="I157" s="95">
        <f t="shared" si="9"/>
        <v>1.115037682318416</v>
      </c>
      <c r="J157" s="95">
        <f t="shared" si="10"/>
        <v>1.2009808857423665E-3</v>
      </c>
      <c r="K157" s="95">
        <f t="shared" si="11"/>
        <v>0.9826716166854117</v>
      </c>
      <c r="L157" s="95"/>
      <c r="M157" s="98">
        <v>10.728999999999999</v>
      </c>
      <c r="N157" s="107">
        <v>28.8</v>
      </c>
    </row>
    <row r="158" spans="1:14" ht="18" customHeight="1" x14ac:dyDescent="0.2">
      <c r="A158" s="26">
        <v>1</v>
      </c>
      <c r="B158" s="17">
        <v>83.749300000000005</v>
      </c>
      <c r="C158" s="17">
        <v>108.72963500000002</v>
      </c>
      <c r="D158" s="17">
        <v>1180.7244999999998</v>
      </c>
      <c r="E158" s="17">
        <v>1275.7851499999999</v>
      </c>
      <c r="F158" s="17">
        <v>0.378</v>
      </c>
      <c r="G158" s="17">
        <v>0.50700000000000001</v>
      </c>
      <c r="H158" s="17">
        <f t="shared" si="8"/>
        <v>1.0570454751334144</v>
      </c>
      <c r="I158" s="17">
        <f t="shared" si="9"/>
        <v>1.202245630566257</v>
      </c>
      <c r="J158" s="17">
        <f t="shared" si="10"/>
        <v>6.8835042734671607E-4</v>
      </c>
      <c r="K158" s="17">
        <f t="shared" si="11"/>
        <v>1.2982751497624458</v>
      </c>
      <c r="M158" s="26">
        <v>11.930999999999999</v>
      </c>
      <c r="N158" s="103">
        <v>53.51</v>
      </c>
    </row>
    <row r="159" spans="1:14" ht="18" customHeight="1" x14ac:dyDescent="0.2">
      <c r="A159" s="26">
        <v>2</v>
      </c>
      <c r="B159" s="17">
        <v>84.047725</v>
      </c>
      <c r="C159" s="17">
        <v>108.91993500000001</v>
      </c>
      <c r="D159" s="17">
        <v>1150.6447899999998</v>
      </c>
      <c r="E159" s="17">
        <v>1242.58241</v>
      </c>
      <c r="F159" s="17">
        <v>0.38500000000000001</v>
      </c>
      <c r="G159" s="17">
        <v>0.51200000000000001</v>
      </c>
      <c r="H159" s="17">
        <f t="shared" si="8"/>
        <v>1.0565224184005892</v>
      </c>
      <c r="I159" s="17">
        <f t="shared" si="9"/>
        <v>1.2003645983441014</v>
      </c>
      <c r="J159" s="17">
        <f t="shared" si="10"/>
        <v>6.7689932824315131E-4</v>
      </c>
      <c r="K159" s="17">
        <f t="shared" si="11"/>
        <v>1.295929604281377</v>
      </c>
      <c r="M159" s="26">
        <v>11.836</v>
      </c>
      <c r="N159" s="103">
        <v>50.82</v>
      </c>
    </row>
    <row r="160" spans="1:14" ht="18" customHeight="1" x14ac:dyDescent="0.2">
      <c r="A160" s="26">
        <v>3</v>
      </c>
      <c r="B160" s="17">
        <v>84.319334999999995</v>
      </c>
      <c r="C160" s="17">
        <v>109.10937</v>
      </c>
      <c r="D160" s="17">
        <v>1127.6329900000001</v>
      </c>
      <c r="E160" s="17">
        <v>1216.8311099999999</v>
      </c>
      <c r="F160" s="17">
        <v>0.39400000000000002</v>
      </c>
      <c r="G160" s="17">
        <v>0.51600000000000001</v>
      </c>
      <c r="H160" s="17">
        <f t="shared" si="8"/>
        <v>1.0563531118531428</v>
      </c>
      <c r="I160" s="17">
        <f t="shared" si="9"/>
        <v>1.2010135893160279</v>
      </c>
      <c r="J160" s="17">
        <f t="shared" si="10"/>
        <v>6.0138417908767866E-4</v>
      </c>
      <c r="K160" s="17">
        <f t="shared" si="11"/>
        <v>1.2940017849998462</v>
      </c>
      <c r="M160" s="26">
        <v>11.741</v>
      </c>
      <c r="N160" s="103">
        <v>49.49</v>
      </c>
    </row>
    <row r="161" spans="1:14" ht="18" customHeight="1" x14ac:dyDescent="0.2">
      <c r="A161" s="26">
        <v>4</v>
      </c>
      <c r="B161" s="17">
        <v>84.623814999999993</v>
      </c>
      <c r="C161" s="17">
        <v>109.36281500000001</v>
      </c>
      <c r="D161" s="17">
        <v>1112.1274199999998</v>
      </c>
      <c r="E161" s="17">
        <v>1199.0243600000001</v>
      </c>
      <c r="F161" s="17">
        <v>0.40300000000000002</v>
      </c>
      <c r="G161" s="17">
        <v>0.52</v>
      </c>
      <c r="H161" s="17">
        <f t="shared" si="8"/>
        <v>1.05604467175425</v>
      </c>
      <c r="I161" s="17">
        <f t="shared" si="9"/>
        <v>1.2020097524738773</v>
      </c>
      <c r="J161" s="17">
        <f t="shared" si="10"/>
        <v>4.7446312847068857E-4</v>
      </c>
      <c r="K161" s="17">
        <f t="shared" si="11"/>
        <v>1.2923408735472399</v>
      </c>
      <c r="M161" s="26">
        <v>11.622</v>
      </c>
      <c r="N161" s="103">
        <v>48.44</v>
      </c>
    </row>
    <row r="162" spans="1:14" ht="18" customHeight="1" x14ac:dyDescent="0.2">
      <c r="A162" s="26">
        <v>5</v>
      </c>
      <c r="B162" s="17">
        <v>84.866015000000004</v>
      </c>
      <c r="C162" s="17">
        <v>109.61539500000001</v>
      </c>
      <c r="D162" s="17">
        <v>1105.8813600000001</v>
      </c>
      <c r="E162" s="17">
        <v>1191.4633399999998</v>
      </c>
      <c r="F162" s="17">
        <v>0.41099999999999998</v>
      </c>
      <c r="G162" s="17">
        <v>0.52500000000000002</v>
      </c>
      <c r="H162" s="17">
        <f t="shared" si="8"/>
        <v>1.0555969414146629</v>
      </c>
      <c r="I162" s="17">
        <f t="shared" si="9"/>
        <v>1.2024822181498722</v>
      </c>
      <c r="J162" s="17">
        <f t="shared" si="10"/>
        <v>3.4574978020123111E-4</v>
      </c>
      <c r="K162" s="17">
        <f t="shared" si="11"/>
        <v>1.2916288693418678</v>
      </c>
      <c r="M162" s="26">
        <v>11.509</v>
      </c>
      <c r="N162" s="103">
        <v>47.49</v>
      </c>
    </row>
    <row r="163" spans="1:14" ht="18" customHeight="1" x14ac:dyDescent="0.2">
      <c r="A163" s="26">
        <v>6</v>
      </c>
      <c r="B163" s="17">
        <v>85.071020000000004</v>
      </c>
      <c r="C163" s="17">
        <v>109.86883999999999</v>
      </c>
      <c r="D163" s="17">
        <v>1104.0732899999998</v>
      </c>
      <c r="E163" s="17">
        <v>1188.9977900000001</v>
      </c>
      <c r="F163" s="17">
        <v>0.41699999999999998</v>
      </c>
      <c r="G163" s="17">
        <v>0.53100000000000003</v>
      </c>
      <c r="H163" s="17">
        <f t="shared" si="8"/>
        <v>1.0548848639892152</v>
      </c>
      <c r="I163" s="17">
        <f t="shared" si="9"/>
        <v>1.2013501545408023</v>
      </c>
      <c r="J163" s="17">
        <f t="shared" si="10"/>
        <v>2.4836361546366759E-4</v>
      </c>
      <c r="K163" s="17">
        <f t="shared" si="11"/>
        <v>1.2914955057550737</v>
      </c>
      <c r="M163" s="26">
        <v>11.398</v>
      </c>
      <c r="N163" s="103">
        <v>46.46</v>
      </c>
    </row>
    <row r="164" spans="1:14" ht="18" customHeight="1" x14ac:dyDescent="0.2">
      <c r="A164" s="26">
        <v>7</v>
      </c>
      <c r="B164" s="17">
        <v>85.264780000000016</v>
      </c>
      <c r="C164" s="17">
        <v>110.12142</v>
      </c>
      <c r="D164" s="17">
        <v>1104.12808</v>
      </c>
      <c r="E164" s="17">
        <v>1188.9977900000001</v>
      </c>
      <c r="F164" s="17">
        <v>0.42299999999999999</v>
      </c>
      <c r="G164" s="17">
        <v>0.53700000000000003</v>
      </c>
      <c r="H164" s="17">
        <f t="shared" si="8"/>
        <v>1.0545806510692297</v>
      </c>
      <c r="I164" s="17">
        <f t="shared" si="9"/>
        <v>1.200371980489263</v>
      </c>
      <c r="J164" s="17">
        <f t="shared" si="10"/>
        <v>2.3497937414433505E-4</v>
      </c>
      <c r="K164" s="17">
        <f t="shared" si="11"/>
        <v>1.2915229476930565</v>
      </c>
      <c r="M164" s="26">
        <v>11.288</v>
      </c>
      <c r="N164" s="103">
        <v>45.3</v>
      </c>
    </row>
    <row r="165" spans="1:14" ht="18" customHeight="1" x14ac:dyDescent="0.2">
      <c r="A165" s="26">
        <v>8</v>
      </c>
      <c r="B165" s="17">
        <v>85.436915000000013</v>
      </c>
      <c r="C165" s="17">
        <v>110.374865</v>
      </c>
      <c r="D165" s="17">
        <v>1107.5250599999999</v>
      </c>
      <c r="E165" s="17">
        <v>1192.99746</v>
      </c>
      <c r="F165" s="17">
        <v>0.42699999999999999</v>
      </c>
      <c r="G165" s="17">
        <v>0.54400000000000004</v>
      </c>
      <c r="H165" s="17">
        <f t="shared" si="8"/>
        <v>1.0540669826085878</v>
      </c>
      <c r="I165" s="17">
        <f t="shared" si="9"/>
        <v>1.1974641248876696</v>
      </c>
      <c r="J165" s="17">
        <f t="shared" si="10"/>
        <v>2.8431217757883195E-4</v>
      </c>
      <c r="K165" s="17">
        <f t="shared" si="11"/>
        <v>1.2918872948537523</v>
      </c>
      <c r="M165" s="26">
        <v>11.178000000000001</v>
      </c>
      <c r="N165" s="103">
        <v>43.96</v>
      </c>
    </row>
    <row r="166" spans="1:14" ht="18" customHeight="1" x14ac:dyDescent="0.2">
      <c r="A166" s="26">
        <v>9</v>
      </c>
      <c r="B166" s="17">
        <v>85.556285000000003</v>
      </c>
      <c r="C166" s="17">
        <v>110.62831000000001</v>
      </c>
      <c r="D166" s="17">
        <v>1113.99028</v>
      </c>
      <c r="E166" s="17">
        <v>1200.6680599999997</v>
      </c>
      <c r="F166" s="17">
        <v>0.42899999999999999</v>
      </c>
      <c r="G166" s="17">
        <v>0.55100000000000005</v>
      </c>
      <c r="H166" s="17">
        <f t="shared" si="8"/>
        <v>1.0535111590431174</v>
      </c>
      <c r="I166" s="17">
        <f t="shared" si="9"/>
        <v>1.1938668763309175</v>
      </c>
      <c r="J166" s="17">
        <f t="shared" si="10"/>
        <v>3.6396152798237776E-4</v>
      </c>
      <c r="K166" s="17">
        <f t="shared" si="11"/>
        <v>1.2930471443448019</v>
      </c>
      <c r="M166" s="26">
        <v>11.066000000000001</v>
      </c>
      <c r="N166" s="103">
        <v>42.4</v>
      </c>
    </row>
    <row r="167" spans="1:14" ht="18" customHeight="1" x14ac:dyDescent="0.2">
      <c r="A167" s="26">
        <v>10</v>
      </c>
      <c r="B167" s="17">
        <v>85.572720000000004</v>
      </c>
      <c r="C167" s="17">
        <v>110.88089000000001</v>
      </c>
      <c r="D167" s="17">
        <v>1128.5644199999999</v>
      </c>
      <c r="E167" s="17">
        <v>1217.4885900000002</v>
      </c>
      <c r="F167" s="17">
        <v>0.42899999999999999</v>
      </c>
      <c r="G167" s="17">
        <v>0.55900000000000005</v>
      </c>
      <c r="H167" s="17">
        <f t="shared" si="8"/>
        <v>1.0527120239199295</v>
      </c>
      <c r="I167" s="17">
        <f t="shared" si="9"/>
        <v>1.1893782683544771</v>
      </c>
      <c r="J167" s="17">
        <f t="shared" si="10"/>
        <v>4.400564394360755E-4</v>
      </c>
      <c r="K167" s="17">
        <f t="shared" si="11"/>
        <v>1.295750444767912</v>
      </c>
      <c r="M167" s="26">
        <v>10.952</v>
      </c>
      <c r="N167" s="103">
        <v>40.35</v>
      </c>
    </row>
    <row r="168" spans="1:14" ht="18" customHeight="1" x14ac:dyDescent="0.2">
      <c r="A168" s="26">
        <v>11</v>
      </c>
      <c r="B168" s="17">
        <v>85.494005000000001</v>
      </c>
      <c r="C168" s="17">
        <v>111.13433499999999</v>
      </c>
      <c r="D168" s="17">
        <v>1154.3157199999998</v>
      </c>
      <c r="E168" s="17">
        <v>1246.52729</v>
      </c>
      <c r="F168" s="17">
        <v>0.42799999999999999</v>
      </c>
      <c r="G168" s="17">
        <v>0.56899999999999995</v>
      </c>
      <c r="H168" s="17">
        <f t="shared" si="8"/>
        <v>1.0513692157082468</v>
      </c>
      <c r="I168" s="17">
        <f t="shared" si="9"/>
        <v>1.1836842214507137</v>
      </c>
      <c r="J168" s="17">
        <f t="shared" si="10"/>
        <v>4.626894956122115E-4</v>
      </c>
      <c r="K168" s="17">
        <f t="shared" si="11"/>
        <v>1.2999079292167912</v>
      </c>
      <c r="M168" s="26">
        <v>10.827999999999999</v>
      </c>
      <c r="N168" s="103">
        <v>37.549999999999997</v>
      </c>
    </row>
    <row r="169" spans="1:14" ht="18" customHeight="1" x14ac:dyDescent="0.2">
      <c r="A169" s="26">
        <v>12</v>
      </c>
      <c r="B169" s="17">
        <v>85.401449999999997</v>
      </c>
      <c r="C169" s="17">
        <v>111.260625</v>
      </c>
      <c r="D169" s="17">
        <v>1172.9443200000001</v>
      </c>
      <c r="E169" s="17">
        <v>1267.2927</v>
      </c>
      <c r="F169" s="17">
        <v>0.42699999999999999</v>
      </c>
      <c r="G169" s="17">
        <v>0.57399999999999995</v>
      </c>
      <c r="H169" s="17">
        <f t="shared" si="8"/>
        <v>1.0506063141087474</v>
      </c>
      <c r="I169" s="17">
        <f t="shared" si="9"/>
        <v>1.1811849243577426</v>
      </c>
      <c r="J169" s="17">
        <f t="shared" si="10"/>
        <v>4.3336919445884081E-4</v>
      </c>
      <c r="K169" s="17">
        <f t="shared" si="11"/>
        <v>1.3027955028866607</v>
      </c>
      <c r="M169" s="26">
        <v>10.759</v>
      </c>
      <c r="N169" s="103">
        <v>35.86</v>
      </c>
    </row>
    <row r="170" spans="1:14" s="96" customFormat="1" ht="18" customHeight="1" x14ac:dyDescent="0.2">
      <c r="A170" s="97">
        <v>1</v>
      </c>
      <c r="B170" s="95">
        <v>108.72963500000002</v>
      </c>
      <c r="C170" s="95">
        <v>107.27989500000001</v>
      </c>
      <c r="D170" s="95">
        <v>1275.7851499999999</v>
      </c>
      <c r="E170" s="95">
        <v>1275.7851499999999</v>
      </c>
      <c r="F170" s="95">
        <v>0.51500000000000001</v>
      </c>
      <c r="G170" s="95">
        <v>0.35499999999999998</v>
      </c>
      <c r="H170" s="95">
        <f t="shared" si="8"/>
        <v>1.027155544500856</v>
      </c>
      <c r="I170" s="95">
        <f t="shared" si="9"/>
        <v>1.0836702762761137</v>
      </c>
      <c r="J170" s="95">
        <f t="shared" si="10"/>
        <v>9.2216491647027516E-4</v>
      </c>
      <c r="K170" s="95">
        <f t="shared" si="11"/>
        <v>0.98666656059316293</v>
      </c>
      <c r="L170" s="95"/>
      <c r="M170" s="99">
        <v>11.843999999999999</v>
      </c>
      <c r="N170" s="106">
        <v>-4.09</v>
      </c>
    </row>
    <row r="171" spans="1:14" s="96" customFormat="1" ht="18" customHeight="1" x14ac:dyDescent="0.2">
      <c r="A171" s="97">
        <v>2</v>
      </c>
      <c r="B171" s="95">
        <v>108.91993500000001</v>
      </c>
      <c r="C171" s="95">
        <v>107.58351</v>
      </c>
      <c r="D171" s="95">
        <v>1242.58241</v>
      </c>
      <c r="E171" s="95">
        <v>1242.58241</v>
      </c>
      <c r="F171" s="95">
        <v>0.52</v>
      </c>
      <c r="G171" s="95">
        <v>0.36399999999999999</v>
      </c>
      <c r="H171" s="95">
        <f t="shared" si="8"/>
        <v>1.0268687983390536</v>
      </c>
      <c r="I171" s="95">
        <f t="shared" si="9"/>
        <v>1.0837788927026391</v>
      </c>
      <c r="J171" s="95">
        <f t="shared" si="10"/>
        <v>8.4828546434775019E-4</v>
      </c>
      <c r="K171" s="95">
        <f t="shared" si="11"/>
        <v>0.98773020751435436</v>
      </c>
      <c r="L171" s="95"/>
      <c r="M171" s="99">
        <v>11.768000000000001</v>
      </c>
      <c r="N171" s="106">
        <v>-2.0699999999999998</v>
      </c>
    </row>
    <row r="172" spans="1:14" s="96" customFormat="1" ht="18" customHeight="1" x14ac:dyDescent="0.2">
      <c r="A172" s="97">
        <v>3</v>
      </c>
      <c r="B172" s="95">
        <v>109.10937</v>
      </c>
      <c r="C172" s="95">
        <v>107.90183</v>
      </c>
      <c r="D172" s="95">
        <v>1216.8311099999999</v>
      </c>
      <c r="E172" s="95">
        <v>1216.8311099999999</v>
      </c>
      <c r="F172" s="95">
        <v>0.52400000000000002</v>
      </c>
      <c r="G172" s="95">
        <v>0.36899999999999999</v>
      </c>
      <c r="H172" s="95">
        <f t="shared" si="8"/>
        <v>1.0269491162757554</v>
      </c>
      <c r="I172" s="95">
        <f t="shared" si="9"/>
        <v>1.0853954619928254</v>
      </c>
      <c r="J172" s="95">
        <f t="shared" si="10"/>
        <v>7.6488336121783608E-4</v>
      </c>
      <c r="K172" s="95">
        <f t="shared" si="11"/>
        <v>0.98893275618766752</v>
      </c>
      <c r="L172" s="95"/>
      <c r="M172" s="99">
        <v>11.682</v>
      </c>
      <c r="N172" s="106">
        <v>-1.69</v>
      </c>
    </row>
    <row r="173" spans="1:14" s="96" customFormat="1" ht="18" customHeight="1" x14ac:dyDescent="0.2">
      <c r="A173" s="97">
        <v>4</v>
      </c>
      <c r="B173" s="95">
        <v>109.36281500000001</v>
      </c>
      <c r="C173" s="95">
        <v>108.30059500000002</v>
      </c>
      <c r="D173" s="95">
        <v>1199.0243600000001</v>
      </c>
      <c r="E173" s="95">
        <v>1199.0243600000001</v>
      </c>
      <c r="F173" s="95">
        <v>0.53</v>
      </c>
      <c r="G173" s="95">
        <v>0.376</v>
      </c>
      <c r="H173" s="95">
        <f t="shared" si="8"/>
        <v>1.027137482261558</v>
      </c>
      <c r="I173" s="95">
        <f t="shared" si="9"/>
        <v>1.0875799294148345</v>
      </c>
      <c r="J173" s="95">
        <f t="shared" si="10"/>
        <v>6.7107570504217496E-4</v>
      </c>
      <c r="K173" s="95">
        <f t="shared" si="11"/>
        <v>0.9902871922234262</v>
      </c>
      <c r="L173" s="95"/>
      <c r="M173" s="99">
        <v>11.571999999999999</v>
      </c>
      <c r="N173" s="106">
        <v>-1.5</v>
      </c>
    </row>
    <row r="174" spans="1:14" s="96" customFormat="1" ht="18" customHeight="1" x14ac:dyDescent="0.2">
      <c r="A174" s="97">
        <v>5</v>
      </c>
      <c r="B174" s="95">
        <v>109.61539500000001</v>
      </c>
      <c r="C174" s="95">
        <v>108.65524499999999</v>
      </c>
      <c r="D174" s="95">
        <v>1191.4633399999998</v>
      </c>
      <c r="E174" s="95">
        <v>1191.4633399999998</v>
      </c>
      <c r="F174" s="95">
        <v>0.53500000000000003</v>
      </c>
      <c r="G174" s="95">
        <v>0.38100000000000001</v>
      </c>
      <c r="H174" s="95">
        <f t="shared" si="8"/>
        <v>1.027416829133238</v>
      </c>
      <c r="I174" s="95">
        <f t="shared" si="9"/>
        <v>1.0896637551508108</v>
      </c>
      <c r="J174" s="95">
        <f t="shared" si="10"/>
        <v>6.0512120779295051E-4</v>
      </c>
      <c r="K174" s="95">
        <f t="shared" si="11"/>
        <v>0.99124073767192999</v>
      </c>
      <c r="L174" s="95"/>
      <c r="M174" s="99">
        <v>11.464</v>
      </c>
      <c r="N174" s="106">
        <v>-1.42</v>
      </c>
    </row>
    <row r="175" spans="1:14" s="96" customFormat="1" ht="18" customHeight="1" x14ac:dyDescent="0.2">
      <c r="A175" s="97">
        <v>6</v>
      </c>
      <c r="B175" s="95">
        <v>109.86883999999999</v>
      </c>
      <c r="C175" s="95">
        <v>108.95713000000001</v>
      </c>
      <c r="D175" s="95">
        <v>1188.9977900000001</v>
      </c>
      <c r="E175" s="95">
        <v>1188.9977900000001</v>
      </c>
      <c r="F175" s="95">
        <v>0.54100000000000004</v>
      </c>
      <c r="G175" s="95">
        <v>0.38600000000000001</v>
      </c>
      <c r="H175" s="95">
        <f t="shared" si="8"/>
        <v>1.0279054402062071</v>
      </c>
      <c r="I175" s="95">
        <f t="shared" si="9"/>
        <v>1.0919863053681675</v>
      </c>
      <c r="J175" s="95">
        <f t="shared" si="10"/>
        <v>5.7327689773931188E-4</v>
      </c>
      <c r="K175" s="95">
        <f t="shared" si="11"/>
        <v>0.99170183283995728</v>
      </c>
      <c r="L175" s="95"/>
      <c r="M175" s="99">
        <v>11.358000000000001</v>
      </c>
      <c r="N175" s="106">
        <v>-1.36</v>
      </c>
    </row>
    <row r="176" spans="1:14" s="96" customFormat="1" ht="18" customHeight="1" x14ac:dyDescent="0.2">
      <c r="A176" s="97">
        <v>7</v>
      </c>
      <c r="B176" s="95">
        <v>110.12142</v>
      </c>
      <c r="C176" s="95">
        <v>109.19673500000002</v>
      </c>
      <c r="D176" s="95">
        <v>1188.9977900000001</v>
      </c>
      <c r="E176" s="95">
        <v>1188.9977900000001</v>
      </c>
      <c r="F176" s="95">
        <v>0.54700000000000004</v>
      </c>
      <c r="G176" s="95">
        <v>0.39</v>
      </c>
      <c r="H176" s="95">
        <f t="shared" si="8"/>
        <v>1.0285532113118925</v>
      </c>
      <c r="I176" s="95">
        <f t="shared" si="9"/>
        <v>1.0942877203681327</v>
      </c>
      <c r="J176" s="95">
        <f t="shared" si="10"/>
        <v>5.8015330386459486E-4</v>
      </c>
      <c r="K176" s="95">
        <f t="shared" si="11"/>
        <v>0.99160304144280031</v>
      </c>
      <c r="L176" s="95"/>
      <c r="M176" s="99">
        <v>11.252000000000001</v>
      </c>
      <c r="N176" s="106">
        <v>-1.28</v>
      </c>
    </row>
    <row r="177" spans="1:14" s="96" customFormat="1" ht="18" customHeight="1" x14ac:dyDescent="0.2">
      <c r="A177" s="97">
        <v>8</v>
      </c>
      <c r="B177" s="95">
        <v>110.374865</v>
      </c>
      <c r="C177" s="95">
        <v>109.34465</v>
      </c>
      <c r="D177" s="95">
        <v>1192.99746</v>
      </c>
      <c r="E177" s="95">
        <v>1192.99746</v>
      </c>
      <c r="F177" s="95">
        <v>0.55300000000000005</v>
      </c>
      <c r="G177" s="95">
        <v>0.39200000000000002</v>
      </c>
      <c r="H177" s="95">
        <f t="shared" si="8"/>
        <v>1.0295217150361375</v>
      </c>
      <c r="I177" s="95">
        <f t="shared" si="9"/>
        <v>1.0968611215272066</v>
      </c>
      <c r="J177" s="95">
        <f t="shared" si="10"/>
        <v>6.4501760864583372E-4</v>
      </c>
      <c r="K177" s="95">
        <f t="shared" si="11"/>
        <v>0.99066621734939386</v>
      </c>
      <c r="L177" s="95"/>
      <c r="M177" s="99">
        <v>11.146000000000001</v>
      </c>
      <c r="N177" s="106">
        <v>-1.19</v>
      </c>
    </row>
    <row r="178" spans="1:14" s="96" customFormat="1" ht="18" customHeight="1" x14ac:dyDescent="0.2">
      <c r="A178" s="97">
        <v>9</v>
      </c>
      <c r="B178" s="95">
        <v>110.62831000000001</v>
      </c>
      <c r="C178" s="95">
        <v>109.42077</v>
      </c>
      <c r="D178" s="95">
        <v>1200.6680599999997</v>
      </c>
      <c r="E178" s="95">
        <v>1200.6680599999997</v>
      </c>
      <c r="F178" s="95">
        <v>0.55900000000000005</v>
      </c>
      <c r="G178" s="95">
        <v>0.39200000000000002</v>
      </c>
      <c r="H178" s="95">
        <f t="shared" si="8"/>
        <v>1.0308163279561882</v>
      </c>
      <c r="I178" s="95">
        <f t="shared" si="9"/>
        <v>1.0999374791627383</v>
      </c>
      <c r="J178" s="95">
        <f t="shared" si="10"/>
        <v>7.5463301059587595E-4</v>
      </c>
      <c r="K178" s="95">
        <f t="shared" si="11"/>
        <v>0.98908471077611138</v>
      </c>
      <c r="L178" s="95"/>
      <c r="M178" s="100">
        <v>11.039</v>
      </c>
      <c r="N178" s="106">
        <v>-1.1000000000000001</v>
      </c>
    </row>
    <row r="179" spans="1:14" s="96" customFormat="1" ht="18" customHeight="1" x14ac:dyDescent="0.2">
      <c r="A179" s="97">
        <v>10</v>
      </c>
      <c r="B179" s="95">
        <v>110.88089000000001</v>
      </c>
      <c r="C179" s="95">
        <v>109.43979999999999</v>
      </c>
      <c r="D179" s="95">
        <v>1217.4885900000002</v>
      </c>
      <c r="E179" s="95">
        <v>1217.4885900000002</v>
      </c>
      <c r="F179" s="95">
        <v>0.56699999999999995</v>
      </c>
      <c r="G179" s="95">
        <v>0.39200000000000002</v>
      </c>
      <c r="H179" s="95">
        <f t="shared" si="8"/>
        <v>1.0325642106276234</v>
      </c>
      <c r="I179" s="95">
        <f t="shared" si="9"/>
        <v>1.1041506326271895</v>
      </c>
      <c r="J179" s="95">
        <f t="shared" si="10"/>
        <v>8.9917008595359355E-4</v>
      </c>
      <c r="K179" s="95">
        <f t="shared" si="11"/>
        <v>0.98700326088652413</v>
      </c>
      <c r="L179" s="95"/>
      <c r="M179" s="99">
        <v>10.929</v>
      </c>
      <c r="N179" s="106">
        <v>-0.96</v>
      </c>
    </row>
    <row r="180" spans="1:14" s="96" customFormat="1" ht="18" customHeight="1" x14ac:dyDescent="0.2">
      <c r="A180" s="97">
        <v>11</v>
      </c>
      <c r="B180" s="95">
        <v>111.13433499999999</v>
      </c>
      <c r="C180" s="95">
        <v>109.36368</v>
      </c>
      <c r="D180" s="95">
        <v>1246.52729</v>
      </c>
      <c r="E180" s="95">
        <v>1246.52729</v>
      </c>
      <c r="F180" s="95">
        <v>0.57499999999999996</v>
      </c>
      <c r="G180" s="95">
        <v>0.39</v>
      </c>
      <c r="H180" s="95">
        <f t="shared" si="8"/>
        <v>1.0346509190427204</v>
      </c>
      <c r="I180" s="95">
        <f t="shared" si="9"/>
        <v>1.1086726342580082</v>
      </c>
      <c r="J180" s="95">
        <f t="shared" si="10"/>
        <v>1.103526254569105E-3</v>
      </c>
      <c r="K180" s="95">
        <f t="shared" si="11"/>
        <v>0.98406743514504325</v>
      </c>
      <c r="L180" s="95"/>
      <c r="M180" s="99">
        <v>10.815</v>
      </c>
      <c r="N180" s="106">
        <v>-0.57999999999999996</v>
      </c>
    </row>
    <row r="181" spans="1:14" s="96" customFormat="1" ht="18" customHeight="1" x14ac:dyDescent="0.2">
      <c r="A181" s="97">
        <v>12</v>
      </c>
      <c r="B181" s="95">
        <v>111.260625</v>
      </c>
      <c r="C181" s="95">
        <v>109.300535</v>
      </c>
      <c r="D181" s="95">
        <v>1267.2927</v>
      </c>
      <c r="E181" s="95">
        <v>1267.2927</v>
      </c>
      <c r="F181" s="95">
        <v>0.57499999999999996</v>
      </c>
      <c r="G181" s="95">
        <v>0.38800000000000001</v>
      </c>
      <c r="H181" s="95">
        <f t="shared" si="8"/>
        <v>1.0349634912351005</v>
      </c>
      <c r="I181" s="95">
        <f t="shared" si="9"/>
        <v>1.1079455002255179</v>
      </c>
      <c r="J181" s="95">
        <f t="shared" si="10"/>
        <v>1.220994220170489E-3</v>
      </c>
      <c r="K181" s="95">
        <f t="shared" si="11"/>
        <v>0.98238289601554896</v>
      </c>
      <c r="L181" s="95"/>
      <c r="M181" s="99">
        <v>10.755000000000001</v>
      </c>
      <c r="N181" s="106">
        <v>-0.3</v>
      </c>
    </row>
    <row r="182" spans="1:14" ht="18" customHeight="1" x14ac:dyDescent="0.2">
      <c r="A182" s="27">
        <v>1</v>
      </c>
      <c r="B182" s="17">
        <v>107.397535</v>
      </c>
      <c r="C182" s="17">
        <v>138.51418000000001</v>
      </c>
      <c r="D182" s="17">
        <v>1262.1424399999999</v>
      </c>
      <c r="E182" s="17">
        <v>1360.1069600000001</v>
      </c>
      <c r="F182" s="17">
        <v>0.36</v>
      </c>
      <c r="G182" s="17">
        <v>0.49299999999999999</v>
      </c>
      <c r="H182" s="17">
        <f t="shared" ref="H182:H241" si="12">E182/D182*((1+0.2*F182^2)/(1+0.2*G182^2))</f>
        <v>1.0543001707890931</v>
      </c>
      <c r="I182" s="17">
        <f t="shared" ref="I182:I241" si="13">C182/B182*((1+0.2*F182^2)^(1.4/0.4)/(1+0.2*G182^2)^(1.4/0.4))</f>
        <v>1.1946713984006387</v>
      </c>
      <c r="J182" s="17">
        <f t="shared" ref="J182:J241" si="14">0.24 * LN(H182) - 0.06855 * LN(I182)</f>
        <v>4.9745987423322098E-4</v>
      </c>
      <c r="K182" s="17">
        <f t="shared" ref="K182:K241" si="15">C182/B182</f>
        <v>1.2897333258160908</v>
      </c>
      <c r="M182" s="27">
        <v>11.766</v>
      </c>
      <c r="N182" s="27">
        <v>52.42</v>
      </c>
    </row>
    <row r="183" spans="1:14" ht="18" customHeight="1" x14ac:dyDescent="0.2">
      <c r="A183" s="27">
        <v>2</v>
      </c>
      <c r="B183" s="17">
        <v>107.58351</v>
      </c>
      <c r="C183" s="17">
        <v>138.71313000000001</v>
      </c>
      <c r="D183" s="17">
        <v>1242.58241</v>
      </c>
      <c r="E183" s="17">
        <v>1338.84844</v>
      </c>
      <c r="F183" s="17">
        <v>0.36399999999999999</v>
      </c>
      <c r="G183" s="17">
        <v>0.496</v>
      </c>
      <c r="H183" s="17">
        <f t="shared" si="12"/>
        <v>1.0541568233320429</v>
      </c>
      <c r="I183" s="17">
        <f t="shared" si="13"/>
        <v>1.1943136411680055</v>
      </c>
      <c r="J183" s="17">
        <f t="shared" si="14"/>
        <v>4.8535727264694545E-4</v>
      </c>
      <c r="K183" s="17">
        <f t="shared" si="15"/>
        <v>1.2893530802257707</v>
      </c>
      <c r="M183" s="27">
        <v>11.715</v>
      </c>
      <c r="N183" s="27">
        <v>50.65</v>
      </c>
    </row>
    <row r="184" spans="1:14" ht="18" customHeight="1" x14ac:dyDescent="0.2">
      <c r="A184" s="27">
        <v>3</v>
      </c>
      <c r="B184" s="17">
        <v>107.90183</v>
      </c>
      <c r="C184" s="17">
        <v>138.91294500000001</v>
      </c>
      <c r="D184" s="17">
        <v>1216.8311099999999</v>
      </c>
      <c r="E184" s="17">
        <v>1310.19327</v>
      </c>
      <c r="F184" s="17">
        <v>0.372</v>
      </c>
      <c r="G184" s="17">
        <v>0.5</v>
      </c>
      <c r="H184" s="17">
        <f t="shared" si="12"/>
        <v>1.0538342593157215</v>
      </c>
      <c r="I184" s="17">
        <f t="shared" si="13"/>
        <v>1.1941236362945948</v>
      </c>
      <c r="J184" s="17">
        <f t="shared" si="14"/>
        <v>4.228144236097485E-4</v>
      </c>
      <c r="K184" s="17">
        <f t="shared" si="15"/>
        <v>1.2874011960686857</v>
      </c>
      <c r="M184" s="27">
        <v>11.625999999999999</v>
      </c>
      <c r="N184" s="27">
        <v>49</v>
      </c>
    </row>
    <row r="185" spans="1:14" ht="18" customHeight="1" x14ac:dyDescent="0.2">
      <c r="A185" s="27">
        <v>4</v>
      </c>
      <c r="B185" s="17">
        <v>108.30059500000002</v>
      </c>
      <c r="C185" s="17">
        <v>139.17850000000001</v>
      </c>
      <c r="D185" s="17">
        <v>1199.0243600000001</v>
      </c>
      <c r="E185" s="17">
        <v>1289.7565999999999</v>
      </c>
      <c r="F185" s="17">
        <v>0.38200000000000001</v>
      </c>
      <c r="G185" s="17">
        <v>0.504</v>
      </c>
      <c r="H185" s="17">
        <f t="shared" si="12"/>
        <v>1.0535416981539547</v>
      </c>
      <c r="I185" s="17">
        <f t="shared" si="13"/>
        <v>1.1949320997783033</v>
      </c>
      <c r="J185" s="17">
        <f t="shared" si="14"/>
        <v>3.097823091393493E-4</v>
      </c>
      <c r="K185" s="17">
        <f t="shared" si="15"/>
        <v>1.2851129765261216</v>
      </c>
      <c r="M185" s="27">
        <v>11.521000000000001</v>
      </c>
      <c r="N185" s="27">
        <v>47.83</v>
      </c>
    </row>
    <row r="186" spans="1:14" ht="18" customHeight="1" x14ac:dyDescent="0.2">
      <c r="A186" s="27">
        <v>5</v>
      </c>
      <c r="B186" s="17">
        <v>108.65524499999999</v>
      </c>
      <c r="C186" s="17">
        <v>139.44492</v>
      </c>
      <c r="D186" s="17">
        <v>1191.4633399999998</v>
      </c>
      <c r="E186" s="17">
        <v>1280.55188</v>
      </c>
      <c r="F186" s="17">
        <v>0.39100000000000001</v>
      </c>
      <c r="G186" s="17">
        <v>0.50800000000000001</v>
      </c>
      <c r="H186" s="17">
        <f t="shared" si="12"/>
        <v>1.0532724848243484</v>
      </c>
      <c r="I186" s="17">
        <f t="shared" si="13"/>
        <v>1.195740281819847</v>
      </c>
      <c r="J186" s="17">
        <f t="shared" si="14"/>
        <v>2.0209932683009496E-4</v>
      </c>
      <c r="K186" s="17">
        <f t="shared" si="15"/>
        <v>1.2833703517947983</v>
      </c>
      <c r="M186" s="27">
        <v>11.422000000000001</v>
      </c>
      <c r="N186" s="27">
        <v>46.91</v>
      </c>
    </row>
    <row r="187" spans="1:14" ht="18" customHeight="1" x14ac:dyDescent="0.2">
      <c r="A187" s="27">
        <v>6</v>
      </c>
      <c r="B187" s="17">
        <v>108.95713000000001</v>
      </c>
      <c r="C187" s="17">
        <v>139.71133999999998</v>
      </c>
      <c r="D187" s="17">
        <v>1188.9977900000001</v>
      </c>
      <c r="E187" s="17">
        <v>1277.1001100000001</v>
      </c>
      <c r="F187" s="17">
        <v>0.39700000000000002</v>
      </c>
      <c r="G187" s="17">
        <v>0.51300000000000001</v>
      </c>
      <c r="H187" s="17">
        <f t="shared" si="12"/>
        <v>1.0525554748081463</v>
      </c>
      <c r="I187" s="17">
        <f t="shared" si="13"/>
        <v>1.1944826657620287</v>
      </c>
      <c r="J187" s="17">
        <f t="shared" si="14"/>
        <v>1.1080006936860058E-4</v>
      </c>
      <c r="K187" s="17">
        <f t="shared" si="15"/>
        <v>1.2822597291246565</v>
      </c>
      <c r="M187" s="27">
        <v>11.327</v>
      </c>
      <c r="N187" s="27">
        <v>46</v>
      </c>
    </row>
    <row r="188" spans="1:14" ht="18" customHeight="1" x14ac:dyDescent="0.2">
      <c r="A188" s="27">
        <v>7</v>
      </c>
      <c r="B188" s="17">
        <v>109.19673500000002</v>
      </c>
      <c r="C188" s="17">
        <v>139.97689500000001</v>
      </c>
      <c r="D188" s="17">
        <v>1188.9977900000001</v>
      </c>
      <c r="E188" s="17">
        <v>1276.8809499999998</v>
      </c>
      <c r="F188" s="17">
        <v>0.40200000000000002</v>
      </c>
      <c r="G188" s="17">
        <v>0.51800000000000002</v>
      </c>
      <c r="H188" s="17">
        <f t="shared" si="12"/>
        <v>1.0521594653771447</v>
      </c>
      <c r="I188" s="17">
        <f t="shared" si="13"/>
        <v>1.1932719291634828</v>
      </c>
      <c r="J188" s="17">
        <f t="shared" si="14"/>
        <v>9.0004432695661718E-5</v>
      </c>
      <c r="K188" s="17">
        <f t="shared" si="15"/>
        <v>1.2818780250160409</v>
      </c>
      <c r="M188" s="27">
        <v>11.233000000000001</v>
      </c>
      <c r="N188" s="27">
        <v>44.98</v>
      </c>
    </row>
    <row r="189" spans="1:14" ht="18" customHeight="1" x14ac:dyDescent="0.2">
      <c r="A189" s="27">
        <v>8</v>
      </c>
      <c r="B189" s="17">
        <v>109.34465</v>
      </c>
      <c r="C189" s="17">
        <v>140.24331500000002</v>
      </c>
      <c r="D189" s="17">
        <v>1192.99746</v>
      </c>
      <c r="E189" s="17">
        <v>1281.5381</v>
      </c>
      <c r="F189" s="17">
        <v>0.40400000000000003</v>
      </c>
      <c r="G189" s="17">
        <v>0.52400000000000002</v>
      </c>
      <c r="H189" s="17">
        <f t="shared" si="12"/>
        <v>1.0515374457973068</v>
      </c>
      <c r="I189" s="17">
        <f t="shared" si="13"/>
        <v>1.1902802249511719</v>
      </c>
      <c r="J189" s="17">
        <f t="shared" si="14"/>
        <v>1.2015888292732022E-4</v>
      </c>
      <c r="K189" s="17">
        <f t="shared" si="15"/>
        <v>1.2825804920496797</v>
      </c>
      <c r="M189" s="27">
        <v>11.138</v>
      </c>
      <c r="N189" s="27">
        <v>43.76</v>
      </c>
    </row>
    <row r="190" spans="1:14" ht="18" customHeight="1" x14ac:dyDescent="0.2">
      <c r="A190" s="27">
        <v>9</v>
      </c>
      <c r="B190" s="17">
        <v>109.42077</v>
      </c>
      <c r="C190" s="17">
        <v>140.50887</v>
      </c>
      <c r="D190" s="17">
        <v>1200.6680599999997</v>
      </c>
      <c r="E190" s="17">
        <v>1290.57845</v>
      </c>
      <c r="F190" s="17">
        <v>0.40500000000000003</v>
      </c>
      <c r="G190" s="17">
        <v>0.53100000000000003</v>
      </c>
      <c r="H190" s="17">
        <f t="shared" si="12"/>
        <v>1.050883557935947</v>
      </c>
      <c r="I190" s="17">
        <f t="shared" si="13"/>
        <v>1.1865334473072648</v>
      </c>
      <c r="J190" s="17">
        <f t="shared" si="14"/>
        <v>1.8699370961364377E-4</v>
      </c>
      <c r="K190" s="17">
        <f t="shared" si="15"/>
        <v>1.2841151638761086</v>
      </c>
      <c r="M190" s="27">
        <v>11.042</v>
      </c>
      <c r="N190" s="27">
        <v>42.3</v>
      </c>
    </row>
    <row r="191" spans="1:14" ht="18" customHeight="1" x14ac:dyDescent="0.2">
      <c r="A191" s="27">
        <v>10</v>
      </c>
      <c r="B191" s="17">
        <v>109.43979999999999</v>
      </c>
      <c r="C191" s="17">
        <v>140.77529000000001</v>
      </c>
      <c r="D191" s="17">
        <v>1217.4885900000002</v>
      </c>
      <c r="E191" s="17">
        <v>1309.59058</v>
      </c>
      <c r="F191" s="17">
        <v>0.40400000000000003</v>
      </c>
      <c r="G191" s="17">
        <v>0.53800000000000003</v>
      </c>
      <c r="H191" s="17">
        <f t="shared" si="12"/>
        <v>1.0499797250774621</v>
      </c>
      <c r="I191" s="17">
        <f t="shared" si="13"/>
        <v>1.1820533715174986</v>
      </c>
      <c r="J191" s="17">
        <f t="shared" si="14"/>
        <v>2.3980703435085363E-4</v>
      </c>
      <c r="K191" s="17">
        <f t="shared" si="15"/>
        <v>1.2863262725260831</v>
      </c>
      <c r="M191" s="27">
        <v>10.943</v>
      </c>
      <c r="N191" s="27">
        <v>40.39</v>
      </c>
    </row>
    <row r="192" spans="1:14" ht="18" customHeight="1" x14ac:dyDescent="0.2">
      <c r="A192" s="27">
        <v>11</v>
      </c>
      <c r="B192" s="17">
        <v>109.36368</v>
      </c>
      <c r="C192" s="17">
        <v>141.04170999999999</v>
      </c>
      <c r="D192" s="17">
        <v>1246.52729</v>
      </c>
      <c r="E192" s="17">
        <v>1341.8618899999999</v>
      </c>
      <c r="F192" s="17">
        <v>0.40200000000000002</v>
      </c>
      <c r="G192" s="17">
        <v>0.54700000000000004</v>
      </c>
      <c r="H192" s="17">
        <f t="shared" si="12"/>
        <v>1.0485271051803191</v>
      </c>
      <c r="I192" s="17">
        <f t="shared" si="13"/>
        <v>1.1762026890215711</v>
      </c>
      <c r="J192" s="17">
        <f t="shared" si="14"/>
        <v>2.4768035720990587E-4</v>
      </c>
      <c r="K192" s="17">
        <f t="shared" si="15"/>
        <v>1.289657681599595</v>
      </c>
      <c r="M192" s="27">
        <v>10.835000000000001</v>
      </c>
      <c r="N192" s="27">
        <v>37.82</v>
      </c>
    </row>
    <row r="193" spans="1:14" ht="18" customHeight="1" x14ac:dyDescent="0.2">
      <c r="A193" s="27">
        <v>12</v>
      </c>
      <c r="B193" s="17">
        <v>109.300535</v>
      </c>
      <c r="C193" s="17">
        <v>141.17405499999998</v>
      </c>
      <c r="D193" s="17">
        <v>1267.2927</v>
      </c>
      <c r="E193" s="17">
        <v>1364.5997400000001</v>
      </c>
      <c r="F193" s="17">
        <v>0.40100000000000002</v>
      </c>
      <c r="G193" s="17">
        <v>0.55100000000000005</v>
      </c>
      <c r="H193" s="17">
        <f t="shared" si="12"/>
        <v>1.047790894928238</v>
      </c>
      <c r="I193" s="17">
        <f t="shared" si="13"/>
        <v>1.1739363322276817</v>
      </c>
      <c r="J193" s="17">
        <f t="shared" si="14"/>
        <v>2.1132059732640977E-4</v>
      </c>
      <c r="K193" s="17">
        <f t="shared" si="15"/>
        <v>1.2916135771888031</v>
      </c>
      <c r="M193" s="27">
        <v>10.775</v>
      </c>
      <c r="N193" s="27">
        <v>36.299999999999997</v>
      </c>
    </row>
    <row r="194" spans="1:14" s="96" customFormat="1" ht="18" customHeight="1" x14ac:dyDescent="0.2">
      <c r="A194" s="97">
        <v>1</v>
      </c>
      <c r="B194" s="95">
        <v>138.51418000000001</v>
      </c>
      <c r="C194" s="95">
        <v>136.721035</v>
      </c>
      <c r="D194" s="95">
        <v>1360.1069600000001</v>
      </c>
      <c r="E194" s="95">
        <v>1360.1069600000001</v>
      </c>
      <c r="F194" s="95">
        <v>0.497</v>
      </c>
      <c r="G194" s="95">
        <v>0.32100000000000001</v>
      </c>
      <c r="H194" s="95">
        <f t="shared" si="12"/>
        <v>1.0282121973936718</v>
      </c>
      <c r="I194" s="95">
        <f t="shared" si="13"/>
        <v>1.0880046017143719</v>
      </c>
      <c r="J194" s="95">
        <f t="shared" si="14"/>
        <v>8.9529956527198678E-4</v>
      </c>
      <c r="K194" s="95">
        <f t="shared" si="15"/>
        <v>0.98705443009517146</v>
      </c>
      <c r="L194" s="95"/>
      <c r="M194" s="97">
        <v>11.711</v>
      </c>
      <c r="N194" s="97">
        <v>26</v>
      </c>
    </row>
    <row r="195" spans="1:14" s="96" customFormat="1" ht="18" customHeight="1" x14ac:dyDescent="0.2">
      <c r="A195" s="97">
        <v>2</v>
      </c>
      <c r="B195" s="95">
        <v>138.71313000000001</v>
      </c>
      <c r="C195" s="95">
        <v>137.001295</v>
      </c>
      <c r="D195" s="95">
        <v>1338.84844</v>
      </c>
      <c r="E195" s="95">
        <v>1338.84844</v>
      </c>
      <c r="F195" s="95">
        <v>0.501</v>
      </c>
      <c r="G195" s="95">
        <v>0.32600000000000001</v>
      </c>
      <c r="H195" s="95">
        <f t="shared" si="12"/>
        <v>1.0283425729435698</v>
      </c>
      <c r="I195" s="95">
        <f t="shared" si="13"/>
        <v>1.0891544144782617</v>
      </c>
      <c r="J195" s="95">
        <f t="shared" si="14"/>
        <v>8.5332324035457523E-4</v>
      </c>
      <c r="K195" s="95">
        <f t="shared" si="15"/>
        <v>0.98765917112532886</v>
      </c>
      <c r="L195" s="95"/>
      <c r="M195" s="97">
        <v>11.669</v>
      </c>
      <c r="N195" s="97">
        <v>23.5</v>
      </c>
    </row>
    <row r="196" spans="1:14" s="96" customFormat="1" ht="18" customHeight="1" x14ac:dyDescent="0.2">
      <c r="A196" s="97">
        <v>3</v>
      </c>
      <c r="B196" s="95">
        <v>138.91294500000001</v>
      </c>
      <c r="C196" s="95">
        <v>137.36546000000001</v>
      </c>
      <c r="D196" s="95">
        <v>1310.19327</v>
      </c>
      <c r="E196" s="95">
        <v>1310.19327</v>
      </c>
      <c r="F196" s="95">
        <v>0.505</v>
      </c>
      <c r="G196" s="95">
        <v>0.33200000000000002</v>
      </c>
      <c r="H196" s="95">
        <f t="shared" si="12"/>
        <v>1.028335548500418</v>
      </c>
      <c r="I196" s="95">
        <f t="shared" si="13"/>
        <v>1.0904526151095035</v>
      </c>
      <c r="J196" s="95">
        <f t="shared" si="14"/>
        <v>7.7002538511598915E-4</v>
      </c>
      <c r="K196" s="95">
        <f t="shared" si="15"/>
        <v>0.98886003748606732</v>
      </c>
      <c r="L196" s="95"/>
      <c r="M196" s="97">
        <v>11.590999999999999</v>
      </c>
      <c r="N196" s="97">
        <v>19.79</v>
      </c>
    </row>
    <row r="197" spans="1:14" s="96" customFormat="1" ht="18" customHeight="1" x14ac:dyDescent="0.2">
      <c r="A197" s="97">
        <v>4</v>
      </c>
      <c r="B197" s="95">
        <v>139.17850000000001</v>
      </c>
      <c r="C197" s="95">
        <v>137.82477500000002</v>
      </c>
      <c r="D197" s="95">
        <v>1289.7565999999999</v>
      </c>
      <c r="E197" s="95">
        <v>1289.7565999999999</v>
      </c>
      <c r="F197" s="95">
        <v>0.51</v>
      </c>
      <c r="G197" s="95">
        <v>0.34100000000000003</v>
      </c>
      <c r="H197" s="95">
        <f t="shared" si="12"/>
        <v>1.0281100666675655</v>
      </c>
      <c r="I197" s="95">
        <f t="shared" si="13"/>
        <v>1.0911734264056057</v>
      </c>
      <c r="J197" s="95">
        <f t="shared" si="14"/>
        <v>6.7209714828998356E-4</v>
      </c>
      <c r="K197" s="95">
        <f t="shared" si="15"/>
        <v>0.99027346177750153</v>
      </c>
      <c r="L197" s="95"/>
      <c r="M197" s="97">
        <v>11.492000000000001</v>
      </c>
      <c r="N197" s="97">
        <v>16.54</v>
      </c>
    </row>
    <row r="198" spans="1:14" s="96" customFormat="1" ht="18" customHeight="1" x14ac:dyDescent="0.2">
      <c r="A198" s="97">
        <v>5</v>
      </c>
      <c r="B198" s="95">
        <v>139.44492</v>
      </c>
      <c r="C198" s="95">
        <v>138.227</v>
      </c>
      <c r="D198" s="95">
        <v>1280.55188</v>
      </c>
      <c r="E198" s="95">
        <v>1280.55188</v>
      </c>
      <c r="F198" s="95">
        <v>0.51400000000000001</v>
      </c>
      <c r="G198" s="95">
        <v>0.34799999999999998</v>
      </c>
      <c r="H198" s="95">
        <f t="shared" si="12"/>
        <v>1.0279416313357432</v>
      </c>
      <c r="I198" s="95">
        <f t="shared" si="13"/>
        <v>1.0916408482440834</v>
      </c>
      <c r="J198" s="95">
        <f t="shared" si="14"/>
        <v>6.0341649624154683E-4</v>
      </c>
      <c r="K198" s="95">
        <f t="shared" si="15"/>
        <v>0.9912659421368667</v>
      </c>
      <c r="L198" s="95"/>
      <c r="M198" s="97">
        <v>11.396000000000001</v>
      </c>
      <c r="N198" s="97">
        <v>14.54</v>
      </c>
    </row>
    <row r="199" spans="1:14" s="96" customFormat="1" ht="18" customHeight="1" x14ac:dyDescent="0.2">
      <c r="A199" s="97">
        <v>6</v>
      </c>
      <c r="B199" s="95">
        <v>139.71133999999998</v>
      </c>
      <c r="C199" s="95">
        <v>138.56175500000001</v>
      </c>
      <c r="D199" s="95">
        <v>1277.1001100000001</v>
      </c>
      <c r="E199" s="95">
        <v>1277.1001100000001</v>
      </c>
      <c r="F199" s="95">
        <v>0.51900000000000002</v>
      </c>
      <c r="G199" s="95">
        <v>0.35299999999999998</v>
      </c>
      <c r="H199" s="95">
        <f t="shared" si="12"/>
        <v>1.0282464476802036</v>
      </c>
      <c r="I199" s="95">
        <f t="shared" si="13"/>
        <v>1.0933317993674276</v>
      </c>
      <c r="J199" s="95">
        <f t="shared" si="14"/>
        <v>5.6847157553271532E-4</v>
      </c>
      <c r="K199" s="95">
        <f t="shared" si="15"/>
        <v>0.9917717130191438</v>
      </c>
      <c r="L199" s="95"/>
      <c r="M199" s="97">
        <v>11.302</v>
      </c>
      <c r="N199" s="97">
        <v>13.71</v>
      </c>
    </row>
    <row r="200" spans="1:14" s="96" customFormat="1" ht="18" customHeight="1" x14ac:dyDescent="0.2">
      <c r="A200" s="97">
        <v>7</v>
      </c>
      <c r="B200" s="95">
        <v>139.97689500000001</v>
      </c>
      <c r="C200" s="95">
        <v>138.82125500000001</v>
      </c>
      <c r="D200" s="95">
        <v>1276.8809499999998</v>
      </c>
      <c r="E200" s="95">
        <v>1276.8809499999998</v>
      </c>
      <c r="F200" s="95">
        <v>0.52400000000000002</v>
      </c>
      <c r="G200" s="95">
        <v>0.35699999999999998</v>
      </c>
      <c r="H200" s="95">
        <f t="shared" si="12"/>
        <v>1.0286939957862087</v>
      </c>
      <c r="I200" s="95">
        <f t="shared" si="13"/>
        <v>1.0949677498140955</v>
      </c>
      <c r="J200" s="95">
        <f t="shared" si="14"/>
        <v>5.7041516263127423E-4</v>
      </c>
      <c r="K200" s="95">
        <f t="shared" si="15"/>
        <v>0.99174406604747156</v>
      </c>
      <c r="L200" s="95"/>
      <c r="M200" s="97">
        <v>11.208</v>
      </c>
      <c r="N200" s="97">
        <v>13.63</v>
      </c>
    </row>
    <row r="201" spans="1:14" s="96" customFormat="1" ht="18" customHeight="1" x14ac:dyDescent="0.2">
      <c r="A201" s="97">
        <v>8</v>
      </c>
      <c r="B201" s="95">
        <v>140.24331500000002</v>
      </c>
      <c r="C201" s="95">
        <v>138.97262999999998</v>
      </c>
      <c r="D201" s="95">
        <v>1281.5381</v>
      </c>
      <c r="E201" s="95">
        <v>1281.5381</v>
      </c>
      <c r="F201" s="95">
        <v>0.53</v>
      </c>
      <c r="G201" s="95">
        <v>0.35899999999999999</v>
      </c>
      <c r="H201" s="95">
        <f t="shared" si="12"/>
        <v>1.0296397986227406</v>
      </c>
      <c r="I201" s="95">
        <f t="shared" si="13"/>
        <v>1.0976041263340575</v>
      </c>
      <c r="J201" s="95">
        <f t="shared" si="14"/>
        <v>6.2612394228716249E-4</v>
      </c>
      <c r="K201" s="95">
        <f t="shared" si="15"/>
        <v>0.99093942552627168</v>
      </c>
      <c r="L201" s="95"/>
      <c r="M201" s="97">
        <v>11.115</v>
      </c>
      <c r="N201" s="97">
        <v>14.15</v>
      </c>
    </row>
    <row r="202" spans="1:14" s="96" customFormat="1" ht="18" customHeight="1" x14ac:dyDescent="0.2">
      <c r="A202" s="97">
        <v>9</v>
      </c>
      <c r="B202" s="95">
        <v>140.50887</v>
      </c>
      <c r="C202" s="95">
        <v>139.02972000000003</v>
      </c>
      <c r="D202" s="95">
        <v>1290.57845</v>
      </c>
      <c r="E202" s="95">
        <v>1290.57845</v>
      </c>
      <c r="F202" s="95">
        <v>0.53500000000000003</v>
      </c>
      <c r="G202" s="95">
        <v>0.36</v>
      </c>
      <c r="H202" s="95">
        <f t="shared" si="12"/>
        <v>1.0305335698689957</v>
      </c>
      <c r="I202" s="95">
        <f t="shared" si="13"/>
        <v>1.0993131158856628</v>
      </c>
      <c r="J202" s="95">
        <f t="shared" si="14"/>
        <v>7.2771322016790697E-4</v>
      </c>
      <c r="K202" s="95">
        <f t="shared" si="15"/>
        <v>0.98947290658589759</v>
      </c>
      <c r="L202" s="95"/>
      <c r="M202" s="97">
        <v>11.02</v>
      </c>
      <c r="N202" s="97">
        <v>15.4</v>
      </c>
    </row>
    <row r="203" spans="1:14" s="96" customFormat="1" ht="18" customHeight="1" x14ac:dyDescent="0.2">
      <c r="A203" s="97">
        <v>10</v>
      </c>
      <c r="B203" s="95">
        <v>140.77529000000001</v>
      </c>
      <c r="C203" s="95">
        <v>139.020205</v>
      </c>
      <c r="D203" s="95">
        <v>1309.59058</v>
      </c>
      <c r="E203" s="95">
        <v>1309.59058</v>
      </c>
      <c r="F203" s="95">
        <v>0.54200000000000004</v>
      </c>
      <c r="G203" s="95">
        <v>0.35899999999999999</v>
      </c>
      <c r="H203" s="95">
        <f t="shared" si="12"/>
        <v>1.0321479480611853</v>
      </c>
      <c r="I203" s="95">
        <f t="shared" si="13"/>
        <v>1.1031849570869818</v>
      </c>
      <c r="J203" s="95">
        <f t="shared" si="14"/>
        <v>8.6237738231004744E-4</v>
      </c>
      <c r="K203" s="95">
        <f t="shared" si="15"/>
        <v>0.98753271969817991</v>
      </c>
      <c r="L203" s="95"/>
      <c r="M203" s="97">
        <v>10.923</v>
      </c>
      <c r="N203" s="97">
        <v>17.559999999999999</v>
      </c>
    </row>
    <row r="204" spans="1:14" s="96" customFormat="1" ht="18" customHeight="1" x14ac:dyDescent="0.2">
      <c r="A204" s="97">
        <v>11</v>
      </c>
      <c r="B204" s="95">
        <v>141.04170999999999</v>
      </c>
      <c r="C204" s="95">
        <v>138.89651000000001</v>
      </c>
      <c r="D204" s="95">
        <v>1341.8618899999999</v>
      </c>
      <c r="E204" s="95">
        <v>1341.8618899999999</v>
      </c>
      <c r="F204" s="95">
        <v>0.54900000000000004</v>
      </c>
      <c r="G204" s="95">
        <v>0.35699999999999998</v>
      </c>
      <c r="H204" s="95">
        <f t="shared" si="12"/>
        <v>1.0339256421663092</v>
      </c>
      <c r="I204" s="95">
        <f t="shared" si="13"/>
        <v>1.1067673551324848</v>
      </c>
      <c r="J204" s="95">
        <f t="shared" si="14"/>
        <v>1.0531364480232189E-3</v>
      </c>
      <c r="K204" s="95">
        <f t="shared" si="15"/>
        <v>0.98479031486501412</v>
      </c>
      <c r="L204" s="95"/>
      <c r="M204" s="97">
        <v>10.821999999999999</v>
      </c>
      <c r="N204" s="97">
        <v>21.22</v>
      </c>
    </row>
    <row r="205" spans="1:14" s="96" customFormat="1" ht="18" customHeight="1" x14ac:dyDescent="0.2">
      <c r="A205" s="97">
        <v>12</v>
      </c>
      <c r="B205" s="95">
        <v>141.17405499999998</v>
      </c>
      <c r="C205" s="95">
        <v>138.81001000000001</v>
      </c>
      <c r="D205" s="95">
        <v>1364.5997400000001</v>
      </c>
      <c r="E205" s="95">
        <v>1364.5997400000001</v>
      </c>
      <c r="F205" s="95">
        <v>0.55300000000000005</v>
      </c>
      <c r="G205" s="95">
        <v>0.35499999999999998</v>
      </c>
      <c r="H205" s="95">
        <f t="shared" si="12"/>
        <v>1.035072790319985</v>
      </c>
      <c r="I205" s="95">
        <f t="shared" si="13"/>
        <v>1.1093383290233116</v>
      </c>
      <c r="J205" s="95">
        <f t="shared" si="14"/>
        <v>1.1602165204688403E-3</v>
      </c>
      <c r="K205" s="95">
        <f t="shared" si="15"/>
        <v>0.98325439472571663</v>
      </c>
      <c r="L205" s="95"/>
      <c r="M205" s="97">
        <v>10.769</v>
      </c>
      <c r="N205" s="97">
        <v>23.9</v>
      </c>
    </row>
    <row r="206" spans="1:14" ht="18" customHeight="1" x14ac:dyDescent="0.2">
      <c r="A206" s="27">
        <v>1</v>
      </c>
      <c r="B206" s="17">
        <v>136.721035</v>
      </c>
      <c r="C206" s="17">
        <v>174.69367</v>
      </c>
      <c r="D206" s="17">
        <v>1360.1069600000001</v>
      </c>
      <c r="E206" s="17">
        <v>1460.37266</v>
      </c>
      <c r="F206" s="17">
        <v>0.32600000000000001</v>
      </c>
      <c r="G206" s="17">
        <v>0.46700000000000003</v>
      </c>
      <c r="H206" s="17">
        <f t="shared" si="12"/>
        <v>1.0507113747284076</v>
      </c>
      <c r="I206" s="17">
        <f t="shared" si="13"/>
        <v>1.1844497534840797</v>
      </c>
      <c r="J206" s="17">
        <f t="shared" si="14"/>
        <v>2.6815519344620085E-4</v>
      </c>
      <c r="K206" s="17">
        <f t="shared" si="15"/>
        <v>1.2777380598384147</v>
      </c>
      <c r="M206" s="27">
        <v>11.669</v>
      </c>
      <c r="N206" s="27">
        <v>54.35</v>
      </c>
    </row>
    <row r="207" spans="1:14" ht="18" customHeight="1" x14ac:dyDescent="0.2">
      <c r="A207" s="27">
        <v>2</v>
      </c>
      <c r="B207" s="17">
        <v>137.001295</v>
      </c>
      <c r="C207" s="17">
        <v>174.90213499999999</v>
      </c>
      <c r="D207" s="17">
        <v>1338.84844</v>
      </c>
      <c r="E207" s="17">
        <v>1437.19649</v>
      </c>
      <c r="F207" s="17">
        <v>0.33100000000000002</v>
      </c>
      <c r="G207" s="17">
        <v>0.47</v>
      </c>
      <c r="H207" s="17">
        <f t="shared" si="12"/>
        <v>1.0505650395875268</v>
      </c>
      <c r="I207" s="17">
        <f t="shared" si="13"/>
        <v>1.183870463445001</v>
      </c>
      <c r="J207" s="17">
        <f t="shared" si="14"/>
        <v>2.682620769040335E-4</v>
      </c>
      <c r="K207" s="17">
        <f t="shared" si="15"/>
        <v>1.2766458521432225</v>
      </c>
      <c r="M207" s="27">
        <v>11.621</v>
      </c>
      <c r="N207" s="27">
        <v>52.1</v>
      </c>
    </row>
    <row r="208" spans="1:14" ht="18" customHeight="1" x14ac:dyDescent="0.2">
      <c r="A208" s="27">
        <v>3</v>
      </c>
      <c r="B208" s="17">
        <v>137.36546000000001</v>
      </c>
      <c r="C208" s="17">
        <v>175.109735</v>
      </c>
      <c r="D208" s="17">
        <v>1310.19327</v>
      </c>
      <c r="E208" s="17">
        <v>1405.5826599999998</v>
      </c>
      <c r="F208" s="17">
        <v>0.33900000000000002</v>
      </c>
      <c r="G208" s="17">
        <v>0.47299999999999998</v>
      </c>
      <c r="H208" s="17">
        <f t="shared" si="12"/>
        <v>1.0504595137784887</v>
      </c>
      <c r="I208" s="17">
        <f t="shared" si="13"/>
        <v>1.1842319353671218</v>
      </c>
      <c r="J208" s="17">
        <f t="shared" si="14"/>
        <v>2.2322643360679281E-4</v>
      </c>
      <c r="K208" s="17">
        <f t="shared" si="15"/>
        <v>1.2747726757512403</v>
      </c>
      <c r="M208" s="27">
        <v>11.54</v>
      </c>
      <c r="N208" s="27">
        <v>50.1</v>
      </c>
    </row>
    <row r="209" spans="1:14" ht="18" customHeight="1" x14ac:dyDescent="0.2">
      <c r="A209" s="27">
        <v>4</v>
      </c>
      <c r="B209" s="17">
        <v>137.82477500000002</v>
      </c>
      <c r="C209" s="17">
        <v>175.38740000000001</v>
      </c>
      <c r="D209" s="17">
        <v>1289.7565999999999</v>
      </c>
      <c r="E209" s="17">
        <v>1382.46128</v>
      </c>
      <c r="F209" s="17">
        <v>0.34799999999999998</v>
      </c>
      <c r="G209" s="17">
        <v>0.47699999999999998</v>
      </c>
      <c r="H209" s="17">
        <f t="shared" si="12"/>
        <v>1.0500557618740964</v>
      </c>
      <c r="I209" s="17">
        <f t="shared" si="13"/>
        <v>1.1841483246293343</v>
      </c>
      <c r="J209" s="17">
        <f t="shared" si="14"/>
        <v>1.3580295180622842E-4</v>
      </c>
      <c r="K209" s="17">
        <f t="shared" si="15"/>
        <v>1.2725389901779269</v>
      </c>
      <c r="M209" s="27">
        <v>11.445</v>
      </c>
      <c r="N209" s="27">
        <v>48.79</v>
      </c>
    </row>
    <row r="210" spans="1:14" ht="18" customHeight="1" x14ac:dyDescent="0.2">
      <c r="A210" s="27">
        <v>5</v>
      </c>
      <c r="B210" s="17">
        <v>138.227</v>
      </c>
      <c r="C210" s="17">
        <v>175.665065</v>
      </c>
      <c r="D210" s="17">
        <v>1280.55188</v>
      </c>
      <c r="E210" s="17">
        <v>1371.5580699999998</v>
      </c>
      <c r="F210" s="17">
        <v>0.35599999999999998</v>
      </c>
      <c r="G210" s="17">
        <v>0.48</v>
      </c>
      <c r="H210" s="17">
        <f t="shared" si="12"/>
        <v>1.0498398955654502</v>
      </c>
      <c r="I210" s="17">
        <f t="shared" si="13"/>
        <v>1.1848508826685842</v>
      </c>
      <c r="J210" s="17">
        <f t="shared" si="14"/>
        <v>4.5800810356082938E-5</v>
      </c>
      <c r="K210" s="17">
        <f t="shared" si="15"/>
        <v>1.2708448060075093</v>
      </c>
      <c r="M210" s="27">
        <v>11.351000000000001</v>
      </c>
      <c r="N210" s="27">
        <v>47.88</v>
      </c>
    </row>
    <row r="211" spans="1:14" ht="18" customHeight="1" x14ac:dyDescent="0.2">
      <c r="A211" s="27">
        <v>6</v>
      </c>
      <c r="B211" s="17">
        <v>138.56175500000001</v>
      </c>
      <c r="C211" s="17">
        <v>175.94273000000001</v>
      </c>
      <c r="D211" s="17">
        <v>1277.1001100000001</v>
      </c>
      <c r="E211" s="17">
        <v>1367.0652899999998</v>
      </c>
      <c r="F211" s="17">
        <v>0.36199999999999999</v>
      </c>
      <c r="G211" s="17">
        <v>0.48399999999999999</v>
      </c>
      <c r="H211" s="17">
        <f t="shared" si="12"/>
        <v>1.0493372588483851</v>
      </c>
      <c r="I211" s="17">
        <f t="shared" si="13"/>
        <v>1.184283500072395</v>
      </c>
      <c r="J211" s="17">
        <f t="shared" si="14"/>
        <v>-3.6298620042007901E-5</v>
      </c>
      <c r="K211" s="17">
        <f t="shared" si="15"/>
        <v>1.2697784464407225</v>
      </c>
      <c r="M211" s="27">
        <v>11.272</v>
      </c>
      <c r="N211" s="27">
        <v>47.05</v>
      </c>
    </row>
    <row r="212" spans="1:14" ht="18" customHeight="1" x14ac:dyDescent="0.2">
      <c r="A212" s="27">
        <v>7</v>
      </c>
      <c r="B212" s="17">
        <v>138.82125500000001</v>
      </c>
      <c r="C212" s="17">
        <v>176.220395</v>
      </c>
      <c r="D212" s="17">
        <v>1276.8809499999998</v>
      </c>
      <c r="E212" s="17">
        <v>1366.6817599999999</v>
      </c>
      <c r="F212" s="17">
        <v>0.36699999999999999</v>
      </c>
      <c r="G212" s="17">
        <v>0.48799999999999999</v>
      </c>
      <c r="H212" s="17">
        <f t="shared" si="12"/>
        <v>1.0491889343120013</v>
      </c>
      <c r="I212" s="17">
        <f t="shared" si="13"/>
        <v>1.1838009721330029</v>
      </c>
      <c r="J212" s="17">
        <f t="shared" si="14"/>
        <v>-4.2289276974877971E-5</v>
      </c>
      <c r="K212" s="17">
        <f t="shared" si="15"/>
        <v>1.2694049985357068</v>
      </c>
      <c r="M212" s="27">
        <v>11.189</v>
      </c>
      <c r="N212" s="27">
        <v>46.14</v>
      </c>
    </row>
    <row r="213" spans="1:14" ht="18" customHeight="1" x14ac:dyDescent="0.2">
      <c r="A213" s="27">
        <v>8</v>
      </c>
      <c r="B213" s="17">
        <v>138.97262999999998</v>
      </c>
      <c r="C213" s="17">
        <v>176.497195</v>
      </c>
      <c r="D213" s="17">
        <v>1281.5381</v>
      </c>
      <c r="E213" s="17">
        <v>1371.99639</v>
      </c>
      <c r="F213" s="17">
        <v>0.36899999999999999</v>
      </c>
      <c r="G213" s="17">
        <v>0.49299999999999999</v>
      </c>
      <c r="H213" s="17">
        <f t="shared" si="12"/>
        <v>1.0487601058546523</v>
      </c>
      <c r="I213" s="17">
        <f t="shared" si="13"/>
        <v>1.1816803787919747</v>
      </c>
      <c r="J213" s="17">
        <f t="shared" si="14"/>
        <v>-1.7496368594578995E-5</v>
      </c>
      <c r="K213" s="17">
        <f t="shared" si="15"/>
        <v>1.2700140667986208</v>
      </c>
      <c r="M213" s="27">
        <v>11.105</v>
      </c>
      <c r="N213" s="27">
        <v>45.06</v>
      </c>
    </row>
    <row r="214" spans="1:14" ht="18" customHeight="1" x14ac:dyDescent="0.2">
      <c r="A214" s="27">
        <v>9</v>
      </c>
      <c r="B214" s="17">
        <v>139.02972000000003</v>
      </c>
      <c r="C214" s="17">
        <v>176.77485999999999</v>
      </c>
      <c r="D214" s="17">
        <v>1290.57845</v>
      </c>
      <c r="E214" s="17">
        <v>1382.3516999999999</v>
      </c>
      <c r="F214" s="17">
        <v>0.36899999999999999</v>
      </c>
      <c r="G214" s="17">
        <v>0.499</v>
      </c>
      <c r="H214" s="17">
        <f t="shared" si="12"/>
        <v>1.0480840582820175</v>
      </c>
      <c r="I214" s="17">
        <f t="shared" si="13"/>
        <v>1.178364799079354</v>
      </c>
      <c r="J214" s="17">
        <f t="shared" si="14"/>
        <v>2.0355042292717618E-5</v>
      </c>
      <c r="K214" s="17">
        <f t="shared" si="15"/>
        <v>1.2714897217659646</v>
      </c>
      <c r="M214" s="27">
        <v>11.02</v>
      </c>
      <c r="N214" s="27">
        <v>43.77</v>
      </c>
    </row>
    <row r="215" spans="1:14" ht="18" customHeight="1" x14ac:dyDescent="0.2">
      <c r="A215" s="27">
        <v>10</v>
      </c>
      <c r="B215" s="17">
        <v>139.020205</v>
      </c>
      <c r="C215" s="17">
        <v>177.052525</v>
      </c>
      <c r="D215" s="17">
        <v>1309.59058</v>
      </c>
      <c r="E215" s="17">
        <v>1403.6650099999999</v>
      </c>
      <c r="F215" s="17">
        <v>0.36699999999999999</v>
      </c>
      <c r="G215" s="17">
        <v>0.505</v>
      </c>
      <c r="H215" s="17">
        <f t="shared" si="12"/>
        <v>1.0472908021931699</v>
      </c>
      <c r="I215" s="17">
        <f t="shared" si="13"/>
        <v>1.1743889391630213</v>
      </c>
      <c r="J215" s="17">
        <f t="shared" si="14"/>
        <v>7.0321230735357829E-5</v>
      </c>
      <c r="K215" s="17">
        <f t="shared" si="15"/>
        <v>1.2735740463049958</v>
      </c>
      <c r="M215" s="27">
        <v>10.93</v>
      </c>
      <c r="N215" s="27">
        <v>42.12</v>
      </c>
    </row>
    <row r="216" spans="1:14" ht="18" customHeight="1" x14ac:dyDescent="0.2">
      <c r="A216" s="27">
        <v>11</v>
      </c>
      <c r="B216" s="17">
        <v>138.89651000000001</v>
      </c>
      <c r="C216" s="17">
        <v>177.33018999999999</v>
      </c>
      <c r="D216" s="17">
        <v>1341.8618899999999</v>
      </c>
      <c r="E216" s="17">
        <v>1439.2785099999999</v>
      </c>
      <c r="F216" s="17">
        <v>0.36499999999999999</v>
      </c>
      <c r="G216" s="17">
        <v>0.51200000000000001</v>
      </c>
      <c r="H216" s="17">
        <f t="shared" si="12"/>
        <v>1.0463201629998311</v>
      </c>
      <c r="I216" s="17">
        <f t="shared" si="13"/>
        <v>1.1705442841754161</v>
      </c>
      <c r="J216" s="17">
        <f t="shared" si="14"/>
        <v>7.2567439853704618E-5</v>
      </c>
      <c r="K216" s="17">
        <f t="shared" si="15"/>
        <v>1.2767073125163475</v>
      </c>
      <c r="M216" s="27">
        <v>10.833</v>
      </c>
      <c r="N216" s="27">
        <v>40.08</v>
      </c>
    </row>
    <row r="217" spans="1:14" ht="18" customHeight="1" x14ac:dyDescent="0.2">
      <c r="A217" s="27">
        <v>12</v>
      </c>
      <c r="B217" s="17">
        <v>138.81001000000001</v>
      </c>
      <c r="C217" s="17">
        <v>177.46859000000001</v>
      </c>
      <c r="D217" s="17">
        <v>1364.5997400000001</v>
      </c>
      <c r="E217" s="17">
        <v>1464.04359</v>
      </c>
      <c r="F217" s="17">
        <v>0.36399999999999999</v>
      </c>
      <c r="G217" s="17">
        <v>0.51600000000000001</v>
      </c>
      <c r="H217" s="17">
        <f t="shared" si="12"/>
        <v>1.045623597799205</v>
      </c>
      <c r="I217" s="17">
        <f t="shared" si="13"/>
        <v>1.1684065893023052</v>
      </c>
      <c r="J217" s="17">
        <f t="shared" si="14"/>
        <v>3.8042590277726288E-5</v>
      </c>
      <c r="K217" s="17">
        <f t="shared" si="15"/>
        <v>1.2784999439161484</v>
      </c>
      <c r="M217" s="27">
        <v>10.778</v>
      </c>
      <c r="N217" s="27">
        <v>39.01</v>
      </c>
    </row>
    <row r="218" spans="1:14" s="96" customFormat="1" ht="18" customHeight="1" x14ac:dyDescent="0.2">
      <c r="A218" s="97">
        <v>1</v>
      </c>
      <c r="B218" s="95">
        <v>174.69367</v>
      </c>
      <c r="C218" s="95">
        <v>172.578745</v>
      </c>
      <c r="D218" s="95">
        <v>1460.37266</v>
      </c>
      <c r="E218" s="95">
        <v>1460.37266</v>
      </c>
      <c r="F218" s="95">
        <v>0.47099999999999997</v>
      </c>
      <c r="G218" s="95">
        <v>0.29399999999999998</v>
      </c>
      <c r="H218" s="95">
        <f t="shared" si="12"/>
        <v>1.02662080089084</v>
      </c>
      <c r="I218" s="95">
        <f t="shared" si="13"/>
        <v>1.0830421177395473</v>
      </c>
      <c r="J218" s="95">
        <f t="shared" si="14"/>
        <v>8.3693397989357664E-4</v>
      </c>
      <c r="K218" s="95">
        <f t="shared" si="15"/>
        <v>0.98789352241555173</v>
      </c>
      <c r="L218" s="95"/>
      <c r="M218" s="98">
        <v>11.618</v>
      </c>
      <c r="N218" s="104">
        <v>25.8</v>
      </c>
    </row>
    <row r="219" spans="1:14" s="96" customFormat="1" ht="18" customHeight="1" x14ac:dyDescent="0.2">
      <c r="A219" s="97">
        <v>2</v>
      </c>
      <c r="B219" s="95">
        <v>174.90213499999999</v>
      </c>
      <c r="C219" s="95">
        <v>172.88063</v>
      </c>
      <c r="D219" s="95">
        <v>1437.19649</v>
      </c>
      <c r="E219" s="95">
        <v>1437.19649</v>
      </c>
      <c r="F219" s="95">
        <v>0.47399999999999998</v>
      </c>
      <c r="G219" s="95">
        <v>0.29899999999999999</v>
      </c>
      <c r="H219" s="95">
        <f t="shared" si="12"/>
        <v>1.0265797487759365</v>
      </c>
      <c r="I219" s="95">
        <f t="shared" si="13"/>
        <v>1.0834918531882376</v>
      </c>
      <c r="J219" s="95">
        <f t="shared" si="14"/>
        <v>7.9887714218955085E-4</v>
      </c>
      <c r="K219" s="95">
        <f t="shared" si="15"/>
        <v>0.98844207933768224</v>
      </c>
      <c r="L219" s="95"/>
      <c r="M219" s="98">
        <v>11.58</v>
      </c>
      <c r="N219" s="104">
        <v>23.3</v>
      </c>
    </row>
    <row r="220" spans="1:14" s="96" customFormat="1" ht="18" customHeight="1" x14ac:dyDescent="0.2">
      <c r="A220" s="97">
        <v>3</v>
      </c>
      <c r="B220" s="95">
        <v>175.109735</v>
      </c>
      <c r="C220" s="95">
        <v>173.27680000000001</v>
      </c>
      <c r="D220" s="95">
        <v>1405.5826599999998</v>
      </c>
      <c r="E220" s="95">
        <v>1405.5826599999998</v>
      </c>
      <c r="F220" s="95">
        <v>0.47599999999999998</v>
      </c>
      <c r="G220" s="95">
        <v>0.30499999999999999</v>
      </c>
      <c r="H220" s="95">
        <f t="shared" si="12"/>
        <v>1.0262223334855023</v>
      </c>
      <c r="I220" s="95">
        <f t="shared" si="13"/>
        <v>1.0833661075405565</v>
      </c>
      <c r="J220" s="95">
        <f t="shared" si="14"/>
        <v>7.2325998766736236E-4</v>
      </c>
      <c r="K220" s="95">
        <f t="shared" si="15"/>
        <v>0.98953264934128304</v>
      </c>
      <c r="L220" s="95"/>
      <c r="M220" s="98">
        <v>11.51</v>
      </c>
      <c r="N220" s="104">
        <v>19.61</v>
      </c>
    </row>
    <row r="221" spans="1:14" s="96" customFormat="1" ht="18" customHeight="1" x14ac:dyDescent="0.2">
      <c r="A221" s="97">
        <v>4</v>
      </c>
      <c r="B221" s="95">
        <v>175.38740000000001</v>
      </c>
      <c r="C221" s="95">
        <v>173.77417500000001</v>
      </c>
      <c r="D221" s="95">
        <v>1382.46128</v>
      </c>
      <c r="E221" s="95">
        <v>1382.46128</v>
      </c>
      <c r="F221" s="95">
        <v>0.48199999999999998</v>
      </c>
      <c r="G221" s="95">
        <v>0.313</v>
      </c>
      <c r="H221" s="95">
        <f t="shared" si="12"/>
        <v>1.0263546129841119</v>
      </c>
      <c r="I221" s="95">
        <f t="shared" si="13"/>
        <v>1.0852452170295419</v>
      </c>
      <c r="J221" s="95">
        <f t="shared" si="14"/>
        <v>6.3539619167540546E-4</v>
      </c>
      <c r="K221" s="95">
        <f t="shared" si="15"/>
        <v>0.99080193332018152</v>
      </c>
      <c r="L221" s="95"/>
      <c r="M221" s="98">
        <v>11.420999999999999</v>
      </c>
      <c r="N221" s="104">
        <v>16.37</v>
      </c>
    </row>
    <row r="222" spans="1:14" s="96" customFormat="1" ht="18" customHeight="1" x14ac:dyDescent="0.2">
      <c r="A222" s="97">
        <v>5</v>
      </c>
      <c r="B222" s="95">
        <v>175.665065</v>
      </c>
      <c r="C222" s="95">
        <v>174.640905</v>
      </c>
      <c r="D222" s="95">
        <v>1371.5580699999998</v>
      </c>
      <c r="E222" s="95">
        <v>1371.5580699999998</v>
      </c>
      <c r="F222" s="95">
        <v>0.48599999999999999</v>
      </c>
      <c r="G222" s="95">
        <v>0.32</v>
      </c>
      <c r="H222" s="95">
        <f t="shared" si="12"/>
        <v>1.0262221699592347</v>
      </c>
      <c r="I222" s="95">
        <f t="shared" si="13"/>
        <v>1.0884423891132962</v>
      </c>
      <c r="J222" s="101">
        <f t="shared" si="14"/>
        <v>4.0277016105909249E-4</v>
      </c>
      <c r="K222" s="95">
        <f t="shared" si="15"/>
        <v>0.99416981401509741</v>
      </c>
      <c r="L222" s="95"/>
      <c r="M222" s="98">
        <v>11.343999999999999</v>
      </c>
      <c r="N222" s="104">
        <v>14.36</v>
      </c>
    </row>
    <row r="223" spans="1:14" s="96" customFormat="1" ht="18" customHeight="1" x14ac:dyDescent="0.2">
      <c r="A223" s="97">
        <v>6</v>
      </c>
      <c r="B223" s="95">
        <v>175.94273000000001</v>
      </c>
      <c r="C223" s="95">
        <v>174.56478500000003</v>
      </c>
      <c r="D223" s="95">
        <v>1367.0652899999998</v>
      </c>
      <c r="E223" s="95">
        <v>1367.0652899999998</v>
      </c>
      <c r="F223" s="95">
        <v>0.49</v>
      </c>
      <c r="G223" s="95">
        <v>0.32500000000000001</v>
      </c>
      <c r="H223" s="95">
        <f t="shared" si="12"/>
        <v>1.0263385971355121</v>
      </c>
      <c r="I223" s="95">
        <f t="shared" si="13"/>
        <v>1.0866823842632398</v>
      </c>
      <c r="J223" s="95">
        <f t="shared" si="14"/>
        <v>5.409318033345956E-4</v>
      </c>
      <c r="K223" s="95">
        <f t="shared" si="15"/>
        <v>0.9921682186015871</v>
      </c>
      <c r="L223" s="95"/>
      <c r="M223" s="98">
        <v>11.25</v>
      </c>
      <c r="N223" s="104">
        <v>13.46</v>
      </c>
    </row>
    <row r="224" spans="1:14" s="96" customFormat="1" ht="18" customHeight="1" x14ac:dyDescent="0.2">
      <c r="A224" s="97">
        <v>7</v>
      </c>
      <c r="B224" s="95">
        <v>176.220395</v>
      </c>
      <c r="C224" s="95">
        <v>174.83812499999999</v>
      </c>
      <c r="D224" s="95">
        <v>1366.6817599999999</v>
      </c>
      <c r="E224" s="95">
        <v>1366.6817599999999</v>
      </c>
      <c r="F224" s="95">
        <v>0.49399999999999999</v>
      </c>
      <c r="G224" s="95">
        <v>0.32900000000000001</v>
      </c>
      <c r="H224" s="95">
        <f t="shared" si="12"/>
        <v>1.0265835147558622</v>
      </c>
      <c r="I224" s="95">
        <f t="shared" si="13"/>
        <v>1.0875768901876304</v>
      </c>
      <c r="J224" s="95">
        <f t="shared" si="14"/>
        <v>5.4179281119013777E-4</v>
      </c>
      <c r="K224" s="95">
        <f t="shared" si="15"/>
        <v>0.99215601576650647</v>
      </c>
      <c r="L224" s="95"/>
      <c r="M224" s="98">
        <v>11.166</v>
      </c>
      <c r="N224" s="104">
        <v>13.41</v>
      </c>
    </row>
    <row r="225" spans="1:14" s="96" customFormat="1" ht="18" customHeight="1" x14ac:dyDescent="0.2">
      <c r="A225" s="97">
        <v>8</v>
      </c>
      <c r="B225" s="95">
        <v>176.497195</v>
      </c>
      <c r="C225" s="95">
        <v>174.98950000000002</v>
      </c>
      <c r="D225" s="95">
        <v>1371.99639</v>
      </c>
      <c r="E225" s="95">
        <v>1371.99639</v>
      </c>
      <c r="F225" s="95">
        <v>0.498</v>
      </c>
      <c r="G225" s="95">
        <v>0.33</v>
      </c>
      <c r="H225" s="95">
        <f t="shared" si="12"/>
        <v>1.0272277789739475</v>
      </c>
      <c r="I225" s="95">
        <f t="shared" si="13"/>
        <v>1.0892004856150836</v>
      </c>
      <c r="J225" s="95">
        <f t="shared" si="14"/>
        <v>5.9010603426819762E-4</v>
      </c>
      <c r="K225" s="95">
        <f t="shared" si="15"/>
        <v>0.99145768293938052</v>
      </c>
      <c r="L225" s="95"/>
      <c r="M225" s="98">
        <v>11.082000000000001</v>
      </c>
      <c r="N225" s="104">
        <v>14.22</v>
      </c>
    </row>
    <row r="226" spans="1:14" s="96" customFormat="1" ht="18" customHeight="1" x14ac:dyDescent="0.2">
      <c r="A226" s="97">
        <v>9</v>
      </c>
      <c r="B226" s="95">
        <v>176.77485999999999</v>
      </c>
      <c r="C226" s="95">
        <v>175.03534500000001</v>
      </c>
      <c r="D226" s="95">
        <v>1382.3516999999999</v>
      </c>
      <c r="E226" s="95">
        <v>1382.3516999999999</v>
      </c>
      <c r="F226" s="95">
        <v>0.503</v>
      </c>
      <c r="G226" s="95">
        <v>0.33100000000000002</v>
      </c>
      <c r="H226" s="95">
        <f t="shared" si="12"/>
        <v>1.0280744275290967</v>
      </c>
      <c r="I226" s="95">
        <f t="shared" si="13"/>
        <v>1.0909157225757851</v>
      </c>
      <c r="J226" s="95">
        <f t="shared" si="14"/>
        <v>6.7996892703072343E-4</v>
      </c>
      <c r="K226" s="95">
        <f t="shared" si="15"/>
        <v>0.9901597150183008</v>
      </c>
      <c r="L226" s="95"/>
      <c r="M226" s="98">
        <v>10.997</v>
      </c>
      <c r="N226" s="104">
        <v>15.59</v>
      </c>
    </row>
    <row r="227" spans="1:14" s="96" customFormat="1" ht="18" customHeight="1" x14ac:dyDescent="0.2">
      <c r="A227" s="97">
        <v>10</v>
      </c>
      <c r="B227" s="95">
        <v>177.052525</v>
      </c>
      <c r="C227" s="95">
        <v>175.00593499999999</v>
      </c>
      <c r="D227" s="95">
        <v>1403.6650099999999</v>
      </c>
      <c r="E227" s="95">
        <v>1403.6650099999999</v>
      </c>
      <c r="F227" s="95">
        <v>0.50900000000000001</v>
      </c>
      <c r="G227" s="95">
        <v>0.33</v>
      </c>
      <c r="H227" s="95">
        <f t="shared" si="12"/>
        <v>1.0293959560766506</v>
      </c>
      <c r="I227" s="95">
        <f t="shared" si="13"/>
        <v>1.093929300318544</v>
      </c>
      <c r="J227" s="95">
        <f t="shared" si="14"/>
        <v>7.9917307571447486E-4</v>
      </c>
      <c r="K227" s="95">
        <f t="shared" si="15"/>
        <v>0.98844077484915838</v>
      </c>
      <c r="L227" s="95"/>
      <c r="M227" s="98">
        <v>10.91</v>
      </c>
      <c r="N227" s="104">
        <v>17.7</v>
      </c>
    </row>
    <row r="228" spans="1:14" s="96" customFormat="1" ht="18" customHeight="1" x14ac:dyDescent="0.2">
      <c r="A228" s="97">
        <v>11</v>
      </c>
      <c r="B228" s="95">
        <v>177.33018999999999</v>
      </c>
      <c r="C228" s="95">
        <v>174.84764000000001</v>
      </c>
      <c r="D228" s="95">
        <v>1439.2785099999999</v>
      </c>
      <c r="E228" s="95">
        <v>1438.9497699999999</v>
      </c>
      <c r="F228" s="95">
        <v>0.51500000000000001</v>
      </c>
      <c r="G228" s="95">
        <v>0.32700000000000001</v>
      </c>
      <c r="H228" s="95">
        <f t="shared" si="12"/>
        <v>1.0307608330682172</v>
      </c>
      <c r="I228" s="95">
        <f t="shared" si="13"/>
        <v>1.0971777625249184</v>
      </c>
      <c r="J228" s="95">
        <f t="shared" si="14"/>
        <v>9.1391847531606223E-4</v>
      </c>
      <c r="K228" s="95">
        <f t="shared" si="15"/>
        <v>0.98600040974410519</v>
      </c>
      <c r="L228" s="95"/>
      <c r="M228" s="98">
        <v>10.819000000000001</v>
      </c>
      <c r="N228" s="104">
        <v>21.18</v>
      </c>
    </row>
    <row r="229" spans="1:14" s="96" customFormat="1" ht="18" customHeight="1" x14ac:dyDescent="0.2">
      <c r="A229" s="97">
        <v>12</v>
      </c>
      <c r="B229" s="95">
        <v>177.46859000000001</v>
      </c>
      <c r="C229" s="95">
        <v>174.73692000000003</v>
      </c>
      <c r="D229" s="95">
        <v>1464.04359</v>
      </c>
      <c r="E229" s="95">
        <v>1464.04359</v>
      </c>
      <c r="F229" s="95">
        <v>0.51900000000000002</v>
      </c>
      <c r="G229" s="95">
        <v>0.32600000000000001</v>
      </c>
      <c r="H229" s="95">
        <f t="shared" si="12"/>
        <v>1.0319381482708732</v>
      </c>
      <c r="I229" s="95">
        <f t="shared" si="13"/>
        <v>1.0991349408174693</v>
      </c>
      <c r="J229" s="95">
        <f t="shared" si="14"/>
        <v>1.0657128385406344E-3</v>
      </c>
      <c r="K229" s="95">
        <f t="shared" si="15"/>
        <v>0.98460758605226995</v>
      </c>
      <c r="L229" s="95"/>
      <c r="M229" s="98">
        <v>10.771000000000001</v>
      </c>
      <c r="N229" s="104">
        <v>23.7</v>
      </c>
    </row>
    <row r="230" spans="1:14" ht="18" customHeight="1" x14ac:dyDescent="0.2">
      <c r="A230" s="26">
        <v>1</v>
      </c>
      <c r="B230" s="17">
        <v>172.578745</v>
      </c>
      <c r="C230" s="17">
        <v>217.07347999999999</v>
      </c>
      <c r="D230" s="17">
        <v>1460.37266</v>
      </c>
      <c r="E230" s="17">
        <v>1559.9808799999998</v>
      </c>
      <c r="F230" s="17">
        <v>0.30099999999999999</v>
      </c>
      <c r="G230" s="17">
        <v>0.44600000000000001</v>
      </c>
      <c r="H230" s="17">
        <f t="shared" si="12"/>
        <v>1.0459522044757532</v>
      </c>
      <c r="I230" s="17">
        <f t="shared" si="13"/>
        <v>1.1684667676668645</v>
      </c>
      <c r="J230" s="17">
        <f t="shared" si="14"/>
        <v>1.099246554455563E-4</v>
      </c>
      <c r="K230" s="17">
        <f t="shared" si="15"/>
        <v>1.2578227985143824</v>
      </c>
      <c r="M230" s="26">
        <v>11.577</v>
      </c>
      <c r="N230" s="103">
        <v>54.98</v>
      </c>
    </row>
    <row r="231" spans="1:14" ht="18" customHeight="1" x14ac:dyDescent="0.2">
      <c r="A231" s="26">
        <v>2</v>
      </c>
      <c r="B231" s="17">
        <v>172.88063</v>
      </c>
      <c r="C231" s="17">
        <v>217.226585</v>
      </c>
      <c r="D231" s="17">
        <v>1437.19649</v>
      </c>
      <c r="E231" s="17">
        <v>1534.77748</v>
      </c>
      <c r="F231" s="17">
        <v>0.30599999999999999</v>
      </c>
      <c r="G231" s="17">
        <v>0.44800000000000001</v>
      </c>
      <c r="H231" s="17">
        <f t="shared" si="12"/>
        <v>1.0459117454469582</v>
      </c>
      <c r="I231" s="17">
        <f t="shared" si="13"/>
        <v>1.168279706132598</v>
      </c>
      <c r="J231" s="17">
        <f t="shared" si="14"/>
        <v>1.116160564779943E-4</v>
      </c>
      <c r="K231" s="17">
        <f t="shared" si="15"/>
        <v>1.2565119932753601</v>
      </c>
      <c r="M231" s="26">
        <v>11.534000000000001</v>
      </c>
      <c r="N231" s="103">
        <v>52.83</v>
      </c>
    </row>
    <row r="232" spans="1:14" ht="18" customHeight="1" x14ac:dyDescent="0.2">
      <c r="A232" s="26">
        <v>3</v>
      </c>
      <c r="B232" s="17">
        <v>173.27680000000001</v>
      </c>
      <c r="C232" s="17">
        <v>217.37969000000001</v>
      </c>
      <c r="D232" s="17">
        <v>1405.5826599999998</v>
      </c>
      <c r="E232" s="17">
        <v>1500.0954099999999</v>
      </c>
      <c r="F232" s="17">
        <v>0.312</v>
      </c>
      <c r="G232" s="17">
        <v>0.45</v>
      </c>
      <c r="H232" s="17">
        <f t="shared" si="12"/>
        <v>1.0456692716779881</v>
      </c>
      <c r="I232" s="17">
        <f t="shared" si="13"/>
        <v>1.1679924541103108</v>
      </c>
      <c r="J232" s="17">
        <f t="shared" si="14"/>
        <v>7.28272718158781E-5</v>
      </c>
      <c r="K232" s="17">
        <f t="shared" si="15"/>
        <v>1.2545227635782747</v>
      </c>
      <c r="M232" s="26">
        <v>11.462</v>
      </c>
      <c r="N232" s="103">
        <v>50.91</v>
      </c>
    </row>
    <row r="233" spans="1:14" ht="18" customHeight="1" x14ac:dyDescent="0.2">
      <c r="A233" s="26">
        <v>4</v>
      </c>
      <c r="B233" s="17">
        <v>173.77417500000001</v>
      </c>
      <c r="C233" s="17">
        <v>217.582965</v>
      </c>
      <c r="D233" s="17">
        <v>1382.46128</v>
      </c>
      <c r="E233" s="17">
        <v>1474.1797399999998</v>
      </c>
      <c r="F233" s="17">
        <v>0.32100000000000001</v>
      </c>
      <c r="G233" s="17">
        <v>0.45300000000000001</v>
      </c>
      <c r="H233" s="17">
        <f t="shared" si="12"/>
        <v>1.0454140859461105</v>
      </c>
      <c r="I233" s="17">
        <f t="shared" si="13"/>
        <v>1.1681745890296957</v>
      </c>
      <c r="J233" s="17">
        <f t="shared" si="14"/>
        <v>3.561639016734508E-6</v>
      </c>
      <c r="K233" s="17">
        <f t="shared" si="15"/>
        <v>1.2521018442469947</v>
      </c>
      <c r="M233" s="26">
        <v>11.378</v>
      </c>
      <c r="N233" s="103">
        <v>49.71</v>
      </c>
    </row>
    <row r="234" spans="1:14" ht="18" customHeight="1" x14ac:dyDescent="0.2">
      <c r="A234" s="26">
        <v>5</v>
      </c>
      <c r="B234" s="17">
        <v>174.20840500000003</v>
      </c>
      <c r="C234" s="17">
        <v>217.78710500000003</v>
      </c>
      <c r="D234" s="17">
        <v>1371.5580699999998</v>
      </c>
      <c r="E234" s="17">
        <v>1461.4684600000001</v>
      </c>
      <c r="F234" s="17">
        <v>0.32800000000000001</v>
      </c>
      <c r="G234" s="17">
        <v>0.45500000000000002</v>
      </c>
      <c r="H234" s="17">
        <f t="shared" si="12"/>
        <v>1.0452040947673475</v>
      </c>
      <c r="I234" s="17">
        <f t="shared" si="13"/>
        <v>1.1685668175431771</v>
      </c>
      <c r="J234" s="17">
        <f t="shared" si="14"/>
        <v>-6.766435444800073E-5</v>
      </c>
      <c r="K234" s="17">
        <f t="shared" si="15"/>
        <v>1.2501526835057126</v>
      </c>
      <c r="M234" s="26">
        <v>11.298999999999999</v>
      </c>
      <c r="N234" s="103">
        <v>48.91</v>
      </c>
    </row>
    <row r="235" spans="1:14" ht="18" customHeight="1" x14ac:dyDescent="0.2">
      <c r="A235" s="26">
        <v>6</v>
      </c>
      <c r="B235" s="17">
        <v>174.56478500000003</v>
      </c>
      <c r="C235" s="17">
        <v>217.99124500000002</v>
      </c>
      <c r="D235" s="17">
        <v>1367.0652899999998</v>
      </c>
      <c r="E235" s="17">
        <v>1455.87988</v>
      </c>
      <c r="F235" s="17">
        <v>0.33400000000000002</v>
      </c>
      <c r="G235" s="17">
        <v>0.45700000000000002</v>
      </c>
      <c r="H235" s="17">
        <f t="shared" si="12"/>
        <v>1.0450754429673448</v>
      </c>
      <c r="I235" s="17">
        <f t="shared" si="13"/>
        <v>1.1690205818510699</v>
      </c>
      <c r="J235" s="17">
        <f t="shared" si="14"/>
        <v>-1.2382060186495215E-4</v>
      </c>
      <c r="K235" s="17">
        <f t="shared" si="15"/>
        <v>1.2487698764673527</v>
      </c>
      <c r="M235" s="26">
        <v>11.224</v>
      </c>
      <c r="N235" s="103">
        <v>48.21</v>
      </c>
    </row>
    <row r="236" spans="1:14" ht="18" customHeight="1" x14ac:dyDescent="0.2">
      <c r="A236" s="26">
        <v>7</v>
      </c>
      <c r="B236" s="17">
        <v>174.83812499999999</v>
      </c>
      <c r="C236" s="17">
        <v>218.19451999999998</v>
      </c>
      <c r="D236" s="17">
        <v>1366.6817599999999</v>
      </c>
      <c r="E236" s="17">
        <v>1455.1128200000001</v>
      </c>
      <c r="F236" s="17">
        <v>0.33800000000000002</v>
      </c>
      <c r="G236" s="17">
        <v>0.46100000000000002</v>
      </c>
      <c r="H236" s="17">
        <f t="shared" si="12"/>
        <v>1.0446309657794919</v>
      </c>
      <c r="I236" s="17">
        <f t="shared" si="13"/>
        <v>1.1675497413473608</v>
      </c>
      <c r="J236" s="17">
        <f t="shared" si="14"/>
        <v>-1.3961315948301557E-4</v>
      </c>
      <c r="K236" s="17">
        <f t="shared" si="15"/>
        <v>1.2479802102659245</v>
      </c>
      <c r="M236" s="26">
        <v>11.148999999999999</v>
      </c>
      <c r="N236" s="103">
        <v>47.48</v>
      </c>
    </row>
    <row r="237" spans="1:14" ht="18" customHeight="1" x14ac:dyDescent="0.2">
      <c r="A237" s="26">
        <v>8</v>
      </c>
      <c r="B237" s="17">
        <v>174.98950000000002</v>
      </c>
      <c r="C237" s="17">
        <v>218.39866000000001</v>
      </c>
      <c r="D237" s="17">
        <v>1371.99639</v>
      </c>
      <c r="E237" s="17">
        <v>1460.8657700000001</v>
      </c>
      <c r="F237" s="17">
        <v>0.33900000000000002</v>
      </c>
      <c r="G237" s="17">
        <v>0.46400000000000002</v>
      </c>
      <c r="H237" s="17">
        <f t="shared" si="12"/>
        <v>1.044280846497792</v>
      </c>
      <c r="I237" s="17">
        <f t="shared" si="13"/>
        <v>1.1659981663534591</v>
      </c>
      <c r="J237" s="17">
        <f t="shared" si="14"/>
        <v>-1.2890747458700787E-4</v>
      </c>
      <c r="K237" s="17">
        <f t="shared" si="15"/>
        <v>1.2480672268907562</v>
      </c>
      <c r="M237" s="26">
        <v>11.074</v>
      </c>
      <c r="N237" s="103">
        <v>46.61</v>
      </c>
    </row>
    <row r="238" spans="1:14" ht="18" customHeight="1" x14ac:dyDescent="0.2">
      <c r="A238" s="26">
        <v>9</v>
      </c>
      <c r="B238" s="17">
        <v>175.03534500000001</v>
      </c>
      <c r="C238" s="17">
        <v>218.601935</v>
      </c>
      <c r="D238" s="17">
        <v>1382.3516999999999</v>
      </c>
      <c r="E238" s="17">
        <v>1472.4264599999999</v>
      </c>
      <c r="F238" s="17">
        <v>0.33900000000000002</v>
      </c>
      <c r="G238" s="17">
        <v>0.46899999999999997</v>
      </c>
      <c r="H238" s="17">
        <f t="shared" si="12"/>
        <v>1.0437265581904827</v>
      </c>
      <c r="I238" s="17">
        <f t="shared" si="13"/>
        <v>1.163132255370197</v>
      </c>
      <c r="J238" s="17">
        <f t="shared" si="14"/>
        <v>-8.76329344913062E-5</v>
      </c>
      <c r="K238" s="17">
        <f t="shared" si="15"/>
        <v>1.2489016718309094</v>
      </c>
      <c r="M238" s="26">
        <v>10.997</v>
      </c>
      <c r="N238" s="103">
        <v>45.57</v>
      </c>
    </row>
    <row r="239" spans="1:14" ht="18" customHeight="1" x14ac:dyDescent="0.2">
      <c r="A239" s="26">
        <v>10</v>
      </c>
      <c r="B239" s="17">
        <v>175.00593499999999</v>
      </c>
      <c r="C239" s="17">
        <v>218.80607500000002</v>
      </c>
      <c r="D239" s="17">
        <v>1403.6650099999999</v>
      </c>
      <c r="E239" s="17">
        <v>1495.82179</v>
      </c>
      <c r="F239" s="17">
        <v>0.33700000000000002</v>
      </c>
      <c r="G239" s="17">
        <v>0.47299999999999998</v>
      </c>
      <c r="H239" s="17">
        <f t="shared" si="12"/>
        <v>1.0431814686142777</v>
      </c>
      <c r="I239" s="17">
        <f t="shared" si="13"/>
        <v>1.1604028488164413</v>
      </c>
      <c r="J239" s="17">
        <f t="shared" si="14"/>
        <v>-5.1957967219577045E-5</v>
      </c>
      <c r="K239" s="17">
        <f t="shared" si="15"/>
        <v>1.2502780262852231</v>
      </c>
      <c r="M239" s="26">
        <v>10.916</v>
      </c>
      <c r="N239" s="103">
        <v>44.27</v>
      </c>
    </row>
    <row r="240" spans="1:14" ht="18" customHeight="1" x14ac:dyDescent="0.2">
      <c r="A240" s="26">
        <v>11</v>
      </c>
      <c r="B240" s="17">
        <v>174.84764000000001</v>
      </c>
      <c r="C240" s="17">
        <v>219.00935000000001</v>
      </c>
      <c r="D240" s="17">
        <v>1439.2785099999999</v>
      </c>
      <c r="E240" s="17">
        <v>1534.61311</v>
      </c>
      <c r="F240" s="17">
        <v>0.33500000000000002</v>
      </c>
      <c r="G240" s="17">
        <v>0.47899999999999998</v>
      </c>
      <c r="H240" s="17">
        <f t="shared" si="12"/>
        <v>1.0423384425993452</v>
      </c>
      <c r="I240" s="17">
        <f t="shared" si="13"/>
        <v>1.1570291600006295</v>
      </c>
      <c r="J240" s="17">
        <f t="shared" si="14"/>
        <v>-4.639890354183468E-5</v>
      </c>
      <c r="K240" s="17">
        <f t="shared" si="15"/>
        <v>1.2525725254284243</v>
      </c>
      <c r="M240" s="26">
        <v>10.827</v>
      </c>
      <c r="N240" s="103">
        <v>42.8</v>
      </c>
    </row>
    <row r="241" spans="1:14" ht="18" customHeight="1" x14ac:dyDescent="0.2">
      <c r="A241" s="26">
        <v>12</v>
      </c>
      <c r="B241" s="17">
        <v>174.73692000000003</v>
      </c>
      <c r="C241" s="17">
        <v>219.11142000000001</v>
      </c>
      <c r="D241" s="17">
        <v>1464.04359</v>
      </c>
      <c r="E241" s="17">
        <v>1561.29584</v>
      </c>
      <c r="F241" s="17">
        <v>0.33300000000000002</v>
      </c>
      <c r="G241" s="17">
        <v>0.48199999999999998</v>
      </c>
      <c r="H241" s="17">
        <f t="shared" si="12"/>
        <v>1.0416768560425993</v>
      </c>
      <c r="I241" s="17">
        <f t="shared" si="13"/>
        <v>1.1550125607097581</v>
      </c>
      <c r="J241" s="17">
        <f t="shared" si="14"/>
        <v>-7.9197756033754299E-5</v>
      </c>
      <c r="K241" s="17">
        <f t="shared" si="15"/>
        <v>1.2539503386004514</v>
      </c>
      <c r="M241" s="26">
        <v>10.778</v>
      </c>
      <c r="N241" s="103">
        <v>42.22</v>
      </c>
    </row>
    <row r="242" spans="1:14" s="96" customFormat="1" ht="18" customHeight="1" x14ac:dyDescent="0.2">
      <c r="A242" s="97">
        <v>1</v>
      </c>
      <c r="B242" s="95">
        <v>251.67347999999998</v>
      </c>
      <c r="C242" s="95">
        <v>214.00186500000004</v>
      </c>
      <c r="D242" s="95">
        <v>1559.9808799999998</v>
      </c>
      <c r="E242" s="95">
        <v>1559.9808799999998</v>
      </c>
      <c r="F242" s="95">
        <v>0.45300000000000001</v>
      </c>
      <c r="G242" s="95">
        <v>0.26300000000000001</v>
      </c>
      <c r="H242" s="95">
        <f t="shared" ref="H242:H253" si="16">E242/D242*((1+0.2*F242^2)/(1+0.2*G242^2))</f>
        <v>1.0268367458255978</v>
      </c>
      <c r="I242" s="95">
        <f t="shared" ref="I242:I253" si="17">C242/B242*((1+0.2*F242^2)^(1.4/0.4)/(1+0.2*G242^2)^(1.4/0.4))</f>
        <v>0.93289982115780745</v>
      </c>
      <c r="J242" s="95">
        <f t="shared" ref="J242:J253" si="18">0.24 * LN(H242) - 0.06855 * LN(I242)</f>
        <v>1.1117218125926503E-2</v>
      </c>
      <c r="K242" s="95">
        <f t="shared" ref="K242:K253" si="19">C242/B242</f>
        <v>0.85031551596139587</v>
      </c>
      <c r="L242" s="95"/>
      <c r="M242" s="98">
        <v>11.552</v>
      </c>
      <c r="N242" s="104">
        <v>4</v>
      </c>
    </row>
    <row r="243" spans="1:14" s="96" customFormat="1" ht="18" customHeight="1" x14ac:dyDescent="0.2">
      <c r="A243" s="97">
        <v>2</v>
      </c>
      <c r="B243" s="95">
        <v>217.226585</v>
      </c>
      <c r="C243" s="95">
        <v>214.26396</v>
      </c>
      <c r="D243" s="95">
        <v>1534.77748</v>
      </c>
      <c r="E243" s="95">
        <v>1534.77748</v>
      </c>
      <c r="F243" s="95">
        <v>0.45400000000000001</v>
      </c>
      <c r="G243" s="95">
        <v>0.26500000000000001</v>
      </c>
      <c r="H243" s="95">
        <f t="shared" si="16"/>
        <v>1.0268017691522564</v>
      </c>
      <c r="I243" s="95">
        <f t="shared" si="17"/>
        <v>1.0820299487041771</v>
      </c>
      <c r="J243" s="95">
        <f t="shared" si="18"/>
        <v>9.4333052862917953E-4</v>
      </c>
      <c r="K243" s="95">
        <f t="shared" si="19"/>
        <v>0.98636159105479648</v>
      </c>
      <c r="L243" s="95"/>
      <c r="M243" s="98">
        <v>11.519</v>
      </c>
      <c r="N243" s="104">
        <v>3.38</v>
      </c>
    </row>
    <row r="244" spans="1:14" s="96" customFormat="1" ht="18" customHeight="1" x14ac:dyDescent="0.2">
      <c r="A244" s="97">
        <v>3</v>
      </c>
      <c r="B244" s="95">
        <v>217.37969000000001</v>
      </c>
      <c r="C244" s="95">
        <v>214.63072</v>
      </c>
      <c r="D244" s="95">
        <v>1500.0954099999999</v>
      </c>
      <c r="E244" s="95">
        <v>1500.0954099999999</v>
      </c>
      <c r="F244" s="95">
        <v>0.45600000000000002</v>
      </c>
      <c r="G244" s="95">
        <v>0.26900000000000002</v>
      </c>
      <c r="H244" s="95">
        <f t="shared" si="16"/>
        <v>1.0267281843701581</v>
      </c>
      <c r="I244" s="95">
        <f t="shared" si="17"/>
        <v>1.0828470329287907</v>
      </c>
      <c r="J244" s="95">
        <f t="shared" si="18"/>
        <v>8.7438521810416416E-4</v>
      </c>
      <c r="K244" s="95">
        <f t="shared" si="19"/>
        <v>0.9873540623781365</v>
      </c>
      <c r="L244" s="95"/>
      <c r="M244" s="98">
        <v>11.457000000000001</v>
      </c>
      <c r="N244" s="104">
        <v>2.34</v>
      </c>
    </row>
    <row r="245" spans="1:14" s="96" customFormat="1" ht="18" customHeight="1" x14ac:dyDescent="0.2">
      <c r="A245" s="97">
        <v>4</v>
      </c>
      <c r="B245" s="95">
        <v>217.582965</v>
      </c>
      <c r="C245" s="95">
        <v>215.08657500000001</v>
      </c>
      <c r="D245" s="95">
        <v>1474.1797399999998</v>
      </c>
      <c r="E245" s="95">
        <v>1474.1797399999998</v>
      </c>
      <c r="F245" s="95">
        <v>0.45800000000000002</v>
      </c>
      <c r="G245" s="95">
        <v>0.27400000000000002</v>
      </c>
      <c r="H245" s="95">
        <f t="shared" si="16"/>
        <v>1.026539109956186</v>
      </c>
      <c r="I245" s="95">
        <f t="shared" si="17"/>
        <v>1.0834345077647598</v>
      </c>
      <c r="J245" s="95">
        <f t="shared" si="18"/>
        <v>7.9300437303351547E-4</v>
      </c>
      <c r="K245" s="95">
        <f t="shared" si="19"/>
        <v>0.98852672128996866</v>
      </c>
      <c r="L245" s="95"/>
      <c r="M245" s="98">
        <v>11.375999999999999</v>
      </c>
      <c r="N245" s="104">
        <v>1.27</v>
      </c>
    </row>
    <row r="246" spans="1:14" s="96" customFormat="1" ht="18" customHeight="1" x14ac:dyDescent="0.2">
      <c r="A246" s="97">
        <v>5</v>
      </c>
      <c r="B246" s="95">
        <v>217.78710500000003</v>
      </c>
      <c r="C246" s="95">
        <v>215.47928500000003</v>
      </c>
      <c r="D246" s="95">
        <v>1461.4684600000001</v>
      </c>
      <c r="E246" s="95">
        <v>1461.4684600000001</v>
      </c>
      <c r="F246" s="95">
        <v>0.46</v>
      </c>
      <c r="G246" s="95">
        <v>0.27800000000000002</v>
      </c>
      <c r="H246" s="95">
        <f t="shared" si="16"/>
        <v>1.0264543011578631</v>
      </c>
      <c r="I246" s="95">
        <f t="shared" si="17"/>
        <v>1.0840817415179576</v>
      </c>
      <c r="J246" s="95">
        <f t="shared" si="18"/>
        <v>7.3223674820411568E-4</v>
      </c>
      <c r="K246" s="95">
        <f t="shared" si="19"/>
        <v>0.98940332119296048</v>
      </c>
      <c r="L246" s="95"/>
      <c r="M246" s="98">
        <v>11.295999999999999</v>
      </c>
      <c r="N246" s="104">
        <v>0.53</v>
      </c>
    </row>
    <row r="247" spans="1:14" s="96" customFormat="1" ht="18" customHeight="1" x14ac:dyDescent="0.2">
      <c r="A247" s="97">
        <v>6</v>
      </c>
      <c r="B247" s="95">
        <v>217.99124500000002</v>
      </c>
      <c r="C247" s="95">
        <v>215.78376500000002</v>
      </c>
      <c r="D247" s="95">
        <v>1455.87988</v>
      </c>
      <c r="E247" s="95">
        <v>1455.87988</v>
      </c>
      <c r="F247" s="95">
        <v>0.46300000000000002</v>
      </c>
      <c r="G247" s="95">
        <v>0.28199999999999997</v>
      </c>
      <c r="H247" s="95">
        <f t="shared" si="16"/>
        <v>1.0265467787926585</v>
      </c>
      <c r="I247" s="95">
        <f t="shared" si="17"/>
        <v>1.084938999171442</v>
      </c>
      <c r="J247" s="95">
        <f t="shared" si="18"/>
        <v>6.9967263841909638E-4</v>
      </c>
      <c r="K247" s="95">
        <f t="shared" si="19"/>
        <v>0.98987353826985114</v>
      </c>
      <c r="L247" s="95"/>
      <c r="M247" s="98">
        <v>11.217000000000001</v>
      </c>
      <c r="N247" s="104">
        <v>0.11</v>
      </c>
    </row>
    <row r="248" spans="1:14" s="96" customFormat="1" ht="18" customHeight="1" x14ac:dyDescent="0.2">
      <c r="A248" s="97">
        <v>7</v>
      </c>
      <c r="B248" s="95">
        <v>218.19451999999998</v>
      </c>
      <c r="C248" s="95">
        <v>215.9905</v>
      </c>
      <c r="D248" s="95">
        <v>1455.1128200000001</v>
      </c>
      <c r="E248" s="95">
        <v>1455.1128200000001</v>
      </c>
      <c r="F248" s="95">
        <v>0.46500000000000002</v>
      </c>
      <c r="G248" s="95">
        <v>0.28299999999999997</v>
      </c>
      <c r="H248" s="95">
        <f t="shared" si="16"/>
        <v>1.0267979557051068</v>
      </c>
      <c r="I248" s="95">
        <f t="shared" si="17"/>
        <v>1.0858961529322129</v>
      </c>
      <c r="J248" s="95">
        <f t="shared" si="18"/>
        <v>6.9793954438657733E-4</v>
      </c>
      <c r="K248" s="95">
        <f t="shared" si="19"/>
        <v>0.9898988297231297</v>
      </c>
      <c r="L248" s="95"/>
      <c r="M248" s="98">
        <v>11.138</v>
      </c>
      <c r="N248" s="104">
        <v>0.02</v>
      </c>
    </row>
    <row r="249" spans="1:14" s="96" customFormat="1" ht="18" customHeight="1" x14ac:dyDescent="0.2">
      <c r="A249" s="97">
        <v>8</v>
      </c>
      <c r="B249" s="95">
        <v>218.39866000000001</v>
      </c>
      <c r="C249" s="95">
        <v>216.05450999999999</v>
      </c>
      <c r="D249" s="95">
        <v>1460.8657700000001</v>
      </c>
      <c r="E249" s="95">
        <v>1460.8657700000001</v>
      </c>
      <c r="F249" s="95">
        <v>0.46800000000000003</v>
      </c>
      <c r="G249" s="95">
        <v>0.28299999999999997</v>
      </c>
      <c r="H249" s="95">
        <f t="shared" si="16"/>
        <v>1.0273489303041738</v>
      </c>
      <c r="I249" s="95">
        <f t="shared" si="17"/>
        <v>1.0872421300010195</v>
      </c>
      <c r="J249" s="95">
        <f t="shared" si="18"/>
        <v>7.4177212920739123E-4</v>
      </c>
      <c r="K249" s="95">
        <f t="shared" si="19"/>
        <v>0.98926664659938846</v>
      </c>
      <c r="L249" s="95"/>
      <c r="M249" s="98">
        <v>11.058999999999999</v>
      </c>
      <c r="N249" s="104">
        <v>0.32</v>
      </c>
    </row>
    <row r="250" spans="1:14" s="96" customFormat="1" ht="18" customHeight="1" x14ac:dyDescent="0.2">
      <c r="A250" s="97">
        <v>9</v>
      </c>
      <c r="B250" s="95">
        <v>218.601935</v>
      </c>
      <c r="C250" s="95">
        <v>215.99569000000002</v>
      </c>
      <c r="D250" s="95">
        <v>1472.4264599999999</v>
      </c>
      <c r="E250" s="95">
        <v>1472.4264599999999</v>
      </c>
      <c r="F250" s="95">
        <v>0.47199999999999998</v>
      </c>
      <c r="G250" s="95">
        <v>0.28199999999999997</v>
      </c>
      <c r="H250" s="95">
        <f t="shared" si="16"/>
        <v>1.0282034300851812</v>
      </c>
      <c r="I250" s="95">
        <f t="shared" si="17"/>
        <v>1.0890999863279551</v>
      </c>
      <c r="J250" s="95">
        <f t="shared" si="18"/>
        <v>8.2427287529167163E-4</v>
      </c>
      <c r="K250" s="95">
        <f t="shared" si="19"/>
        <v>0.98807766729054813</v>
      </c>
      <c r="L250" s="95"/>
      <c r="M250" s="98">
        <v>10.978999999999999</v>
      </c>
      <c r="N250" s="104">
        <v>0.93</v>
      </c>
    </row>
    <row r="251" spans="1:14" s="96" customFormat="1" ht="18" customHeight="1" x14ac:dyDescent="0.2">
      <c r="A251" s="97">
        <v>10</v>
      </c>
      <c r="B251" s="95">
        <v>218.80607500000002</v>
      </c>
      <c r="C251" s="95">
        <v>215.85469500000002</v>
      </c>
      <c r="D251" s="95">
        <v>1495.82179</v>
      </c>
      <c r="E251" s="95">
        <v>1495.82179</v>
      </c>
      <c r="F251" s="95">
        <v>0.47599999999999998</v>
      </c>
      <c r="G251" s="95">
        <v>0.28100000000000003</v>
      </c>
      <c r="H251" s="95">
        <f t="shared" si="16"/>
        <v>1.0290640152582391</v>
      </c>
      <c r="I251" s="95">
        <f t="shared" si="17"/>
        <v>1.0905623372256799</v>
      </c>
      <c r="J251" s="95">
        <f t="shared" si="18"/>
        <v>9.3308255812341988E-4</v>
      </c>
      <c r="K251" s="95">
        <f t="shared" si="19"/>
        <v>0.98651143484018899</v>
      </c>
      <c r="L251" s="95"/>
      <c r="M251" s="98">
        <v>10.897</v>
      </c>
      <c r="N251" s="104">
        <v>1.88</v>
      </c>
    </row>
    <row r="252" spans="1:14" s="96" customFormat="1" ht="18" customHeight="1" x14ac:dyDescent="0.2">
      <c r="A252" s="97">
        <v>11</v>
      </c>
      <c r="B252" s="95">
        <v>219.00935000000001</v>
      </c>
      <c r="C252" s="95">
        <v>215.58568000000002</v>
      </c>
      <c r="D252" s="95">
        <v>1534.61311</v>
      </c>
      <c r="E252" s="95">
        <v>1534.61311</v>
      </c>
      <c r="F252" s="95">
        <v>0.48099999999999998</v>
      </c>
      <c r="G252" s="95">
        <v>0.27800000000000002</v>
      </c>
      <c r="H252" s="95">
        <f t="shared" si="16"/>
        <v>1.0303463426509134</v>
      </c>
      <c r="I252" s="95">
        <f t="shared" si="17"/>
        <v>1.0929456660201984</v>
      </c>
      <c r="J252" s="95">
        <f t="shared" si="18"/>
        <v>1.0823162976281442E-3</v>
      </c>
      <c r="K252" s="95">
        <f t="shared" si="19"/>
        <v>0.98436747106915756</v>
      </c>
      <c r="L252" s="95"/>
      <c r="M252" s="98">
        <v>10.813000000000001</v>
      </c>
      <c r="N252" s="104">
        <v>3.19</v>
      </c>
    </row>
    <row r="253" spans="1:14" s="96" customFormat="1" ht="18" customHeight="1" x14ac:dyDescent="0.2">
      <c r="A253" s="97">
        <v>12</v>
      </c>
      <c r="B253" s="95">
        <v>219.11142000000001</v>
      </c>
      <c r="C253" s="95">
        <v>215.42565500000001</v>
      </c>
      <c r="D253" s="95">
        <v>1561.29584</v>
      </c>
      <c r="E253" s="95">
        <v>1561.29584</v>
      </c>
      <c r="F253" s="95">
        <v>0.48399999999999999</v>
      </c>
      <c r="G253" s="95">
        <v>0.27600000000000002</v>
      </c>
      <c r="H253" s="95">
        <f t="shared" si="16"/>
        <v>1.0311415522235636</v>
      </c>
      <c r="I253" s="95">
        <f t="shared" si="17"/>
        <v>1.0945772491195913</v>
      </c>
      <c r="J253" s="95">
        <f t="shared" si="18"/>
        <v>1.1652168690018229E-3</v>
      </c>
      <c r="K253" s="95">
        <f t="shared" si="19"/>
        <v>0.98317858101599631</v>
      </c>
      <c r="L253" s="95"/>
      <c r="M253" s="98">
        <v>10.77</v>
      </c>
      <c r="N253" s="104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F311F-2D3B-433E-9D1E-D9F482098D14}">
  <dimension ref="A1:CI274"/>
  <sheetViews>
    <sheetView zoomScale="70" zoomScaleNormal="7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I23" sqref="BI23"/>
    </sheetView>
  </sheetViews>
  <sheetFormatPr baseColWidth="10" defaultColWidth="9.1640625" defaultRowHeight="16" x14ac:dyDescent="0.2"/>
  <cols>
    <col min="1" max="1" width="12.5" style="27" customWidth="1"/>
    <col min="2" max="2" width="4" style="27" customWidth="1"/>
    <col min="3" max="8" width="10" style="17" customWidth="1"/>
    <col min="9" max="10" width="16.5" style="17" customWidth="1"/>
    <col min="11" max="11" width="20.1640625" style="17" customWidth="1"/>
    <col min="12" max="12" width="10.6640625" style="17" customWidth="1"/>
    <col min="13" max="13" width="12" style="17" customWidth="1"/>
    <col min="14" max="16" width="11" style="5" customWidth="1"/>
    <col min="17" max="25" width="9.1640625" style="5"/>
    <col min="26" max="52" width="9.1640625" style="17"/>
    <col min="53" max="16384" width="9.1640625" style="5"/>
  </cols>
  <sheetData>
    <row r="1" spans="1:87" s="93" customFormat="1" ht="18" customHeight="1" x14ac:dyDescent="0.2">
      <c r="A1" s="28" t="s">
        <v>94</v>
      </c>
      <c r="B1" s="28" t="s">
        <v>95</v>
      </c>
      <c r="C1" s="92" t="s">
        <v>146</v>
      </c>
      <c r="D1" s="92" t="s">
        <v>136</v>
      </c>
      <c r="E1" s="92" t="s">
        <v>150</v>
      </c>
      <c r="F1" s="92" t="s">
        <v>138</v>
      </c>
      <c r="G1" s="92" t="s">
        <v>157</v>
      </c>
      <c r="H1" s="92" t="s">
        <v>158</v>
      </c>
      <c r="I1" s="92" t="s">
        <v>156</v>
      </c>
      <c r="J1" s="92" t="s">
        <v>159</v>
      </c>
      <c r="K1" s="92" t="s">
        <v>160</v>
      </c>
      <c r="L1" s="92" t="s">
        <v>68</v>
      </c>
      <c r="M1" s="92" t="s">
        <v>161</v>
      </c>
      <c r="N1" s="28" t="s">
        <v>96</v>
      </c>
      <c r="O1" s="28" t="s">
        <v>103</v>
      </c>
      <c r="P1" s="28" t="s">
        <v>187</v>
      </c>
      <c r="Z1" s="92" t="s">
        <v>162</v>
      </c>
      <c r="AA1" s="92" t="s">
        <v>154</v>
      </c>
      <c r="AB1" s="92" t="s">
        <v>163</v>
      </c>
      <c r="AC1" s="92" t="s">
        <v>155</v>
      </c>
      <c r="AD1" s="92" t="s">
        <v>164</v>
      </c>
      <c r="AE1" s="92" t="s">
        <v>165</v>
      </c>
      <c r="AF1" s="92" t="s">
        <v>166</v>
      </c>
      <c r="AG1" s="92" t="s">
        <v>167</v>
      </c>
      <c r="AH1" s="92" t="s">
        <v>168</v>
      </c>
      <c r="AI1" s="92" t="s">
        <v>169</v>
      </c>
      <c r="AJ1" s="92" t="s">
        <v>170</v>
      </c>
      <c r="AK1" s="92" t="s">
        <v>144</v>
      </c>
      <c r="AL1" s="92" t="s">
        <v>171</v>
      </c>
      <c r="AM1" s="92" t="s">
        <v>172</v>
      </c>
      <c r="AN1" s="92" t="s">
        <v>153</v>
      </c>
      <c r="AO1" s="92" t="s">
        <v>173</v>
      </c>
      <c r="AP1" s="92" t="s">
        <v>174</v>
      </c>
      <c r="AQ1" s="92" t="s">
        <v>175</v>
      </c>
      <c r="AR1" s="92" t="s">
        <v>176</v>
      </c>
      <c r="AS1" s="92" t="s">
        <v>177</v>
      </c>
      <c r="AT1" s="92" t="s">
        <v>178</v>
      </c>
      <c r="AU1" s="92" t="s">
        <v>179</v>
      </c>
      <c r="AV1" s="92" t="s">
        <v>180</v>
      </c>
      <c r="AW1" s="92" t="s">
        <v>181</v>
      </c>
      <c r="AX1" s="92" t="s">
        <v>152</v>
      </c>
      <c r="AY1" s="92" t="s">
        <v>68</v>
      </c>
      <c r="AZ1" s="92" t="s">
        <v>184</v>
      </c>
      <c r="BB1" s="113" t="s">
        <v>182</v>
      </c>
      <c r="BC1" s="113"/>
      <c r="BD1" s="113"/>
      <c r="BE1" s="113"/>
      <c r="BF1" s="113"/>
      <c r="BG1" s="113"/>
      <c r="BH1" s="113"/>
      <c r="BI1" s="113"/>
      <c r="BJ1" s="113" t="s">
        <v>183</v>
      </c>
      <c r="BK1" s="113"/>
      <c r="BL1" s="113"/>
      <c r="BM1" s="113"/>
      <c r="BN1" s="113"/>
      <c r="BO1" s="113"/>
      <c r="BP1" s="113"/>
      <c r="BQ1" s="113"/>
      <c r="BS1" s="113" t="s">
        <v>185</v>
      </c>
      <c r="BT1" s="113"/>
      <c r="BU1" s="113"/>
      <c r="BV1" s="113"/>
      <c r="BW1" s="113"/>
      <c r="BX1" s="113"/>
      <c r="BY1" s="113"/>
      <c r="BZ1" s="113"/>
      <c r="CB1" s="113" t="s">
        <v>186</v>
      </c>
      <c r="CC1" s="113"/>
      <c r="CD1" s="113"/>
      <c r="CE1" s="113"/>
      <c r="CF1" s="113"/>
      <c r="CG1" s="113"/>
      <c r="CH1" s="113"/>
      <c r="CI1" s="113"/>
    </row>
    <row r="2" spans="1:87" s="96" customFormat="1" ht="18" customHeight="1" x14ac:dyDescent="0.2">
      <c r="A2" s="94" t="s">
        <v>94</v>
      </c>
      <c r="B2" s="94">
        <v>1</v>
      </c>
      <c r="C2" s="95">
        <v>8.4761350000000011</v>
      </c>
      <c r="D2" s="95">
        <v>8.3489799999999992</v>
      </c>
      <c r="E2" s="95">
        <v>545.21528999999998</v>
      </c>
      <c r="F2" s="95">
        <v>545.21528999999998</v>
      </c>
      <c r="G2" s="95">
        <v>0.55200000000000005</v>
      </c>
      <c r="H2" s="95">
        <v>0.53600000000000003</v>
      </c>
      <c r="I2" s="95">
        <f>F2/E2*((1+0.2*G2^2)/(1+0.2*H2^2))</f>
        <v>1.0032924201709152</v>
      </c>
      <c r="J2" s="95">
        <f>D2/C2*((1+0.2*G2^2)^(1.4/0.4)/(1+0.2*H2^2)^(1.4/0.4))</f>
        <v>0.99639586074738729</v>
      </c>
      <c r="K2" s="95">
        <f>0.24 * LN(I2) - 0.06855 * LN(J2)</f>
        <v>1.0363929300226575E-3</v>
      </c>
      <c r="L2" s="95">
        <f>D2/C2</f>
        <v>0.98499846923155399</v>
      </c>
      <c r="M2" s="95">
        <v>547.9</v>
      </c>
      <c r="N2" s="94">
        <v>13.992000000000001</v>
      </c>
      <c r="O2" s="102">
        <v>15</v>
      </c>
      <c r="P2" s="102">
        <f>90-O2</f>
        <v>75</v>
      </c>
      <c r="Z2" s="95">
        <v>5.43</v>
      </c>
      <c r="AA2" s="95">
        <v>8.6029999999999998</v>
      </c>
      <c r="AB2" s="95">
        <v>7.3029999999999999</v>
      </c>
      <c r="AC2" s="95">
        <v>547.9</v>
      </c>
      <c r="AD2" s="95">
        <v>522.85</v>
      </c>
      <c r="AE2" s="95">
        <v>0.83499999999999996</v>
      </c>
      <c r="AF2" s="95">
        <v>-5.1769999999999996</v>
      </c>
      <c r="AG2" s="95">
        <v>3.7699999999999997E-2</v>
      </c>
      <c r="AH2" s="95">
        <v>6.8559999999999996E-2</v>
      </c>
      <c r="AI2" s="95">
        <v>0.23988000000000001</v>
      </c>
      <c r="AJ2" s="95">
        <v>0</v>
      </c>
      <c r="AK2" s="95">
        <v>0.48949999999999999</v>
      </c>
      <c r="AL2" s="95">
        <v>37.886000000000003</v>
      </c>
      <c r="AM2" s="95">
        <v>1.4580299999999999</v>
      </c>
      <c r="AN2" s="95">
        <v>3.82</v>
      </c>
      <c r="AO2" s="95">
        <v>0</v>
      </c>
      <c r="AP2" s="95">
        <v>548.67700000000002</v>
      </c>
      <c r="AQ2" s="95">
        <v>547.46100000000001</v>
      </c>
      <c r="AR2" s="95">
        <v>547.46100000000001</v>
      </c>
      <c r="AS2" s="95">
        <v>0</v>
      </c>
      <c r="AT2" s="95">
        <v>36.518999999999998</v>
      </c>
      <c r="AU2" s="95">
        <v>6.8070000000000004</v>
      </c>
      <c r="AV2" s="95">
        <v>7.2249999999999996</v>
      </c>
      <c r="AW2" s="95">
        <v>7.6420000000000003</v>
      </c>
      <c r="AX2" s="95">
        <v>0.83499999999999996</v>
      </c>
      <c r="AY2" s="95"/>
      <c r="AZ2" s="95"/>
    </row>
    <row r="3" spans="1:87" s="96" customFormat="1" ht="18" customHeight="1" x14ac:dyDescent="0.2">
      <c r="A3" s="97"/>
      <c r="B3" s="94">
        <v>2</v>
      </c>
      <c r="C3" s="95">
        <v>8.5799350000000008</v>
      </c>
      <c r="D3" s="95">
        <v>8.4709450000000004</v>
      </c>
      <c r="E3" s="95">
        <v>545.21528999999998</v>
      </c>
      <c r="F3" s="95">
        <v>545.21528999999998</v>
      </c>
      <c r="G3" s="95">
        <v>0.55500000000000005</v>
      </c>
      <c r="H3" s="95">
        <v>0.55900000000000005</v>
      </c>
      <c r="I3" s="95">
        <f t="shared" ref="I3:I65" si="0">F3/E3*((1+0.2*G3^2)/(1+0.2*H3^2))</f>
        <v>0.99916122052954159</v>
      </c>
      <c r="J3" s="95">
        <f t="shared" ref="J3:J65" si="1">D3/C3*((1+0.2*G3^2)^(1.4/0.4)/(1+0.2*H3^2)^(1.4/0.4))</f>
        <v>0.98440170831966489</v>
      </c>
      <c r="K3" s="95">
        <f t="shared" ref="K3:K65" si="2">0.24 * LN(I3) - 0.06855 * LN(J3)</f>
        <v>8.7629843261920572E-4</v>
      </c>
      <c r="L3" s="95">
        <f t="shared" ref="L3:L65" si="3">D3/C3</f>
        <v>0.98729710656316161</v>
      </c>
      <c r="M3" s="95">
        <v>547.9</v>
      </c>
      <c r="N3" s="94">
        <v>13.576000000000001</v>
      </c>
      <c r="O3" s="102">
        <v>14.55</v>
      </c>
      <c r="P3" s="102">
        <f t="shared" ref="P3:P65" si="4">90-O3</f>
        <v>75.45</v>
      </c>
      <c r="Z3" s="95">
        <v>5.43</v>
      </c>
      <c r="AA3" s="95">
        <v>8.6020000000000003</v>
      </c>
      <c r="AB3" s="95">
        <v>7.3049999999999997</v>
      </c>
      <c r="AC3" s="95">
        <v>547.9</v>
      </c>
      <c r="AD3" s="95">
        <v>522.9</v>
      </c>
      <c r="AE3" s="95">
        <v>0.83499999999999996</v>
      </c>
      <c r="AF3" s="95">
        <v>-5.1639999999999997</v>
      </c>
      <c r="AG3" s="95">
        <v>3.771E-2</v>
      </c>
      <c r="AH3" s="95">
        <v>6.8559999999999996E-2</v>
      </c>
      <c r="AI3" s="95">
        <v>0.23988999999999999</v>
      </c>
      <c r="AJ3" s="95">
        <v>0</v>
      </c>
      <c r="AK3" s="95">
        <v>0.4889</v>
      </c>
      <c r="AL3" s="95">
        <v>38.07</v>
      </c>
      <c r="AM3" s="95">
        <v>1.45804</v>
      </c>
      <c r="AN3" s="95">
        <v>6.35</v>
      </c>
      <c r="AO3" s="95">
        <v>0</v>
      </c>
      <c r="AP3" s="95">
        <v>548.09199999999998</v>
      </c>
      <c r="AQ3" s="95">
        <v>544.72900000000004</v>
      </c>
      <c r="AR3" s="95">
        <v>544.72900000000004</v>
      </c>
      <c r="AS3" s="95">
        <v>0</v>
      </c>
      <c r="AT3" s="95">
        <v>60.628</v>
      </c>
      <c r="AU3" s="95">
        <v>7.6420000000000003</v>
      </c>
      <c r="AV3" s="95">
        <v>8.02</v>
      </c>
      <c r="AW3" s="95">
        <v>8.3970000000000002</v>
      </c>
      <c r="AX3" s="95">
        <v>0.75600000000000001</v>
      </c>
      <c r="AY3" s="95"/>
      <c r="AZ3" s="95"/>
    </row>
    <row r="4" spans="1:87" s="96" customFormat="1" ht="18" customHeight="1" x14ac:dyDescent="0.2">
      <c r="A4" s="97"/>
      <c r="B4" s="94">
        <v>3</v>
      </c>
      <c r="C4" s="95">
        <v>8.6456750000000007</v>
      </c>
      <c r="D4" s="95">
        <v>8.5513900000000014</v>
      </c>
      <c r="E4" s="95">
        <v>545.21528999999998</v>
      </c>
      <c r="F4" s="95">
        <v>545.21528999999998</v>
      </c>
      <c r="G4" s="95">
        <v>0.55100000000000005</v>
      </c>
      <c r="H4" s="95">
        <v>0.57399999999999995</v>
      </c>
      <c r="I4" s="95">
        <f t="shared" si="0"/>
        <v>0.9951449260677786</v>
      </c>
      <c r="J4" s="95">
        <f t="shared" si="1"/>
        <v>0.97238885651092544</v>
      </c>
      <c r="K4" s="95">
        <f t="shared" si="2"/>
        <v>7.5130993542689927E-4</v>
      </c>
      <c r="L4" s="95">
        <f t="shared" si="3"/>
        <v>0.98909454727363688</v>
      </c>
      <c r="M4" s="95">
        <v>547.9</v>
      </c>
      <c r="N4" s="94">
        <v>13.162000000000001</v>
      </c>
      <c r="O4" s="102">
        <v>14.06</v>
      </c>
      <c r="P4" s="102">
        <f t="shared" si="4"/>
        <v>75.94</v>
      </c>
      <c r="Z4" s="95">
        <v>5.43</v>
      </c>
      <c r="AA4" s="95">
        <v>8.6010000000000009</v>
      </c>
      <c r="AB4" s="95">
        <v>7.3079999999999998</v>
      </c>
      <c r="AC4" s="95">
        <v>547.9</v>
      </c>
      <c r="AD4" s="95">
        <v>522.99</v>
      </c>
      <c r="AE4" s="95">
        <v>0.83499999999999996</v>
      </c>
      <c r="AF4" s="95">
        <v>-5.1429999999999998</v>
      </c>
      <c r="AG4" s="95">
        <v>3.7719999999999997E-2</v>
      </c>
      <c r="AH4" s="95">
        <v>6.8559999999999996E-2</v>
      </c>
      <c r="AI4" s="95">
        <v>0.23988999999999999</v>
      </c>
      <c r="AJ4" s="95">
        <v>0</v>
      </c>
      <c r="AK4" s="95">
        <v>0.48799999999999999</v>
      </c>
      <c r="AL4" s="95">
        <v>38.265999999999998</v>
      </c>
      <c r="AM4" s="95">
        <v>1.4580500000000001</v>
      </c>
      <c r="AN4" s="95">
        <v>8.0299999999999994</v>
      </c>
      <c r="AO4" s="95">
        <v>0</v>
      </c>
      <c r="AP4" s="95">
        <v>547.13400000000001</v>
      </c>
      <c r="AQ4" s="95">
        <v>541.774</v>
      </c>
      <c r="AR4" s="95">
        <v>541.774</v>
      </c>
      <c r="AS4" s="95">
        <v>0</v>
      </c>
      <c r="AT4" s="95">
        <v>76.400000000000006</v>
      </c>
      <c r="AU4" s="95">
        <v>8.3970000000000002</v>
      </c>
      <c r="AV4" s="95">
        <v>8.7460000000000004</v>
      </c>
      <c r="AW4" s="95">
        <v>9.0939999999999994</v>
      </c>
      <c r="AX4" s="95">
        <v>0.69599999999999995</v>
      </c>
      <c r="AY4" s="95"/>
      <c r="AZ4" s="95"/>
    </row>
    <row r="5" spans="1:87" s="96" customFormat="1" ht="18" customHeight="1" x14ac:dyDescent="0.2">
      <c r="A5" s="97"/>
      <c r="B5" s="94">
        <v>4</v>
      </c>
      <c r="C5" s="95">
        <v>8.6854650000000007</v>
      </c>
      <c r="D5" s="95">
        <v>8.6058850000000007</v>
      </c>
      <c r="E5" s="95">
        <v>545.21528999999998</v>
      </c>
      <c r="F5" s="95">
        <v>545.21528999999998</v>
      </c>
      <c r="G5" s="95">
        <v>0.54400000000000004</v>
      </c>
      <c r="H5" s="95">
        <v>0.58199999999999996</v>
      </c>
      <c r="I5" s="95">
        <f t="shared" si="0"/>
        <v>0.99198535080667205</v>
      </c>
      <c r="J5" s="95">
        <f t="shared" si="1"/>
        <v>0.96332064850331744</v>
      </c>
      <c r="K5" s="95">
        <f t="shared" si="2"/>
        <v>6.3037642229937189E-4</v>
      </c>
      <c r="L5" s="95">
        <f t="shared" si="3"/>
        <v>0.99083756597948414</v>
      </c>
      <c r="M5" s="95">
        <v>547.9</v>
      </c>
      <c r="N5" s="94">
        <v>12.601000000000001</v>
      </c>
      <c r="O5" s="102">
        <v>13.36</v>
      </c>
      <c r="P5" s="102">
        <f t="shared" si="4"/>
        <v>76.64</v>
      </c>
      <c r="Z5" s="95">
        <v>5.43</v>
      </c>
      <c r="AA5" s="95">
        <v>8.5990000000000002</v>
      </c>
      <c r="AB5" s="95">
        <v>7.3120000000000003</v>
      </c>
      <c r="AC5" s="95">
        <v>547.9</v>
      </c>
      <c r="AD5" s="95">
        <v>523.1</v>
      </c>
      <c r="AE5" s="95">
        <v>0.83499999999999996</v>
      </c>
      <c r="AF5" s="95">
        <v>-5.117</v>
      </c>
      <c r="AG5" s="95">
        <v>3.773E-2</v>
      </c>
      <c r="AH5" s="95">
        <v>6.8559999999999996E-2</v>
      </c>
      <c r="AI5" s="95">
        <v>0.23988999999999999</v>
      </c>
      <c r="AJ5" s="95">
        <v>0</v>
      </c>
      <c r="AK5" s="95">
        <v>0.4869</v>
      </c>
      <c r="AL5" s="95">
        <v>38.463000000000001</v>
      </c>
      <c r="AM5" s="95">
        <v>1.4580599999999999</v>
      </c>
      <c r="AN5" s="95">
        <v>9.24</v>
      </c>
      <c r="AO5" s="95">
        <v>0</v>
      </c>
      <c r="AP5" s="95">
        <v>545.91300000000001</v>
      </c>
      <c r="AQ5" s="95">
        <v>538.82399999999996</v>
      </c>
      <c r="AR5" s="95">
        <v>538.82399999999996</v>
      </c>
      <c r="AS5" s="95">
        <v>0</v>
      </c>
      <c r="AT5" s="95">
        <v>87.691999999999993</v>
      </c>
      <c r="AU5" s="95">
        <v>9.0939999999999994</v>
      </c>
      <c r="AV5" s="95">
        <v>9.4190000000000005</v>
      </c>
      <c r="AW5" s="95">
        <v>9.7439999999999998</v>
      </c>
      <c r="AX5" s="95">
        <v>0.65</v>
      </c>
      <c r="AY5" s="95"/>
      <c r="AZ5" s="95"/>
    </row>
    <row r="6" spans="1:87" s="96" customFormat="1" ht="18" customHeight="1" x14ac:dyDescent="0.2">
      <c r="A6" s="97"/>
      <c r="B6" s="94">
        <v>5</v>
      </c>
      <c r="C6" s="95">
        <v>8.6941150000000018</v>
      </c>
      <c r="D6" s="95">
        <v>8.6240500000000004</v>
      </c>
      <c r="E6" s="95">
        <v>545.21528999999998</v>
      </c>
      <c r="F6" s="95">
        <v>545.21528999999998</v>
      </c>
      <c r="G6" s="95">
        <v>0.53500000000000003</v>
      </c>
      <c r="H6" s="95">
        <v>0.58299999999999996</v>
      </c>
      <c r="I6" s="95">
        <f t="shared" si="0"/>
        <v>0.98995035290059397</v>
      </c>
      <c r="J6" s="95">
        <f t="shared" si="1"/>
        <v>0.95748689183968849</v>
      </c>
      <c r="K6" s="95">
        <f t="shared" si="2"/>
        <v>5.5391808369284869E-4</v>
      </c>
      <c r="L6" s="95">
        <f t="shared" si="3"/>
        <v>0.99194110038802097</v>
      </c>
      <c r="M6" s="95">
        <v>547.9</v>
      </c>
      <c r="N6" s="94">
        <v>12.021000000000001</v>
      </c>
      <c r="O6" s="102">
        <v>12.63</v>
      </c>
      <c r="P6" s="102">
        <f t="shared" si="4"/>
        <v>77.37</v>
      </c>
      <c r="Z6" s="95">
        <v>5.43</v>
      </c>
      <c r="AA6" s="95">
        <v>8.5969999999999995</v>
      </c>
      <c r="AB6" s="95">
        <v>7.3170000000000002</v>
      </c>
      <c r="AC6" s="95">
        <v>547.9</v>
      </c>
      <c r="AD6" s="95">
        <v>523.23</v>
      </c>
      <c r="AE6" s="95">
        <v>0.83499999999999996</v>
      </c>
      <c r="AF6" s="95">
        <v>-5.085</v>
      </c>
      <c r="AG6" s="95">
        <v>3.7740000000000003E-2</v>
      </c>
      <c r="AH6" s="95">
        <v>6.8559999999999996E-2</v>
      </c>
      <c r="AI6" s="95">
        <v>0.23988999999999999</v>
      </c>
      <c r="AJ6" s="95">
        <v>0</v>
      </c>
      <c r="AK6" s="95">
        <v>0.48549999999999999</v>
      </c>
      <c r="AL6" s="95">
        <v>38.664999999999999</v>
      </c>
      <c r="AM6" s="95">
        <v>1.45808</v>
      </c>
      <c r="AN6" s="95">
        <v>10.23</v>
      </c>
      <c r="AO6" s="95">
        <v>0</v>
      </c>
      <c r="AP6" s="95">
        <v>544.46500000000003</v>
      </c>
      <c r="AQ6" s="95">
        <v>535.81500000000005</v>
      </c>
      <c r="AR6" s="95">
        <v>535.81500000000005</v>
      </c>
      <c r="AS6" s="95">
        <v>0</v>
      </c>
      <c r="AT6" s="95">
        <v>96.668000000000006</v>
      </c>
      <c r="AU6" s="95">
        <v>9.7439999999999998</v>
      </c>
      <c r="AV6" s="95">
        <v>10.050000000000001</v>
      </c>
      <c r="AW6" s="95">
        <v>10.356</v>
      </c>
      <c r="AX6" s="95">
        <v>0.61199999999999999</v>
      </c>
      <c r="AY6" s="95"/>
      <c r="AZ6" s="95"/>
    </row>
    <row r="7" spans="1:87" s="96" customFormat="1" ht="18" customHeight="1" x14ac:dyDescent="0.2">
      <c r="A7" s="97"/>
      <c r="B7" s="94">
        <v>6</v>
      </c>
      <c r="C7" s="95">
        <v>8.6923849999999998</v>
      </c>
      <c r="D7" s="95">
        <v>8.6309700000000014</v>
      </c>
      <c r="E7" s="95">
        <v>545.65360999999996</v>
      </c>
      <c r="F7" s="95">
        <v>545.65360999999996</v>
      </c>
      <c r="G7" s="95">
        <v>0.52400000000000002</v>
      </c>
      <c r="H7" s="95">
        <v>0.57899999999999996</v>
      </c>
      <c r="I7" s="95">
        <f t="shared" si="0"/>
        <v>0.98862937962877406</v>
      </c>
      <c r="J7" s="95">
        <f t="shared" si="1"/>
        <v>0.95397709420406807</v>
      </c>
      <c r="K7" s="95">
        <f t="shared" si="2"/>
        <v>4.8519318838783276E-4</v>
      </c>
      <c r="L7" s="95">
        <f t="shared" si="3"/>
        <v>0.99293462036023505</v>
      </c>
      <c r="M7" s="95">
        <v>547.9</v>
      </c>
      <c r="N7" s="94">
        <v>11.414</v>
      </c>
      <c r="O7" s="102">
        <v>11.88</v>
      </c>
      <c r="P7" s="102">
        <f t="shared" si="4"/>
        <v>78.12</v>
      </c>
      <c r="Z7" s="95">
        <v>5.43</v>
      </c>
      <c r="AA7" s="95">
        <v>8.5939999999999994</v>
      </c>
      <c r="AB7" s="95">
        <v>7.3209999999999997</v>
      </c>
      <c r="AC7" s="95">
        <v>547.9</v>
      </c>
      <c r="AD7" s="95">
        <v>523.38</v>
      </c>
      <c r="AE7" s="95">
        <v>0.83499999999999996</v>
      </c>
      <c r="AF7" s="95">
        <v>-5.05</v>
      </c>
      <c r="AG7" s="95">
        <v>3.7760000000000002E-2</v>
      </c>
      <c r="AH7" s="95">
        <v>6.8559999999999996E-2</v>
      </c>
      <c r="AI7" s="95">
        <v>0.23988999999999999</v>
      </c>
      <c r="AJ7" s="95">
        <v>0</v>
      </c>
      <c r="AK7" s="95">
        <v>0.48399999999999999</v>
      </c>
      <c r="AL7" s="95">
        <v>38.872999999999998</v>
      </c>
      <c r="AM7" s="95">
        <v>1.4581</v>
      </c>
      <c r="AN7" s="95">
        <v>11.06</v>
      </c>
      <c r="AO7" s="95">
        <v>0</v>
      </c>
      <c r="AP7" s="95">
        <v>542.82500000000005</v>
      </c>
      <c r="AQ7" s="95">
        <v>532.75099999999998</v>
      </c>
      <c r="AR7" s="95">
        <v>532.75099999999998</v>
      </c>
      <c r="AS7" s="95">
        <v>0</v>
      </c>
      <c r="AT7" s="95">
        <v>104.092</v>
      </c>
      <c r="AU7" s="95">
        <v>10.356</v>
      </c>
      <c r="AV7" s="95">
        <v>10.647</v>
      </c>
      <c r="AW7" s="95">
        <v>10.936999999999999</v>
      </c>
      <c r="AX7" s="95">
        <v>0.58099999999999996</v>
      </c>
      <c r="AY7" s="95"/>
      <c r="AZ7" s="95"/>
    </row>
    <row r="8" spans="1:87" s="96" customFormat="1" ht="18" customHeight="1" x14ac:dyDescent="0.2">
      <c r="A8" s="97"/>
      <c r="B8" s="94">
        <v>7</v>
      </c>
      <c r="C8" s="95">
        <v>8.6923849999999998</v>
      </c>
      <c r="D8" s="95">
        <v>8.6361600000000003</v>
      </c>
      <c r="E8" s="95">
        <v>546.31108999999992</v>
      </c>
      <c r="F8" s="95">
        <v>546.31108999999992</v>
      </c>
      <c r="G8" s="95">
        <v>0.51400000000000001</v>
      </c>
      <c r="H8" s="95">
        <v>0.57199999999999995</v>
      </c>
      <c r="I8" s="95">
        <f t="shared" si="0"/>
        <v>0.98817611706297348</v>
      </c>
      <c r="J8" s="95">
        <f t="shared" si="1"/>
        <v>0.95301988593080433</v>
      </c>
      <c r="K8" s="95">
        <f t="shared" si="2"/>
        <v>4.4395049782109059E-4</v>
      </c>
      <c r="L8" s="95">
        <f t="shared" si="3"/>
        <v>0.99353169469598968</v>
      </c>
      <c r="M8" s="95">
        <v>547.9</v>
      </c>
      <c r="N8" s="94">
        <v>10.771000000000001</v>
      </c>
      <c r="O8" s="102">
        <v>11.03</v>
      </c>
      <c r="P8" s="102">
        <f t="shared" si="4"/>
        <v>78.97</v>
      </c>
      <c r="Z8" s="95">
        <v>5.43</v>
      </c>
      <c r="AA8" s="95">
        <v>8.59</v>
      </c>
      <c r="AB8" s="95">
        <v>7.3259999999999996</v>
      </c>
      <c r="AC8" s="95">
        <v>547.9</v>
      </c>
      <c r="AD8" s="95">
        <v>523.54999999999995</v>
      </c>
      <c r="AE8" s="95">
        <v>0.83499999999999996</v>
      </c>
      <c r="AF8" s="95">
        <v>-5.008</v>
      </c>
      <c r="AG8" s="95">
        <v>3.7769999999999998E-2</v>
      </c>
      <c r="AH8" s="95">
        <v>6.8559999999999996E-2</v>
      </c>
      <c r="AI8" s="95">
        <v>0.23988999999999999</v>
      </c>
      <c r="AJ8" s="95">
        <v>0</v>
      </c>
      <c r="AK8" s="95">
        <v>0.48220000000000002</v>
      </c>
      <c r="AL8" s="95">
        <v>39.097999999999999</v>
      </c>
      <c r="AM8" s="95">
        <v>1.45814</v>
      </c>
      <c r="AN8" s="95">
        <v>11.77</v>
      </c>
      <c r="AO8" s="95">
        <v>0</v>
      </c>
      <c r="AP8" s="95">
        <v>540.88699999999994</v>
      </c>
      <c r="AQ8" s="95">
        <v>529.51199999999994</v>
      </c>
      <c r="AR8" s="95">
        <v>529.51199999999994</v>
      </c>
      <c r="AS8" s="95">
        <v>0</v>
      </c>
      <c r="AT8" s="95">
        <v>110.346</v>
      </c>
      <c r="AU8" s="95">
        <v>10.936999999999999</v>
      </c>
      <c r="AV8" s="95">
        <v>11.215</v>
      </c>
      <c r="AW8" s="95">
        <v>11.492000000000001</v>
      </c>
      <c r="AX8" s="95">
        <v>0.55500000000000005</v>
      </c>
      <c r="AY8" s="95"/>
      <c r="AZ8" s="95"/>
    </row>
    <row r="9" spans="1:87" s="96" customFormat="1" ht="18" customHeight="1" x14ac:dyDescent="0.2">
      <c r="A9" s="97"/>
      <c r="B9" s="94">
        <v>8</v>
      </c>
      <c r="C9" s="95">
        <v>8.6941150000000018</v>
      </c>
      <c r="D9" s="95">
        <v>8.641350000000001</v>
      </c>
      <c r="E9" s="95">
        <v>547.68083999999999</v>
      </c>
      <c r="F9" s="95">
        <v>547.68083999999999</v>
      </c>
      <c r="G9" s="95">
        <v>0.502</v>
      </c>
      <c r="H9" s="95">
        <v>0.56000000000000005</v>
      </c>
      <c r="I9" s="95">
        <f t="shared" si="0"/>
        <v>0.98840785907859074</v>
      </c>
      <c r="J9" s="95">
        <f t="shared" si="1"/>
        <v>0.95418564795603189</v>
      </c>
      <c r="K9" s="95">
        <f t="shared" si="2"/>
        <v>4.1642633562685065E-4</v>
      </c>
      <c r="L9" s="95">
        <f t="shared" si="3"/>
        <v>0.99393095214406513</v>
      </c>
      <c r="M9" s="95">
        <v>547.9</v>
      </c>
      <c r="N9" s="94">
        <v>10.083</v>
      </c>
      <c r="O9" s="102">
        <v>10.029999999999999</v>
      </c>
      <c r="P9" s="102">
        <f t="shared" si="4"/>
        <v>79.97</v>
      </c>
      <c r="Z9" s="95">
        <v>5.43</v>
      </c>
      <c r="AA9" s="95">
        <v>8.5830000000000002</v>
      </c>
      <c r="AB9" s="95">
        <v>7.3310000000000004</v>
      </c>
      <c r="AC9" s="95">
        <v>547.9</v>
      </c>
      <c r="AD9" s="95">
        <v>523.77</v>
      </c>
      <c r="AE9" s="95">
        <v>0.83499999999999996</v>
      </c>
      <c r="AF9" s="95">
        <v>-4.9550000000000001</v>
      </c>
      <c r="AG9" s="95">
        <v>3.7780000000000001E-2</v>
      </c>
      <c r="AH9" s="95">
        <v>6.8559999999999996E-2</v>
      </c>
      <c r="AI9" s="95">
        <v>0.23988999999999999</v>
      </c>
      <c r="AJ9" s="95">
        <v>0</v>
      </c>
      <c r="AK9" s="95">
        <v>0.47989999999999999</v>
      </c>
      <c r="AL9" s="95">
        <v>39.360999999999997</v>
      </c>
      <c r="AM9" s="95">
        <v>1.4581900000000001</v>
      </c>
      <c r="AN9" s="95">
        <v>12.42</v>
      </c>
      <c r="AO9" s="95">
        <v>0</v>
      </c>
      <c r="AP9" s="95">
        <v>538.43799999999999</v>
      </c>
      <c r="AQ9" s="95">
        <v>525.84199999999998</v>
      </c>
      <c r="AR9" s="95">
        <v>525.84199999999998</v>
      </c>
      <c r="AS9" s="95">
        <v>0</v>
      </c>
      <c r="AT9" s="95">
        <v>115.78</v>
      </c>
      <c r="AU9" s="95">
        <v>11.492000000000001</v>
      </c>
      <c r="AV9" s="95">
        <v>11.757999999999999</v>
      </c>
      <c r="AW9" s="95">
        <v>12.025</v>
      </c>
      <c r="AX9" s="95">
        <v>0.53300000000000003</v>
      </c>
      <c r="AY9" s="95"/>
      <c r="AZ9" s="95"/>
    </row>
    <row r="10" spans="1:87" s="96" customFormat="1" ht="18" customHeight="1" x14ac:dyDescent="0.2">
      <c r="A10" s="97"/>
      <c r="B10" s="94">
        <v>9</v>
      </c>
      <c r="C10" s="95">
        <v>8.6854650000000007</v>
      </c>
      <c r="D10" s="95">
        <v>8.6352949999999993</v>
      </c>
      <c r="E10" s="95">
        <v>549.59849000000008</v>
      </c>
      <c r="F10" s="95">
        <v>549.59849000000008</v>
      </c>
      <c r="G10" s="95">
        <v>0.48499999999999999</v>
      </c>
      <c r="H10" s="95">
        <v>0.54200000000000004</v>
      </c>
      <c r="I10" s="95">
        <f t="shared" si="0"/>
        <v>0.98894189465189619</v>
      </c>
      <c r="J10" s="95">
        <f t="shared" si="1"/>
        <v>0.95627283250467221</v>
      </c>
      <c r="K10" s="95">
        <f t="shared" si="2"/>
        <v>3.962805968708385E-4</v>
      </c>
      <c r="L10" s="95">
        <f t="shared" si="3"/>
        <v>0.99422368290010943</v>
      </c>
      <c r="M10" s="95">
        <v>547.9</v>
      </c>
      <c r="N10" s="94">
        <v>9.3320000000000007</v>
      </c>
      <c r="O10" s="102">
        <v>8.7899999999999991</v>
      </c>
      <c r="P10" s="102">
        <f t="shared" si="4"/>
        <v>81.210000000000008</v>
      </c>
      <c r="Z10" s="95">
        <v>5.43</v>
      </c>
      <c r="AA10" s="95">
        <v>8.5749999999999993</v>
      </c>
      <c r="AB10" s="95">
        <v>7.3360000000000003</v>
      </c>
      <c r="AC10" s="95">
        <v>547.9</v>
      </c>
      <c r="AD10" s="95">
        <v>524.01</v>
      </c>
      <c r="AE10" s="95">
        <v>0.83499999999999996</v>
      </c>
      <c r="AF10" s="95">
        <v>-4.8979999999999997</v>
      </c>
      <c r="AG10" s="95">
        <v>3.7789999999999997E-2</v>
      </c>
      <c r="AH10" s="95">
        <v>6.8559999999999996E-2</v>
      </c>
      <c r="AI10" s="95">
        <v>0.23988999999999999</v>
      </c>
      <c r="AJ10" s="95">
        <v>0</v>
      </c>
      <c r="AK10" s="95">
        <v>0.47739999999999999</v>
      </c>
      <c r="AL10" s="95">
        <v>39.643000000000001</v>
      </c>
      <c r="AM10" s="95">
        <v>1.45825</v>
      </c>
      <c r="AN10" s="95">
        <v>13.04</v>
      </c>
      <c r="AO10" s="95">
        <v>0</v>
      </c>
      <c r="AP10" s="95">
        <v>535.78599999999994</v>
      </c>
      <c r="AQ10" s="95">
        <v>521.97199999999998</v>
      </c>
      <c r="AR10" s="95">
        <v>521.97199999999998</v>
      </c>
      <c r="AS10" s="95">
        <v>0</v>
      </c>
      <c r="AT10" s="95">
        <v>120.878</v>
      </c>
      <c r="AU10" s="95">
        <v>12.025</v>
      </c>
      <c r="AV10" s="95">
        <v>12.282</v>
      </c>
      <c r="AW10" s="95">
        <v>12.539</v>
      </c>
      <c r="AX10" s="95">
        <v>0.51400000000000001</v>
      </c>
      <c r="AY10" s="95"/>
      <c r="AZ10" s="95"/>
    </row>
    <row r="11" spans="1:87" s="96" customFormat="1" ht="18" customHeight="1" x14ac:dyDescent="0.2">
      <c r="A11" s="97"/>
      <c r="B11" s="94">
        <v>10</v>
      </c>
      <c r="C11" s="95">
        <v>8.6456750000000007</v>
      </c>
      <c r="D11" s="95">
        <v>8.5972349999999995</v>
      </c>
      <c r="E11" s="95">
        <v>552.33798999999999</v>
      </c>
      <c r="F11" s="95">
        <v>552.33798999999999</v>
      </c>
      <c r="G11" s="95">
        <v>0.45800000000000002</v>
      </c>
      <c r="H11" s="95">
        <v>0.50900000000000001</v>
      </c>
      <c r="I11" s="95">
        <f t="shared" si="0"/>
        <v>0.99062250609944968</v>
      </c>
      <c r="J11" s="95">
        <f t="shared" si="1"/>
        <v>0.96214063964686891</v>
      </c>
      <c r="K11" s="95">
        <f t="shared" si="2"/>
        <v>3.8444538104658423E-4</v>
      </c>
      <c r="L11" s="95">
        <f t="shared" si="3"/>
        <v>0.99439719859929954</v>
      </c>
      <c r="M11" s="95">
        <v>547.9</v>
      </c>
      <c r="N11" s="94">
        <v>8.4849999999999994</v>
      </c>
      <c r="O11" s="102">
        <v>7.14</v>
      </c>
      <c r="P11" s="102">
        <f t="shared" si="4"/>
        <v>82.86</v>
      </c>
      <c r="Z11" s="95">
        <v>5.43</v>
      </c>
      <c r="AA11" s="95">
        <v>8.5649999999999995</v>
      </c>
      <c r="AB11" s="95">
        <v>7.3410000000000002</v>
      </c>
      <c r="AC11" s="95">
        <v>547.9</v>
      </c>
      <c r="AD11" s="95">
        <v>524.29</v>
      </c>
      <c r="AE11" s="95">
        <v>0.83499999999999996</v>
      </c>
      <c r="AF11" s="95">
        <v>-4.8310000000000004</v>
      </c>
      <c r="AG11" s="95">
        <v>3.7789999999999997E-2</v>
      </c>
      <c r="AH11" s="95">
        <v>6.8559999999999996E-2</v>
      </c>
      <c r="AI11" s="95">
        <v>0.23988999999999999</v>
      </c>
      <c r="AJ11" s="95">
        <v>0</v>
      </c>
      <c r="AK11" s="95">
        <v>0.47449999999999998</v>
      </c>
      <c r="AL11" s="95">
        <v>39.972999999999999</v>
      </c>
      <c r="AM11" s="95">
        <v>1.45834</v>
      </c>
      <c r="AN11" s="95">
        <v>13.64</v>
      </c>
      <c r="AO11" s="95">
        <v>0</v>
      </c>
      <c r="AP11" s="95">
        <v>532.62</v>
      </c>
      <c r="AQ11" s="95">
        <v>517.59400000000005</v>
      </c>
      <c r="AR11" s="95">
        <v>517.59400000000005</v>
      </c>
      <c r="AS11" s="95">
        <v>0</v>
      </c>
      <c r="AT11" s="95">
        <v>125.62</v>
      </c>
      <c r="AU11" s="95">
        <v>12.539</v>
      </c>
      <c r="AV11" s="95">
        <v>12.787000000000001</v>
      </c>
      <c r="AW11" s="95">
        <v>13.036</v>
      </c>
      <c r="AX11" s="95">
        <v>0.498</v>
      </c>
      <c r="AY11" s="95"/>
      <c r="AZ11" s="95"/>
    </row>
    <row r="12" spans="1:87" s="96" customFormat="1" ht="18" customHeight="1" x14ac:dyDescent="0.2">
      <c r="A12" s="97"/>
      <c r="B12" s="94">
        <v>11</v>
      </c>
      <c r="C12" s="95">
        <v>8.5496599999999994</v>
      </c>
      <c r="D12" s="95">
        <v>8.5029500000000002</v>
      </c>
      <c r="E12" s="95">
        <v>556.17328999999995</v>
      </c>
      <c r="F12" s="95">
        <v>556.17328999999995</v>
      </c>
      <c r="G12" s="95">
        <v>0.41</v>
      </c>
      <c r="H12" s="95">
        <v>0.44400000000000001</v>
      </c>
      <c r="I12" s="95">
        <f t="shared" si="0"/>
        <v>0.99441307674072799</v>
      </c>
      <c r="J12" s="95">
        <f t="shared" si="1"/>
        <v>0.97522466032631783</v>
      </c>
      <c r="K12" s="95">
        <f t="shared" si="2"/>
        <v>3.7512097032094105E-4</v>
      </c>
      <c r="L12" s="95">
        <f t="shared" si="3"/>
        <v>0.99453662484823968</v>
      </c>
      <c r="M12" s="95">
        <v>547.9</v>
      </c>
      <c r="N12" s="94">
        <v>7.4560000000000004</v>
      </c>
      <c r="O12" s="102">
        <v>4.38</v>
      </c>
      <c r="P12" s="102">
        <f t="shared" si="4"/>
        <v>85.62</v>
      </c>
      <c r="Z12" s="95">
        <v>5.43</v>
      </c>
      <c r="AA12" s="95">
        <v>8.5510000000000002</v>
      </c>
      <c r="AB12" s="95">
        <v>7.3460000000000001</v>
      </c>
      <c r="AC12" s="95">
        <v>547.9</v>
      </c>
      <c r="AD12" s="95">
        <v>524.64</v>
      </c>
      <c r="AE12" s="95">
        <v>0.83499999999999996</v>
      </c>
      <c r="AF12" s="95">
        <v>-4.7469999999999999</v>
      </c>
      <c r="AG12" s="95">
        <v>3.7789999999999997E-2</v>
      </c>
      <c r="AH12" s="95">
        <v>6.8559999999999996E-2</v>
      </c>
      <c r="AI12" s="95">
        <v>0.2399</v>
      </c>
      <c r="AJ12" s="95">
        <v>0</v>
      </c>
      <c r="AK12" s="95">
        <v>0.4708</v>
      </c>
      <c r="AL12" s="95">
        <v>40.371000000000002</v>
      </c>
      <c r="AM12" s="95">
        <v>1.45845</v>
      </c>
      <c r="AN12" s="95">
        <v>14.22</v>
      </c>
      <c r="AO12" s="95">
        <v>0</v>
      </c>
      <c r="AP12" s="95">
        <v>528.67899999999997</v>
      </c>
      <c r="AQ12" s="95">
        <v>512.48299999999995</v>
      </c>
      <c r="AR12" s="95">
        <v>512.48299999999995</v>
      </c>
      <c r="AS12" s="95">
        <v>0</v>
      </c>
      <c r="AT12" s="95">
        <v>129.857</v>
      </c>
      <c r="AU12" s="95">
        <v>13.036</v>
      </c>
      <c r="AV12" s="95">
        <v>13.278</v>
      </c>
      <c r="AW12" s="95">
        <v>13.52</v>
      </c>
      <c r="AX12" s="95">
        <v>0.48399999999999999</v>
      </c>
      <c r="AY12" s="95"/>
      <c r="AZ12" s="95"/>
    </row>
    <row r="13" spans="1:87" s="96" customFormat="1" ht="18" customHeight="1" x14ac:dyDescent="0.2">
      <c r="A13" s="97"/>
      <c r="B13" s="94">
        <v>12</v>
      </c>
      <c r="C13" s="95">
        <v>8.4761350000000011</v>
      </c>
      <c r="D13" s="95">
        <v>8.4294250000000002</v>
      </c>
      <c r="E13" s="95">
        <v>558.91278999999997</v>
      </c>
      <c r="F13" s="95">
        <v>558.91278999999997</v>
      </c>
      <c r="G13" s="95">
        <v>0.372</v>
      </c>
      <c r="H13" s="95">
        <v>0.38500000000000001</v>
      </c>
      <c r="I13" s="95">
        <f t="shared" si="0"/>
        <v>0.99808846738438994</v>
      </c>
      <c r="J13" s="95">
        <f t="shared" si="1"/>
        <v>0.9878516212497026</v>
      </c>
      <c r="K13" s="95">
        <f t="shared" si="2"/>
        <v>3.7866425674008174E-4</v>
      </c>
      <c r="L13" s="95">
        <f t="shared" si="3"/>
        <v>0.99448923359526475</v>
      </c>
      <c r="M13" s="95">
        <v>547.9</v>
      </c>
      <c r="N13" s="94">
        <v>6.806</v>
      </c>
      <c r="O13" s="102">
        <v>2</v>
      </c>
      <c r="P13" s="102">
        <f t="shared" si="4"/>
        <v>88</v>
      </c>
      <c r="Z13" s="95">
        <v>5.43</v>
      </c>
      <c r="AA13" s="95">
        <v>8.5310000000000006</v>
      </c>
      <c r="AB13" s="95">
        <v>7.351</v>
      </c>
      <c r="AC13" s="95">
        <v>547.9</v>
      </c>
      <c r="AD13" s="95">
        <v>525.08000000000004</v>
      </c>
      <c r="AE13" s="95">
        <v>0.83499999999999996</v>
      </c>
      <c r="AF13" s="95">
        <v>-4.641</v>
      </c>
      <c r="AG13" s="95">
        <v>3.7789999999999997E-2</v>
      </c>
      <c r="AH13" s="95">
        <v>6.8559999999999996E-2</v>
      </c>
      <c r="AI13" s="95">
        <v>0.2399</v>
      </c>
      <c r="AJ13" s="95">
        <v>0</v>
      </c>
      <c r="AK13" s="95">
        <v>0.46610000000000001</v>
      </c>
      <c r="AL13" s="95">
        <v>40.863</v>
      </c>
      <c r="AM13" s="95">
        <v>1.4585999999999999</v>
      </c>
      <c r="AN13" s="95">
        <v>14.75</v>
      </c>
      <c r="AO13" s="95">
        <v>0</v>
      </c>
      <c r="AP13" s="95">
        <v>523.65200000000004</v>
      </c>
      <c r="AQ13" s="95">
        <v>506.39699999999999</v>
      </c>
      <c r="AR13" s="95">
        <v>506.39699999999999</v>
      </c>
      <c r="AS13" s="95">
        <v>0</v>
      </c>
      <c r="AT13" s="95">
        <v>133.316</v>
      </c>
      <c r="AU13" s="95">
        <v>13.52</v>
      </c>
      <c r="AV13" s="95">
        <v>13.756</v>
      </c>
      <c r="AW13" s="95">
        <v>13.993</v>
      </c>
      <c r="AX13" s="95">
        <v>0.47299999999999998</v>
      </c>
      <c r="AY13" s="95"/>
      <c r="AZ13" s="95"/>
    </row>
    <row r="14" spans="1:87" ht="18" customHeight="1" x14ac:dyDescent="0.2">
      <c r="A14" s="26" t="s">
        <v>113</v>
      </c>
      <c r="B14" s="26"/>
      <c r="C14" s="17">
        <v>0</v>
      </c>
      <c r="N14" s="26"/>
      <c r="O14" s="103"/>
      <c r="P14" s="103"/>
      <c r="Z14" s="17">
        <v>0</v>
      </c>
      <c r="AA14" s="17">
        <v>0</v>
      </c>
      <c r="AB14" s="17">
        <v>0</v>
      </c>
      <c r="AC14" s="17">
        <v>0</v>
      </c>
      <c r="AD14" s="17">
        <v>0</v>
      </c>
      <c r="AE14" s="17">
        <v>0</v>
      </c>
      <c r="AF14" s="17">
        <v>0</v>
      </c>
      <c r="AG14" s="17">
        <v>0</v>
      </c>
      <c r="AH14" s="17">
        <v>0</v>
      </c>
      <c r="AI14" s="17">
        <v>0</v>
      </c>
      <c r="AJ14" s="17">
        <v>0</v>
      </c>
      <c r="AK14" s="17">
        <v>0</v>
      </c>
      <c r="AL14" s="17">
        <v>0</v>
      </c>
      <c r="AM14" s="17">
        <v>0</v>
      </c>
      <c r="AN14" s="17">
        <v>0</v>
      </c>
      <c r="AO14" s="17">
        <v>0</v>
      </c>
      <c r="AP14" s="17">
        <v>0</v>
      </c>
      <c r="AQ14" s="17">
        <v>0</v>
      </c>
      <c r="AR14" s="17">
        <v>0</v>
      </c>
      <c r="AS14" s="17">
        <v>0</v>
      </c>
      <c r="AT14" s="17">
        <v>0</v>
      </c>
      <c r="AU14" s="17">
        <v>0</v>
      </c>
      <c r="AV14" s="17">
        <v>0</v>
      </c>
      <c r="AW14" s="17">
        <v>0</v>
      </c>
      <c r="AX14" s="17">
        <v>0</v>
      </c>
    </row>
    <row r="15" spans="1:87" ht="18" customHeight="1" x14ac:dyDescent="0.2">
      <c r="A15" s="26" t="s">
        <v>94</v>
      </c>
      <c r="B15" s="27">
        <v>1</v>
      </c>
      <c r="C15" s="17">
        <v>8.3498450000000002</v>
      </c>
      <c r="D15" s="17">
        <v>14.602930000000001</v>
      </c>
      <c r="E15" s="17">
        <v>545.21528999999998</v>
      </c>
      <c r="F15" s="17">
        <v>672.43767000000003</v>
      </c>
      <c r="G15" s="17">
        <v>0.57799999999999996</v>
      </c>
      <c r="H15" s="17">
        <v>0.66</v>
      </c>
      <c r="I15" s="17">
        <f t="shared" si="0"/>
        <v>1.2103092949255161</v>
      </c>
      <c r="J15" s="17">
        <f t="shared" si="1"/>
        <v>1.6372117464115992</v>
      </c>
      <c r="K15" s="17">
        <f t="shared" si="2"/>
        <v>1.2015443627537592E-2</v>
      </c>
      <c r="L15" s="17">
        <f t="shared" si="3"/>
        <v>1.7488863565730861</v>
      </c>
      <c r="M15" s="17">
        <v>652.76</v>
      </c>
      <c r="N15" s="27">
        <v>13.535</v>
      </c>
      <c r="O15" s="27">
        <v>61.65</v>
      </c>
      <c r="P15" s="103">
        <f t="shared" si="4"/>
        <v>28.35</v>
      </c>
      <c r="Z15" s="17">
        <v>5.43</v>
      </c>
      <c r="AA15" s="17">
        <v>15.129</v>
      </c>
      <c r="AB15" s="17">
        <v>9.1980000000000004</v>
      </c>
      <c r="AC15" s="17">
        <v>650.07000000000005</v>
      </c>
      <c r="AD15" s="17">
        <v>564.12</v>
      </c>
      <c r="AE15" s="17">
        <v>25.405000000000001</v>
      </c>
      <c r="AF15" s="17">
        <v>4.7290000000000001</v>
      </c>
      <c r="AG15" s="17">
        <v>4.4010000000000001E-2</v>
      </c>
      <c r="AH15" s="17">
        <v>6.8559999999999996E-2</v>
      </c>
      <c r="AI15" s="17">
        <v>0.24016000000000001</v>
      </c>
      <c r="AJ15" s="17">
        <v>0</v>
      </c>
      <c r="AK15" s="17">
        <v>0.87409999999999999</v>
      </c>
      <c r="AL15" s="17">
        <v>26.581</v>
      </c>
      <c r="AM15" s="17">
        <v>1.46045</v>
      </c>
      <c r="AN15" s="17">
        <v>48.94</v>
      </c>
      <c r="AO15" s="17">
        <v>0</v>
      </c>
      <c r="AP15" s="17">
        <v>1017.506</v>
      </c>
      <c r="AQ15" s="17">
        <v>668.39400000000001</v>
      </c>
      <c r="AR15" s="17">
        <v>668.39400000000001</v>
      </c>
      <c r="AS15" s="17">
        <v>0</v>
      </c>
      <c r="AT15" s="17">
        <v>767.18200000000002</v>
      </c>
      <c r="AU15" s="17">
        <v>8.0090000000000003</v>
      </c>
      <c r="AV15" s="17">
        <v>8.2650000000000006</v>
      </c>
      <c r="AW15" s="17">
        <v>8.5210000000000008</v>
      </c>
      <c r="AX15" s="17">
        <v>0.51200000000000001</v>
      </c>
      <c r="AY15" s="17">
        <f>AA15/AA2</f>
        <v>1.758572590956643</v>
      </c>
      <c r="AZ15" s="17">
        <f>AA15/8.65</f>
        <v>1.7490173410404624</v>
      </c>
    </row>
    <row r="16" spans="1:87" ht="18" customHeight="1" x14ac:dyDescent="0.2">
      <c r="B16" s="27">
        <v>2</v>
      </c>
      <c r="C16" s="17">
        <v>8.4700799999999994</v>
      </c>
      <c r="D16" s="17">
        <v>14.643585000000002</v>
      </c>
      <c r="E16" s="17">
        <v>545.21528999999998</v>
      </c>
      <c r="F16" s="17">
        <v>656.71294</v>
      </c>
      <c r="G16" s="17">
        <v>0.6</v>
      </c>
      <c r="H16" s="17">
        <v>0.67300000000000004</v>
      </c>
      <c r="I16" s="17">
        <f t="shared" si="0"/>
        <v>1.1839748953463949</v>
      </c>
      <c r="J16" s="17">
        <f t="shared" si="1"/>
        <v>1.6279168322155873</v>
      </c>
      <c r="K16" s="17">
        <f t="shared" si="2"/>
        <v>7.1260639984543489E-3</v>
      </c>
      <c r="L16" s="17">
        <f t="shared" si="3"/>
        <v>1.7288602941176474</v>
      </c>
      <c r="M16" s="17">
        <v>649.48</v>
      </c>
      <c r="N16" s="27">
        <v>13.122999999999999</v>
      </c>
      <c r="O16" s="27">
        <v>58.22</v>
      </c>
      <c r="P16" s="103">
        <f t="shared" si="4"/>
        <v>31.78</v>
      </c>
      <c r="Z16" s="17">
        <v>5.43</v>
      </c>
      <c r="AA16" s="17">
        <v>15.089</v>
      </c>
      <c r="AB16" s="17">
        <v>9.5180000000000007</v>
      </c>
      <c r="AC16" s="17">
        <v>648.51</v>
      </c>
      <c r="AD16" s="17">
        <v>568.70000000000005</v>
      </c>
      <c r="AE16" s="17">
        <v>25.029</v>
      </c>
      <c r="AF16" s="17">
        <v>5.83</v>
      </c>
      <c r="AG16" s="17">
        <v>4.5170000000000002E-2</v>
      </c>
      <c r="AH16" s="17">
        <v>6.8559999999999996E-2</v>
      </c>
      <c r="AI16" s="17">
        <v>0.2402</v>
      </c>
      <c r="AJ16" s="17">
        <v>0</v>
      </c>
      <c r="AK16" s="17">
        <v>0.83889999999999998</v>
      </c>
      <c r="AL16" s="17">
        <v>26.824000000000002</v>
      </c>
      <c r="AM16" s="17">
        <v>1.4600500000000001</v>
      </c>
      <c r="AN16" s="17">
        <v>48.84</v>
      </c>
      <c r="AO16" s="17">
        <v>0</v>
      </c>
      <c r="AP16" s="17">
        <v>980.48299999999995</v>
      </c>
      <c r="AQ16" s="17">
        <v>645.26099999999997</v>
      </c>
      <c r="AR16" s="17">
        <v>645.26099999999997</v>
      </c>
      <c r="AS16" s="17">
        <v>0</v>
      </c>
      <c r="AT16" s="17">
        <v>738.23099999999999</v>
      </c>
      <c r="AU16" s="17">
        <v>8.5210000000000008</v>
      </c>
      <c r="AV16" s="17">
        <v>8.7639999999999993</v>
      </c>
      <c r="AW16" s="17">
        <v>9.0079999999999991</v>
      </c>
      <c r="AX16" s="17">
        <v>0.48699999999999999</v>
      </c>
      <c r="AY16" s="17">
        <f t="shared" ref="AY16:AY78" si="5">AA16/AA3</f>
        <v>1.7541269472215764</v>
      </c>
      <c r="AZ16" s="17">
        <f t="shared" ref="AZ16:AZ79" si="6">AA16/8.65</f>
        <v>1.744393063583815</v>
      </c>
    </row>
    <row r="17" spans="1:52" ht="18" customHeight="1" x14ac:dyDescent="0.2">
      <c r="B17" s="27">
        <v>3</v>
      </c>
      <c r="C17" s="17">
        <v>8.5513900000000014</v>
      </c>
      <c r="D17" s="17">
        <v>14.684240000000001</v>
      </c>
      <c r="E17" s="17">
        <v>545.21528999999998</v>
      </c>
      <c r="F17" s="17">
        <v>648.43964999999992</v>
      </c>
      <c r="G17" s="17">
        <v>0.61699999999999999</v>
      </c>
      <c r="H17" s="17">
        <v>0.67700000000000005</v>
      </c>
      <c r="I17" s="17">
        <f t="shared" si="0"/>
        <v>1.1724105497796973</v>
      </c>
      <c r="J17" s="17">
        <f t="shared" si="1"/>
        <v>1.6331963339168705</v>
      </c>
      <c r="K17" s="17">
        <f t="shared" si="2"/>
        <v>4.5484118829967335E-3</v>
      </c>
      <c r="L17" s="17">
        <f t="shared" si="3"/>
        <v>1.7171758041675094</v>
      </c>
      <c r="M17" s="17">
        <v>647.16999999999996</v>
      </c>
      <c r="N17" s="27">
        <v>12.743</v>
      </c>
      <c r="O17" s="27">
        <v>56.28</v>
      </c>
      <c r="P17" s="103">
        <f t="shared" si="4"/>
        <v>33.72</v>
      </c>
      <c r="Z17" s="17">
        <v>5.43</v>
      </c>
      <c r="AA17" s="17">
        <v>15.048</v>
      </c>
      <c r="AB17" s="17">
        <v>9.7929999999999993</v>
      </c>
      <c r="AC17" s="17">
        <v>647.37</v>
      </c>
      <c r="AD17" s="17">
        <v>572.79</v>
      </c>
      <c r="AE17" s="17">
        <v>24.756</v>
      </c>
      <c r="AF17" s="17">
        <v>6.8109999999999999</v>
      </c>
      <c r="AG17" s="17">
        <v>4.6149999999999997E-2</v>
      </c>
      <c r="AH17" s="17">
        <v>6.8559999999999996E-2</v>
      </c>
      <c r="AI17" s="17">
        <v>0.24023</v>
      </c>
      <c r="AJ17" s="17">
        <v>0</v>
      </c>
      <c r="AK17" s="17">
        <v>0.80810000000000004</v>
      </c>
      <c r="AL17" s="17">
        <v>27.100999999999999</v>
      </c>
      <c r="AM17" s="17">
        <v>1.4598100000000001</v>
      </c>
      <c r="AN17" s="17">
        <v>48.73</v>
      </c>
      <c r="AO17" s="17">
        <v>0</v>
      </c>
      <c r="AP17" s="17">
        <v>947.92899999999997</v>
      </c>
      <c r="AQ17" s="17">
        <v>625.22400000000005</v>
      </c>
      <c r="AR17" s="17">
        <v>625.22400000000005</v>
      </c>
      <c r="AS17" s="17">
        <v>0</v>
      </c>
      <c r="AT17" s="17">
        <v>712.505</v>
      </c>
      <c r="AU17" s="17">
        <v>9.0079999999999991</v>
      </c>
      <c r="AV17" s="17">
        <v>9.2409999999999997</v>
      </c>
      <c r="AW17" s="17">
        <v>9.4749999999999996</v>
      </c>
      <c r="AX17" s="17">
        <v>0.46700000000000003</v>
      </c>
      <c r="AY17" s="17">
        <f t="shared" si="5"/>
        <v>1.7495640041855596</v>
      </c>
      <c r="AZ17" s="17">
        <f t="shared" si="6"/>
        <v>1.7396531791907515</v>
      </c>
    </row>
    <row r="18" spans="1:52" ht="18" customHeight="1" x14ac:dyDescent="0.2">
      <c r="B18" s="27">
        <v>4</v>
      </c>
      <c r="C18" s="17">
        <v>8.6067499999999999</v>
      </c>
      <c r="D18" s="17">
        <v>14.738735</v>
      </c>
      <c r="E18" s="17">
        <v>545.21528999999998</v>
      </c>
      <c r="F18" s="17">
        <v>644.43997999999988</v>
      </c>
      <c r="G18" s="17">
        <v>0.63100000000000001</v>
      </c>
      <c r="H18" s="17">
        <v>0.68400000000000005</v>
      </c>
      <c r="I18" s="17">
        <f t="shared" si="0"/>
        <v>1.1669257235584947</v>
      </c>
      <c r="J18" s="17">
        <f t="shared" si="1"/>
        <v>1.6372752561329236</v>
      </c>
      <c r="K18" s="17">
        <f t="shared" si="2"/>
        <v>3.2520072549364273E-3</v>
      </c>
      <c r="L18" s="17">
        <f t="shared" si="3"/>
        <v>1.7124623115577891</v>
      </c>
      <c r="M18" s="17">
        <v>645.88</v>
      </c>
      <c r="N18" s="27">
        <v>12.246</v>
      </c>
      <c r="O18" s="27">
        <v>53.79</v>
      </c>
      <c r="P18" s="103">
        <f t="shared" si="4"/>
        <v>36.21</v>
      </c>
      <c r="Z18" s="17">
        <v>5.43</v>
      </c>
      <c r="AA18" s="17">
        <v>15.004</v>
      </c>
      <c r="AB18" s="17">
        <v>10.032999999999999</v>
      </c>
      <c r="AC18" s="17">
        <v>646.69000000000005</v>
      </c>
      <c r="AD18" s="17">
        <v>576.62</v>
      </c>
      <c r="AE18" s="17">
        <v>24.591999999999999</v>
      </c>
      <c r="AF18" s="17">
        <v>7.7329999999999997</v>
      </c>
      <c r="AG18" s="17">
        <v>4.6960000000000002E-2</v>
      </c>
      <c r="AH18" s="17">
        <v>6.8559999999999996E-2</v>
      </c>
      <c r="AI18" s="17">
        <v>0.24026</v>
      </c>
      <c r="AJ18" s="17">
        <v>0</v>
      </c>
      <c r="AK18" s="17">
        <v>0.78069999999999995</v>
      </c>
      <c r="AL18" s="17">
        <v>27.489000000000001</v>
      </c>
      <c r="AM18" s="17">
        <v>1.4597599999999999</v>
      </c>
      <c r="AN18" s="17">
        <v>48.76</v>
      </c>
      <c r="AO18" s="17">
        <v>0</v>
      </c>
      <c r="AP18" s="17">
        <v>918.79899999999998</v>
      </c>
      <c r="AQ18" s="17">
        <v>605.69600000000003</v>
      </c>
      <c r="AR18" s="17">
        <v>605.69600000000003</v>
      </c>
      <c r="AS18" s="17">
        <v>0</v>
      </c>
      <c r="AT18" s="17">
        <v>690.88599999999997</v>
      </c>
      <c r="AU18" s="17">
        <v>9.4749999999999996</v>
      </c>
      <c r="AV18" s="17">
        <v>9.6999999999999993</v>
      </c>
      <c r="AW18" s="17">
        <v>9.9260000000000002</v>
      </c>
      <c r="AX18" s="17">
        <v>0.45100000000000001</v>
      </c>
      <c r="AY18" s="17">
        <f t="shared" si="5"/>
        <v>1.7448540527968368</v>
      </c>
      <c r="AZ18" s="17">
        <f t="shared" si="6"/>
        <v>1.7345664739884392</v>
      </c>
    </row>
    <row r="19" spans="1:52" ht="18" customHeight="1" x14ac:dyDescent="0.2">
      <c r="B19" s="27">
        <v>5</v>
      </c>
      <c r="C19" s="17">
        <v>8.6240500000000004</v>
      </c>
      <c r="D19" s="17">
        <v>14.793229999999999</v>
      </c>
      <c r="E19" s="17">
        <v>545.21528999999998</v>
      </c>
      <c r="F19" s="17">
        <v>643.07022999999992</v>
      </c>
      <c r="G19" s="17">
        <v>0.63600000000000001</v>
      </c>
      <c r="H19" s="17">
        <v>0.69399999999999995</v>
      </c>
      <c r="I19" s="17">
        <f t="shared" si="0"/>
        <v>1.1628812941670295</v>
      </c>
      <c r="J19" s="17">
        <f t="shared" si="1"/>
        <v>1.632334898581252</v>
      </c>
      <c r="K19" s="17">
        <f t="shared" si="2"/>
        <v>2.6259075094815301E-3</v>
      </c>
      <c r="L19" s="17">
        <f t="shared" si="3"/>
        <v>1.7153460381143428</v>
      </c>
      <c r="M19" s="17">
        <v>645.41999999999996</v>
      </c>
      <c r="N19" s="27">
        <v>11.746</v>
      </c>
      <c r="O19" s="27">
        <v>50.99</v>
      </c>
      <c r="P19" s="103">
        <f t="shared" si="4"/>
        <v>39.01</v>
      </c>
      <c r="Z19" s="17">
        <v>5.43</v>
      </c>
      <c r="AA19" s="17">
        <v>14.958</v>
      </c>
      <c r="AB19" s="17">
        <v>10.246</v>
      </c>
      <c r="AC19" s="17">
        <v>646.37</v>
      </c>
      <c r="AD19" s="17">
        <v>580.30999999999995</v>
      </c>
      <c r="AE19" s="17">
        <v>24.513000000000002</v>
      </c>
      <c r="AF19" s="17">
        <v>8.6180000000000003</v>
      </c>
      <c r="AG19" s="17">
        <v>4.7660000000000001E-2</v>
      </c>
      <c r="AH19" s="17">
        <v>6.8559999999999996E-2</v>
      </c>
      <c r="AI19" s="17">
        <v>0.24030000000000001</v>
      </c>
      <c r="AJ19" s="17">
        <v>0</v>
      </c>
      <c r="AK19" s="17">
        <v>0.75570000000000004</v>
      </c>
      <c r="AL19" s="17">
        <v>28.015000000000001</v>
      </c>
      <c r="AM19" s="17">
        <v>1.4598500000000001</v>
      </c>
      <c r="AN19" s="17">
        <v>48.97</v>
      </c>
      <c r="AO19" s="17">
        <v>0</v>
      </c>
      <c r="AP19" s="17">
        <v>892.15599999999995</v>
      </c>
      <c r="AQ19" s="17">
        <v>585.68499999999995</v>
      </c>
      <c r="AR19" s="17">
        <v>585.68499999999995</v>
      </c>
      <c r="AS19" s="17">
        <v>0</v>
      </c>
      <c r="AT19" s="17">
        <v>672.99099999999999</v>
      </c>
      <c r="AU19" s="17">
        <v>9.9260000000000002</v>
      </c>
      <c r="AV19" s="17">
        <v>10.145</v>
      </c>
      <c r="AW19" s="17">
        <v>10.365</v>
      </c>
      <c r="AX19" s="17">
        <v>0.439</v>
      </c>
      <c r="AY19" s="17">
        <f t="shared" si="5"/>
        <v>1.7399092706758172</v>
      </c>
      <c r="AZ19" s="17">
        <f t="shared" si="6"/>
        <v>1.7292485549132948</v>
      </c>
    </row>
    <row r="20" spans="1:52" ht="18" customHeight="1" x14ac:dyDescent="0.2">
      <c r="B20" s="27">
        <v>6</v>
      </c>
      <c r="C20" s="17">
        <v>8.6309700000000014</v>
      </c>
      <c r="D20" s="17">
        <v>14.847725000000001</v>
      </c>
      <c r="E20" s="17">
        <v>545.65360999999996</v>
      </c>
      <c r="F20" s="17">
        <v>642.96064999999999</v>
      </c>
      <c r="G20" s="17">
        <v>0.63600000000000001</v>
      </c>
      <c r="H20" s="17">
        <v>0.70499999999999996</v>
      </c>
      <c r="I20" s="17">
        <f t="shared" si="0"/>
        <v>1.1584968285059178</v>
      </c>
      <c r="J20" s="17">
        <f t="shared" si="1"/>
        <v>1.6210503896165971</v>
      </c>
      <c r="K20" s="17">
        <f t="shared" si="2"/>
        <v>2.1948533824332275E-3</v>
      </c>
      <c r="L20" s="17">
        <f t="shared" si="3"/>
        <v>1.7202846261775906</v>
      </c>
      <c r="M20" s="17">
        <v>645.38</v>
      </c>
      <c r="N20" s="27">
        <v>11.234999999999999</v>
      </c>
      <c r="O20" s="27">
        <v>47.76</v>
      </c>
      <c r="P20" s="103">
        <f t="shared" si="4"/>
        <v>42.24</v>
      </c>
      <c r="Z20" s="17">
        <v>5.43</v>
      </c>
      <c r="AA20" s="17">
        <v>14.909000000000001</v>
      </c>
      <c r="AB20" s="17">
        <v>10.438000000000001</v>
      </c>
      <c r="AC20" s="17">
        <v>646.29</v>
      </c>
      <c r="AD20" s="17">
        <v>583.87</v>
      </c>
      <c r="AE20" s="17">
        <v>24.494</v>
      </c>
      <c r="AF20" s="17">
        <v>9.4730000000000008</v>
      </c>
      <c r="AG20" s="17">
        <v>4.8250000000000001E-2</v>
      </c>
      <c r="AH20" s="17">
        <v>6.8559999999999996E-2</v>
      </c>
      <c r="AI20" s="17">
        <v>0.24032999999999999</v>
      </c>
      <c r="AJ20" s="17">
        <v>0</v>
      </c>
      <c r="AK20" s="17">
        <v>0.73240000000000005</v>
      </c>
      <c r="AL20" s="17">
        <v>28.667999999999999</v>
      </c>
      <c r="AM20" s="17">
        <v>1.46004</v>
      </c>
      <c r="AN20" s="17">
        <v>49.33</v>
      </c>
      <c r="AO20" s="17">
        <v>0</v>
      </c>
      <c r="AP20" s="17">
        <v>867.26099999999997</v>
      </c>
      <c r="AQ20" s="17">
        <v>565.22299999999996</v>
      </c>
      <c r="AR20" s="17">
        <v>565.22299999999996</v>
      </c>
      <c r="AS20" s="17">
        <v>0</v>
      </c>
      <c r="AT20" s="17">
        <v>657.77300000000002</v>
      </c>
      <c r="AU20" s="17">
        <v>10.365</v>
      </c>
      <c r="AV20" s="17">
        <v>10.581</v>
      </c>
      <c r="AW20" s="17">
        <v>10.795999999999999</v>
      </c>
      <c r="AX20" s="17">
        <v>0.43099999999999999</v>
      </c>
      <c r="AY20" s="17">
        <f t="shared" si="5"/>
        <v>1.7348149872003726</v>
      </c>
      <c r="AZ20" s="17">
        <f t="shared" si="6"/>
        <v>1.7235838150289018</v>
      </c>
    </row>
    <row r="21" spans="1:52" ht="18" customHeight="1" x14ac:dyDescent="0.2">
      <c r="B21" s="27">
        <v>7</v>
      </c>
      <c r="C21" s="17">
        <v>8.6361600000000003</v>
      </c>
      <c r="D21" s="17">
        <v>14.901355000000001</v>
      </c>
      <c r="E21" s="17">
        <v>546.31108999999992</v>
      </c>
      <c r="F21" s="17">
        <v>643.50855000000001</v>
      </c>
      <c r="G21" s="17">
        <v>0.629</v>
      </c>
      <c r="H21" s="17">
        <v>0.71799999999999997</v>
      </c>
      <c r="I21" s="17">
        <f t="shared" si="0"/>
        <v>1.152313293935779</v>
      </c>
      <c r="J21" s="17">
        <f t="shared" si="1"/>
        <v>1.5977249503684154</v>
      </c>
      <c r="K21" s="17">
        <f t="shared" si="2"/>
        <v>1.9039478783938607E-3</v>
      </c>
      <c r="L21" s="17">
        <f t="shared" si="3"/>
        <v>1.7254607371794872</v>
      </c>
      <c r="M21" s="17">
        <v>645.54</v>
      </c>
      <c r="N21" s="27">
        <v>10.711</v>
      </c>
      <c r="O21" s="27">
        <v>44.02</v>
      </c>
      <c r="P21" s="103">
        <f t="shared" si="4"/>
        <v>45.98</v>
      </c>
      <c r="Z21" s="17">
        <v>5.43</v>
      </c>
      <c r="AA21" s="17">
        <v>14.86</v>
      </c>
      <c r="AB21" s="17">
        <v>10.615</v>
      </c>
      <c r="AC21" s="17">
        <v>646.41999999999996</v>
      </c>
      <c r="AD21" s="17">
        <v>587.33000000000004</v>
      </c>
      <c r="AE21" s="17">
        <v>24.524999999999999</v>
      </c>
      <c r="AF21" s="17">
        <v>10.305999999999999</v>
      </c>
      <c r="AG21" s="17">
        <v>4.8779999999999997E-2</v>
      </c>
      <c r="AH21" s="17">
        <v>6.8559999999999996E-2</v>
      </c>
      <c r="AI21" s="17">
        <v>0.24035999999999999</v>
      </c>
      <c r="AJ21" s="17">
        <v>0</v>
      </c>
      <c r="AK21" s="17">
        <v>0.71050000000000002</v>
      </c>
      <c r="AL21" s="17">
        <v>29.437999999999999</v>
      </c>
      <c r="AM21" s="17">
        <v>1.4603200000000001</v>
      </c>
      <c r="AN21" s="17">
        <v>49.81</v>
      </c>
      <c r="AO21" s="17">
        <v>0</v>
      </c>
      <c r="AP21" s="17">
        <v>843.81600000000003</v>
      </c>
      <c r="AQ21" s="17">
        <v>544.50800000000004</v>
      </c>
      <c r="AR21" s="17">
        <v>544.50800000000004</v>
      </c>
      <c r="AS21" s="17">
        <v>0</v>
      </c>
      <c r="AT21" s="17">
        <v>644.62099999999998</v>
      </c>
      <c r="AU21" s="17">
        <v>10.795999999999999</v>
      </c>
      <c r="AV21" s="17">
        <v>11.009</v>
      </c>
      <c r="AW21" s="17">
        <v>11.222</v>
      </c>
      <c r="AX21" s="17">
        <v>0.42599999999999999</v>
      </c>
      <c r="AY21" s="17">
        <f t="shared" si="5"/>
        <v>1.729918509895227</v>
      </c>
      <c r="AZ21" s="17">
        <f t="shared" si="6"/>
        <v>1.7179190751445086</v>
      </c>
    </row>
    <row r="22" spans="1:52" ht="18" customHeight="1" x14ac:dyDescent="0.2">
      <c r="B22" s="27">
        <v>8</v>
      </c>
      <c r="C22" s="17">
        <v>8.641350000000001</v>
      </c>
      <c r="D22" s="17">
        <v>14.956715000000001</v>
      </c>
      <c r="E22" s="17">
        <v>547.68083999999999</v>
      </c>
      <c r="F22" s="17">
        <v>645.15224999999998</v>
      </c>
      <c r="G22" s="17">
        <v>0.61299999999999999</v>
      </c>
      <c r="H22" s="17">
        <v>0.73199999999999998</v>
      </c>
      <c r="I22" s="17">
        <f t="shared" si="0"/>
        <v>1.1439129925191189</v>
      </c>
      <c r="J22" s="17">
        <f t="shared" si="1"/>
        <v>1.561919898949544</v>
      </c>
      <c r="K22" s="17">
        <f t="shared" si="2"/>
        <v>1.7016343316463463E-3</v>
      </c>
      <c r="L22" s="17">
        <f t="shared" si="3"/>
        <v>1.7308308308308307</v>
      </c>
      <c r="M22" s="17">
        <v>645.97</v>
      </c>
      <c r="N22" s="27">
        <v>10.167999999999999</v>
      </c>
      <c r="O22" s="27">
        <v>39.619999999999997</v>
      </c>
      <c r="P22" s="103">
        <f t="shared" si="4"/>
        <v>50.38</v>
      </c>
      <c r="Z22" s="17">
        <v>5.43</v>
      </c>
      <c r="AA22" s="17">
        <v>14.81</v>
      </c>
      <c r="AB22" s="17">
        <v>10.778</v>
      </c>
      <c r="AC22" s="17">
        <v>646.85</v>
      </c>
      <c r="AD22" s="17">
        <v>590.86</v>
      </c>
      <c r="AE22" s="17">
        <v>24.629000000000001</v>
      </c>
      <c r="AF22" s="17">
        <v>11.154999999999999</v>
      </c>
      <c r="AG22" s="17">
        <v>4.9239999999999999E-2</v>
      </c>
      <c r="AH22" s="17">
        <v>6.8559999999999996E-2</v>
      </c>
      <c r="AI22" s="17">
        <v>0.24038999999999999</v>
      </c>
      <c r="AJ22" s="17">
        <v>0</v>
      </c>
      <c r="AK22" s="17">
        <v>0.68959999999999999</v>
      </c>
      <c r="AL22" s="17">
        <v>30.393000000000001</v>
      </c>
      <c r="AM22" s="17">
        <v>1.46071</v>
      </c>
      <c r="AN22" s="17">
        <v>50.5</v>
      </c>
      <c r="AO22" s="17">
        <v>0</v>
      </c>
      <c r="AP22" s="17">
        <v>821.41300000000001</v>
      </c>
      <c r="AQ22" s="17">
        <v>522.529</v>
      </c>
      <c r="AR22" s="17">
        <v>522.529</v>
      </c>
      <c r="AS22" s="17">
        <v>0</v>
      </c>
      <c r="AT22" s="17">
        <v>633.78399999999999</v>
      </c>
      <c r="AU22" s="17">
        <v>11.222</v>
      </c>
      <c r="AV22" s="17">
        <v>11.433999999999999</v>
      </c>
      <c r="AW22" s="17">
        <v>11.645</v>
      </c>
      <c r="AX22" s="17">
        <v>0.42299999999999999</v>
      </c>
      <c r="AY22" s="17">
        <f t="shared" si="5"/>
        <v>1.7255039030641968</v>
      </c>
      <c r="AZ22" s="17">
        <f t="shared" si="6"/>
        <v>1.7121387283236995</v>
      </c>
    </row>
    <row r="23" spans="1:52" ht="18" customHeight="1" x14ac:dyDescent="0.2">
      <c r="B23" s="27">
        <v>9</v>
      </c>
      <c r="C23" s="17">
        <v>8.6361600000000003</v>
      </c>
      <c r="D23" s="17">
        <v>15.010345000000001</v>
      </c>
      <c r="E23" s="17">
        <v>549.59849000000008</v>
      </c>
      <c r="F23" s="17">
        <v>647.94654000000003</v>
      </c>
      <c r="G23" s="17">
        <v>0.58599999999999997</v>
      </c>
      <c r="H23" s="17">
        <v>0.75</v>
      </c>
      <c r="I23" s="17">
        <f t="shared" si="0"/>
        <v>1.1325072248344739</v>
      </c>
      <c r="J23" s="17">
        <f t="shared" si="1"/>
        <v>1.5100303423387247</v>
      </c>
      <c r="K23" s="17">
        <f t="shared" si="2"/>
        <v>1.6126558837370152E-3</v>
      </c>
      <c r="L23" s="17">
        <f t="shared" si="3"/>
        <v>1.7380809294871795</v>
      </c>
      <c r="M23" s="17">
        <v>647.39</v>
      </c>
      <c r="N23" s="27">
        <v>9.6029999999999998</v>
      </c>
      <c r="O23" s="27">
        <v>34.340000000000003</v>
      </c>
      <c r="P23" s="103">
        <f t="shared" si="4"/>
        <v>55.66</v>
      </c>
      <c r="Z23" s="17">
        <v>5.43</v>
      </c>
      <c r="AA23" s="17">
        <v>14.76</v>
      </c>
      <c r="AB23" s="17">
        <v>10.932</v>
      </c>
      <c r="AC23" s="17">
        <v>647.66999999999996</v>
      </c>
      <c r="AD23" s="17">
        <v>594.58000000000004</v>
      </c>
      <c r="AE23" s="17">
        <v>24.826000000000001</v>
      </c>
      <c r="AF23" s="17">
        <v>12.048</v>
      </c>
      <c r="AG23" s="17">
        <v>4.9630000000000001E-2</v>
      </c>
      <c r="AH23" s="17">
        <v>6.8559999999999996E-2</v>
      </c>
      <c r="AI23" s="17">
        <v>0.24041999999999999</v>
      </c>
      <c r="AJ23" s="17">
        <v>0</v>
      </c>
      <c r="AK23" s="17">
        <v>0.6694</v>
      </c>
      <c r="AL23" s="17">
        <v>31.614000000000001</v>
      </c>
      <c r="AM23" s="17">
        <v>1.4612499999999999</v>
      </c>
      <c r="AN23" s="17">
        <v>51.46</v>
      </c>
      <c r="AO23" s="17">
        <v>0</v>
      </c>
      <c r="AP23" s="17">
        <v>799.88</v>
      </c>
      <c r="AQ23" s="17">
        <v>498.39400000000001</v>
      </c>
      <c r="AR23" s="17">
        <v>498.39400000000001</v>
      </c>
      <c r="AS23" s="17">
        <v>0</v>
      </c>
      <c r="AT23" s="17">
        <v>625.63</v>
      </c>
      <c r="AU23" s="17">
        <v>11.645</v>
      </c>
      <c r="AV23" s="17">
        <v>11.856999999999999</v>
      </c>
      <c r="AW23" s="17">
        <v>12.069000000000001</v>
      </c>
      <c r="AX23" s="17">
        <v>0.42399999999999999</v>
      </c>
      <c r="AY23" s="17">
        <f t="shared" si="5"/>
        <v>1.7212827988338193</v>
      </c>
      <c r="AZ23" s="17">
        <f t="shared" si="6"/>
        <v>1.70635838150289</v>
      </c>
    </row>
    <row r="24" spans="1:52" ht="18" customHeight="1" x14ac:dyDescent="0.2">
      <c r="B24" s="27">
        <v>10</v>
      </c>
      <c r="C24" s="17">
        <v>8.5972349999999995</v>
      </c>
      <c r="D24" s="17">
        <v>15.06484</v>
      </c>
      <c r="E24" s="17">
        <v>552.33798999999999</v>
      </c>
      <c r="F24" s="17">
        <v>652.98721999999998</v>
      </c>
      <c r="G24" s="17">
        <v>0.54700000000000004</v>
      </c>
      <c r="H24" s="17">
        <v>0.77400000000000002</v>
      </c>
      <c r="I24" s="17">
        <f t="shared" si="0"/>
        <v>1.1189081886226449</v>
      </c>
      <c r="J24" s="17">
        <f t="shared" si="1"/>
        <v>1.4452305253876188</v>
      </c>
      <c r="K24" s="17">
        <f t="shared" si="2"/>
        <v>1.719981665292393E-3</v>
      </c>
      <c r="L24" s="17">
        <f t="shared" si="3"/>
        <v>1.7522889626723011</v>
      </c>
      <c r="M24" s="17">
        <v>649.72</v>
      </c>
      <c r="N24" s="27">
        <v>9.0060000000000002</v>
      </c>
      <c r="O24" s="27">
        <v>27.54</v>
      </c>
      <c r="P24" s="103">
        <f t="shared" si="4"/>
        <v>62.46</v>
      </c>
      <c r="Z24" s="17">
        <v>5.43</v>
      </c>
      <c r="AA24" s="17">
        <v>14.708</v>
      </c>
      <c r="AB24" s="17">
        <v>11.08</v>
      </c>
      <c r="AC24" s="17">
        <v>649.36</v>
      </c>
      <c r="AD24" s="17">
        <v>599.04</v>
      </c>
      <c r="AE24" s="17">
        <v>25.234000000000002</v>
      </c>
      <c r="AF24" s="17">
        <v>13.121</v>
      </c>
      <c r="AG24" s="17">
        <v>4.9930000000000002E-2</v>
      </c>
      <c r="AH24" s="17">
        <v>6.8559999999999996E-2</v>
      </c>
      <c r="AI24" s="17">
        <v>0.24046999999999999</v>
      </c>
      <c r="AJ24" s="17">
        <v>0</v>
      </c>
      <c r="AK24" s="17">
        <v>0.64939999999999998</v>
      </c>
      <c r="AL24" s="17">
        <v>33.411000000000001</v>
      </c>
      <c r="AM24" s="17">
        <v>1.4621200000000001</v>
      </c>
      <c r="AN24" s="17">
        <v>52.99</v>
      </c>
      <c r="AO24" s="17">
        <v>0</v>
      </c>
      <c r="AP24" s="17">
        <v>778.80700000000002</v>
      </c>
      <c r="AQ24" s="17">
        <v>468.76799999999997</v>
      </c>
      <c r="AR24" s="17">
        <v>468.76799999999997</v>
      </c>
      <c r="AS24" s="17">
        <v>0</v>
      </c>
      <c r="AT24" s="17">
        <v>621.92999999999995</v>
      </c>
      <c r="AU24" s="17">
        <v>12.069000000000001</v>
      </c>
      <c r="AV24" s="17">
        <v>12.286</v>
      </c>
      <c r="AW24" s="17">
        <v>12.502000000000001</v>
      </c>
      <c r="AX24" s="17">
        <v>0.433</v>
      </c>
      <c r="AY24" s="17">
        <f t="shared" si="5"/>
        <v>1.7172212492702861</v>
      </c>
      <c r="AZ24" s="17">
        <f t="shared" si="6"/>
        <v>1.7003468208092485</v>
      </c>
    </row>
    <row r="25" spans="1:52" ht="18" customHeight="1" x14ac:dyDescent="0.2">
      <c r="B25" s="27">
        <v>11</v>
      </c>
      <c r="C25" s="17">
        <v>8.5029500000000002</v>
      </c>
      <c r="D25" s="17">
        <v>15.119335000000001</v>
      </c>
      <c r="E25" s="17">
        <v>556.17328999999995</v>
      </c>
      <c r="F25" s="17">
        <v>661.53445999999997</v>
      </c>
      <c r="G25" s="17">
        <v>0.48399999999999999</v>
      </c>
      <c r="H25" s="17">
        <v>0.80900000000000005</v>
      </c>
      <c r="I25" s="17">
        <f t="shared" si="0"/>
        <v>1.1010436946487967</v>
      </c>
      <c r="J25" s="17">
        <f t="shared" si="1"/>
        <v>1.3570029790638687</v>
      </c>
      <c r="K25" s="17">
        <f t="shared" si="2"/>
        <v>2.1752039906038981E-3</v>
      </c>
      <c r="L25" s="17">
        <f t="shared" si="3"/>
        <v>1.7781281790437438</v>
      </c>
      <c r="M25" s="17">
        <v>654.1</v>
      </c>
      <c r="N25" s="27">
        <v>8.359</v>
      </c>
      <c r="O25" s="27">
        <v>18.190000000000001</v>
      </c>
      <c r="P25" s="103">
        <f t="shared" si="4"/>
        <v>71.81</v>
      </c>
      <c r="Z25" s="17">
        <v>5.43</v>
      </c>
      <c r="AA25" s="17">
        <v>14.654999999999999</v>
      </c>
      <c r="AB25" s="17">
        <v>11.231</v>
      </c>
      <c r="AC25" s="17">
        <v>653.35</v>
      </c>
      <c r="AD25" s="17">
        <v>605.67999999999995</v>
      </c>
      <c r="AE25" s="17">
        <v>26.196999999999999</v>
      </c>
      <c r="AF25" s="17">
        <v>14.718</v>
      </c>
      <c r="AG25" s="17">
        <v>5.0049999999999997E-2</v>
      </c>
      <c r="AH25" s="17">
        <v>6.8559999999999996E-2</v>
      </c>
      <c r="AI25" s="17">
        <v>0.24052999999999999</v>
      </c>
      <c r="AJ25" s="17">
        <v>0</v>
      </c>
      <c r="AK25" s="17">
        <v>0.62870000000000004</v>
      </c>
      <c r="AL25" s="17">
        <v>36.795000000000002</v>
      </c>
      <c r="AM25" s="17">
        <v>1.4638500000000001</v>
      </c>
      <c r="AN25" s="17">
        <v>55.94</v>
      </c>
      <c r="AO25" s="17">
        <v>0</v>
      </c>
      <c r="AP25" s="17">
        <v>758.15899999999999</v>
      </c>
      <c r="AQ25" s="17">
        <v>424.60899999999998</v>
      </c>
      <c r="AR25" s="17">
        <v>424.60899999999998</v>
      </c>
      <c r="AS25" s="17">
        <v>0</v>
      </c>
      <c r="AT25" s="17">
        <v>628.10199999999998</v>
      </c>
      <c r="AU25" s="17">
        <v>12.502000000000001</v>
      </c>
      <c r="AV25" s="17">
        <v>12.731999999999999</v>
      </c>
      <c r="AW25" s="17">
        <v>12.962</v>
      </c>
      <c r="AX25" s="17">
        <v>0.46</v>
      </c>
      <c r="AY25" s="17">
        <f t="shared" si="5"/>
        <v>1.7138346392234824</v>
      </c>
      <c r="AZ25" s="17">
        <f t="shared" si="6"/>
        <v>1.6942196531791907</v>
      </c>
    </row>
    <row r="26" spans="1:52" ht="18" customHeight="1" x14ac:dyDescent="0.2">
      <c r="B26" s="27">
        <v>12</v>
      </c>
      <c r="C26" s="17">
        <v>8.4294250000000002</v>
      </c>
      <c r="D26" s="17">
        <v>15.14615</v>
      </c>
      <c r="E26" s="17">
        <v>558.91278999999997</v>
      </c>
      <c r="F26" s="17">
        <v>667.89009999999996</v>
      </c>
      <c r="G26" s="17">
        <v>0.44800000000000001</v>
      </c>
      <c r="H26" s="17">
        <v>0.83499999999999996</v>
      </c>
      <c r="I26" s="17">
        <f t="shared" si="0"/>
        <v>1.0908366554810607</v>
      </c>
      <c r="J26" s="17">
        <f t="shared" si="1"/>
        <v>1.3058701070751333</v>
      </c>
      <c r="K26" s="17">
        <f t="shared" si="2"/>
        <v>2.572885314949213E-3</v>
      </c>
      <c r="L26" s="17">
        <f t="shared" si="3"/>
        <v>1.7968188814776809</v>
      </c>
      <c r="M26" s="17">
        <v>666.81</v>
      </c>
      <c r="N26" s="27">
        <v>8.0090000000000003</v>
      </c>
      <c r="O26" s="27">
        <v>11.9</v>
      </c>
      <c r="P26" s="103">
        <f t="shared" si="4"/>
        <v>78.099999999999994</v>
      </c>
      <c r="Z26" s="17">
        <v>5.43</v>
      </c>
      <c r="AA26" s="17">
        <v>14.606999999999999</v>
      </c>
      <c r="AB26" s="17">
        <v>11.407999999999999</v>
      </c>
      <c r="AC26" s="17">
        <v>664.01</v>
      </c>
      <c r="AD26" s="17">
        <v>618.91</v>
      </c>
      <c r="AE26" s="17">
        <v>28.768000000000001</v>
      </c>
      <c r="AF26" s="17">
        <v>17.902000000000001</v>
      </c>
      <c r="AG26" s="17">
        <v>4.9750000000000003E-2</v>
      </c>
      <c r="AH26" s="17">
        <v>6.8559999999999996E-2</v>
      </c>
      <c r="AI26" s="17">
        <v>0.24067</v>
      </c>
      <c r="AJ26" s="17">
        <v>0</v>
      </c>
      <c r="AK26" s="17">
        <v>0.60519999999999996</v>
      </c>
      <c r="AL26" s="17">
        <v>47.685000000000002</v>
      </c>
      <c r="AM26" s="17">
        <v>1.46797</v>
      </c>
      <c r="AN26" s="17">
        <v>63.46</v>
      </c>
      <c r="AO26" s="17">
        <v>0</v>
      </c>
      <c r="AP26" s="17">
        <v>737.61300000000006</v>
      </c>
      <c r="AQ26" s="17">
        <v>329.58600000000001</v>
      </c>
      <c r="AR26" s="17">
        <v>329.58600000000001</v>
      </c>
      <c r="AS26" s="17">
        <v>0</v>
      </c>
      <c r="AT26" s="17">
        <v>659.88300000000004</v>
      </c>
      <c r="AU26" s="17">
        <v>12.962</v>
      </c>
      <c r="AV26" s="17">
        <v>13.249000000000001</v>
      </c>
      <c r="AW26" s="17">
        <v>13.535</v>
      </c>
      <c r="AX26" s="17">
        <v>0.57299999999999995</v>
      </c>
      <c r="AY26" s="17">
        <f t="shared" si="5"/>
        <v>1.7122259992966824</v>
      </c>
      <c r="AZ26" s="17">
        <f t="shared" si="6"/>
        <v>1.6886705202312138</v>
      </c>
    </row>
    <row r="27" spans="1:52" s="96" customFormat="1" ht="18" customHeight="1" x14ac:dyDescent="0.2">
      <c r="A27" s="94" t="s">
        <v>114</v>
      </c>
      <c r="B27" s="97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97"/>
      <c r="O27" s="97"/>
      <c r="P27" s="102"/>
      <c r="Z27" s="95">
        <v>0</v>
      </c>
      <c r="AA27" s="95">
        <v>0</v>
      </c>
      <c r="AB27" s="95">
        <v>0</v>
      </c>
      <c r="AC27" s="95">
        <v>0</v>
      </c>
      <c r="AD27" s="95">
        <v>0</v>
      </c>
      <c r="AE27" s="95">
        <v>0</v>
      </c>
      <c r="AF27" s="95">
        <v>0</v>
      </c>
      <c r="AG27" s="95">
        <v>0</v>
      </c>
      <c r="AH27" s="95">
        <v>0</v>
      </c>
      <c r="AI27" s="95">
        <v>0</v>
      </c>
      <c r="AJ27" s="95">
        <v>0</v>
      </c>
      <c r="AK27" s="95">
        <v>0</v>
      </c>
      <c r="AL27" s="95">
        <v>0</v>
      </c>
      <c r="AM27" s="95">
        <v>0</v>
      </c>
      <c r="AN27" s="95">
        <v>0</v>
      </c>
      <c r="AO27" s="95">
        <v>0</v>
      </c>
      <c r="AP27" s="95">
        <v>0</v>
      </c>
      <c r="AQ27" s="95">
        <v>0</v>
      </c>
      <c r="AR27" s="95">
        <v>0</v>
      </c>
      <c r="AS27" s="95">
        <v>0</v>
      </c>
      <c r="AT27" s="95">
        <v>0</v>
      </c>
      <c r="AU27" s="95">
        <v>0</v>
      </c>
      <c r="AV27" s="95">
        <v>0</v>
      </c>
      <c r="AW27" s="95">
        <v>0</v>
      </c>
      <c r="AX27" s="95">
        <v>0</v>
      </c>
      <c r="AY27" s="95"/>
      <c r="AZ27" s="95"/>
    </row>
    <row r="28" spans="1:52" s="96" customFormat="1" ht="18" customHeight="1" x14ac:dyDescent="0.2">
      <c r="A28" s="97"/>
      <c r="B28" s="97">
        <v>1</v>
      </c>
      <c r="C28" s="95">
        <v>14.602930000000001</v>
      </c>
      <c r="D28" s="95">
        <v>14.257795000000002</v>
      </c>
      <c r="E28" s="95">
        <v>672.43767000000003</v>
      </c>
      <c r="F28" s="95">
        <v>672.43767000000003</v>
      </c>
      <c r="G28" s="95">
        <v>0.66100000000000003</v>
      </c>
      <c r="H28" s="95">
        <v>0.45</v>
      </c>
      <c r="I28" s="95">
        <f t="shared" si="0"/>
        <v>1.045059298414224</v>
      </c>
      <c r="J28" s="95">
        <f t="shared" si="1"/>
        <v>1.1392148324407427</v>
      </c>
      <c r="K28" s="95">
        <f t="shared" si="2"/>
        <v>1.6429131317363711E-3</v>
      </c>
      <c r="L28" s="95">
        <f t="shared" si="3"/>
        <v>0.97636535955455517</v>
      </c>
      <c r="M28" s="95">
        <v>652.76</v>
      </c>
      <c r="N28" s="98">
        <v>13.3082867782893</v>
      </c>
      <c r="O28" s="97">
        <v>24.9</v>
      </c>
      <c r="P28" s="102">
        <f t="shared" si="4"/>
        <v>65.099999999999994</v>
      </c>
      <c r="Z28" s="95">
        <v>5.43</v>
      </c>
      <c r="AA28" s="95">
        <v>14.618</v>
      </c>
      <c r="AB28" s="95">
        <v>12.685</v>
      </c>
      <c r="AC28" s="95">
        <v>650.07000000000005</v>
      </c>
      <c r="AD28" s="95">
        <v>624.36</v>
      </c>
      <c r="AE28" s="95">
        <v>25.405000000000001</v>
      </c>
      <c r="AF28" s="95">
        <v>19.212</v>
      </c>
      <c r="AG28" s="95">
        <v>5.484E-2</v>
      </c>
      <c r="AH28" s="95">
        <v>6.8559999999999996E-2</v>
      </c>
      <c r="AI28" s="95">
        <v>0.24073</v>
      </c>
      <c r="AJ28" s="95">
        <v>0</v>
      </c>
      <c r="AK28" s="95">
        <v>0.45490000000000003</v>
      </c>
      <c r="AL28" s="95">
        <v>26.478999999999999</v>
      </c>
      <c r="AM28" s="95">
        <v>1.4628000000000001</v>
      </c>
      <c r="AN28" s="95">
        <v>14.77</v>
      </c>
      <c r="AO28" s="95">
        <v>0</v>
      </c>
      <c r="AP28" s="95">
        <v>556.88</v>
      </c>
      <c r="AQ28" s="95">
        <v>538.476</v>
      </c>
      <c r="AR28" s="95">
        <v>538.476</v>
      </c>
      <c r="AS28" s="95">
        <v>0</v>
      </c>
      <c r="AT28" s="95">
        <v>141.983</v>
      </c>
      <c r="AU28" s="95">
        <v>8.5399999999999991</v>
      </c>
      <c r="AV28" s="95">
        <v>8.7799999999999994</v>
      </c>
      <c r="AW28" s="95">
        <v>9.02</v>
      </c>
      <c r="AX28" s="95">
        <v>0.48</v>
      </c>
      <c r="AY28" s="95">
        <f t="shared" si="5"/>
        <v>0.96622380857954926</v>
      </c>
      <c r="AZ28" s="95">
        <f t="shared" si="6"/>
        <v>1.6899421965317918</v>
      </c>
    </row>
    <row r="29" spans="1:52" s="96" customFormat="1" ht="18" customHeight="1" x14ac:dyDescent="0.2">
      <c r="A29" s="97"/>
      <c r="B29" s="97">
        <v>2</v>
      </c>
      <c r="C29" s="95">
        <v>14.643585000000002</v>
      </c>
      <c r="D29" s="95">
        <v>14.324400000000001</v>
      </c>
      <c r="E29" s="95">
        <v>656.60335999999995</v>
      </c>
      <c r="F29" s="95">
        <v>656.60335999999995</v>
      </c>
      <c r="G29" s="95">
        <v>0.67700000000000005</v>
      </c>
      <c r="H29" s="95">
        <v>0.46500000000000002</v>
      </c>
      <c r="I29" s="95">
        <f t="shared" si="0"/>
        <v>1.0464136420495664</v>
      </c>
      <c r="J29" s="95">
        <f t="shared" si="1"/>
        <v>1.1465444663234314</v>
      </c>
      <c r="K29" s="95">
        <f t="shared" si="2"/>
        <v>1.514106095155043E-3</v>
      </c>
      <c r="L29" s="95">
        <f t="shared" si="3"/>
        <v>0.9782030834662413</v>
      </c>
      <c r="M29" s="95">
        <v>649.48</v>
      </c>
      <c r="N29" s="98">
        <v>12.95908401020438</v>
      </c>
      <c r="O29" s="97">
        <v>19.96</v>
      </c>
      <c r="P29" s="102">
        <f t="shared" si="4"/>
        <v>70.039999999999992</v>
      </c>
      <c r="Z29" s="95">
        <v>5.43</v>
      </c>
      <c r="AA29" s="95">
        <v>14.679</v>
      </c>
      <c r="AB29" s="95">
        <v>12.696999999999999</v>
      </c>
      <c r="AC29" s="95">
        <v>648.51</v>
      </c>
      <c r="AD29" s="95">
        <v>622.28</v>
      </c>
      <c r="AE29" s="95">
        <v>25.029</v>
      </c>
      <c r="AF29" s="95">
        <v>18.710999999999999</v>
      </c>
      <c r="AG29" s="95">
        <v>5.5070000000000001E-2</v>
      </c>
      <c r="AH29" s="95">
        <v>6.8559999999999996E-2</v>
      </c>
      <c r="AI29" s="95">
        <v>0.24071000000000001</v>
      </c>
      <c r="AJ29" s="95">
        <v>0</v>
      </c>
      <c r="AK29" s="95">
        <v>0.4602</v>
      </c>
      <c r="AL29" s="95">
        <v>25.94</v>
      </c>
      <c r="AM29" s="95">
        <v>1.46194</v>
      </c>
      <c r="AN29" s="95">
        <v>13.31</v>
      </c>
      <c r="AO29" s="95">
        <v>0</v>
      </c>
      <c r="AP29" s="95">
        <v>562.45899999999995</v>
      </c>
      <c r="AQ29" s="95">
        <v>547.35599999999999</v>
      </c>
      <c r="AR29" s="95">
        <v>547.35599999999999</v>
      </c>
      <c r="AS29" s="95">
        <v>0</v>
      </c>
      <c r="AT29" s="95">
        <v>129.464</v>
      </c>
      <c r="AU29" s="95">
        <v>9.02</v>
      </c>
      <c r="AV29" s="95">
        <v>9.2439999999999998</v>
      </c>
      <c r="AW29" s="95">
        <v>9.4670000000000005</v>
      </c>
      <c r="AX29" s="95">
        <v>0.44700000000000001</v>
      </c>
      <c r="AY29" s="95">
        <f t="shared" si="5"/>
        <v>0.97282788786533236</v>
      </c>
      <c r="AZ29" s="95">
        <f t="shared" si="6"/>
        <v>1.6969942196531791</v>
      </c>
    </row>
    <row r="30" spans="1:52" s="96" customFormat="1" ht="18" customHeight="1" x14ac:dyDescent="0.2">
      <c r="A30" s="97"/>
      <c r="B30" s="97">
        <v>3</v>
      </c>
      <c r="C30" s="95">
        <v>14.684240000000001</v>
      </c>
      <c r="D30" s="95">
        <v>14.393599999999999</v>
      </c>
      <c r="E30" s="95">
        <v>648.38486</v>
      </c>
      <c r="F30" s="95">
        <v>648.38486</v>
      </c>
      <c r="G30" s="95">
        <v>0.68799999999999994</v>
      </c>
      <c r="H30" s="95">
        <v>0.47899999999999998</v>
      </c>
      <c r="I30" s="95">
        <f t="shared" si="0"/>
        <v>1.0466403579273578</v>
      </c>
      <c r="J30" s="95">
        <f t="shared" si="1"/>
        <v>1.1497651069822514</v>
      </c>
      <c r="K30" s="95">
        <f t="shared" si="2"/>
        <v>1.3738119942454559E-3</v>
      </c>
      <c r="L30" s="95">
        <f t="shared" si="3"/>
        <v>0.98020735155513661</v>
      </c>
      <c r="M30" s="95">
        <v>647.16999999999996</v>
      </c>
      <c r="N30" s="98">
        <v>12.626022520012901</v>
      </c>
      <c r="O30" s="97">
        <v>17.12</v>
      </c>
      <c r="P30" s="102">
        <f t="shared" si="4"/>
        <v>72.88</v>
      </c>
      <c r="Z30" s="95">
        <v>5.43</v>
      </c>
      <c r="AA30" s="95">
        <v>14.704000000000001</v>
      </c>
      <c r="AB30" s="95">
        <v>12.705</v>
      </c>
      <c r="AC30" s="95">
        <v>647.37</v>
      </c>
      <c r="AD30" s="95">
        <v>621</v>
      </c>
      <c r="AE30" s="95">
        <v>24.756</v>
      </c>
      <c r="AF30" s="95">
        <v>18.402999999999999</v>
      </c>
      <c r="AG30" s="95">
        <v>5.5219999999999998E-2</v>
      </c>
      <c r="AH30" s="95">
        <v>6.8559999999999996E-2</v>
      </c>
      <c r="AI30" s="95">
        <v>0.24068999999999999</v>
      </c>
      <c r="AJ30" s="95">
        <v>0</v>
      </c>
      <c r="AK30" s="95">
        <v>0.46200000000000002</v>
      </c>
      <c r="AL30" s="95">
        <v>25.727</v>
      </c>
      <c r="AM30" s="95">
        <v>1.4614</v>
      </c>
      <c r="AN30" s="95">
        <v>12.61</v>
      </c>
      <c r="AO30" s="95">
        <v>0</v>
      </c>
      <c r="AP30" s="95">
        <v>563.99199999999996</v>
      </c>
      <c r="AQ30" s="95">
        <v>550.37800000000004</v>
      </c>
      <c r="AR30" s="95">
        <v>550.37800000000004</v>
      </c>
      <c r="AS30" s="95">
        <v>0</v>
      </c>
      <c r="AT30" s="95">
        <v>123.167</v>
      </c>
      <c r="AU30" s="95">
        <v>9.4670000000000005</v>
      </c>
      <c r="AV30" s="95">
        <v>9.6780000000000008</v>
      </c>
      <c r="AW30" s="95">
        <v>9.89</v>
      </c>
      <c r="AX30" s="95">
        <v>0.42299999999999999</v>
      </c>
      <c r="AY30" s="95">
        <f t="shared" si="5"/>
        <v>0.97713981924508242</v>
      </c>
      <c r="AZ30" s="95">
        <f t="shared" si="6"/>
        <v>1.6998843930635839</v>
      </c>
    </row>
    <row r="31" spans="1:52" s="96" customFormat="1" ht="18" customHeight="1" x14ac:dyDescent="0.2">
      <c r="A31" s="97"/>
      <c r="B31" s="97">
        <v>4</v>
      </c>
      <c r="C31" s="95">
        <v>14.738735</v>
      </c>
      <c r="D31" s="95">
        <v>14.471450000000001</v>
      </c>
      <c r="E31" s="95">
        <v>644.38518999999997</v>
      </c>
      <c r="F31" s="95">
        <v>644.38518999999997</v>
      </c>
      <c r="G31" s="95">
        <v>0.70099999999999996</v>
      </c>
      <c r="H31" s="95">
        <v>0.495</v>
      </c>
      <c r="I31" s="95">
        <f t="shared" si="0"/>
        <v>1.0469732746745726</v>
      </c>
      <c r="J31" s="95">
        <f t="shared" si="1"/>
        <v>1.1529923444208297</v>
      </c>
      <c r="K31" s="95">
        <f t="shared" si="2"/>
        <v>1.2579981889616204E-3</v>
      </c>
      <c r="L31" s="95">
        <f t="shared" si="3"/>
        <v>0.98186513293033628</v>
      </c>
      <c r="M31" s="95">
        <v>645.88</v>
      </c>
      <c r="N31" s="98">
        <v>12.190601706594727</v>
      </c>
      <c r="O31" s="97">
        <v>15.45</v>
      </c>
      <c r="P31" s="102">
        <f t="shared" si="4"/>
        <v>74.55</v>
      </c>
      <c r="Z31" s="95">
        <v>5.43</v>
      </c>
      <c r="AA31" s="95">
        <v>14.696</v>
      </c>
      <c r="AB31" s="95">
        <v>12.712999999999999</v>
      </c>
      <c r="AC31" s="95">
        <v>646.69000000000005</v>
      </c>
      <c r="AD31" s="95">
        <v>620.54999999999995</v>
      </c>
      <c r="AE31" s="95">
        <v>24.591999999999999</v>
      </c>
      <c r="AF31" s="95">
        <v>18.295000000000002</v>
      </c>
      <c r="AG31" s="95">
        <v>5.5300000000000002E-2</v>
      </c>
      <c r="AH31" s="95">
        <v>6.8559999999999996E-2</v>
      </c>
      <c r="AI31" s="95">
        <v>0.24068999999999999</v>
      </c>
      <c r="AJ31" s="95">
        <v>0</v>
      </c>
      <c r="AK31" s="95">
        <v>0.46010000000000001</v>
      </c>
      <c r="AL31" s="95">
        <v>25.798999999999999</v>
      </c>
      <c r="AM31" s="95">
        <v>1.4611799999999999</v>
      </c>
      <c r="AN31" s="95">
        <v>12.55</v>
      </c>
      <c r="AO31" s="95">
        <v>0</v>
      </c>
      <c r="AP31" s="95">
        <v>561.529</v>
      </c>
      <c r="AQ31" s="95">
        <v>548.10699999999997</v>
      </c>
      <c r="AR31" s="95">
        <v>548.10699999999997</v>
      </c>
      <c r="AS31" s="95">
        <v>0</v>
      </c>
      <c r="AT31" s="95">
        <v>122.039</v>
      </c>
      <c r="AU31" s="95">
        <v>9.89</v>
      </c>
      <c r="AV31" s="95">
        <v>10.093</v>
      </c>
      <c r="AW31" s="95">
        <v>10.297000000000001</v>
      </c>
      <c r="AX31" s="95">
        <v>0.40699999999999997</v>
      </c>
      <c r="AY31" s="95">
        <f t="shared" si="5"/>
        <v>0.97947214076246336</v>
      </c>
      <c r="AZ31" s="95">
        <f t="shared" si="6"/>
        <v>1.6989595375722542</v>
      </c>
    </row>
    <row r="32" spans="1:52" s="96" customFormat="1" ht="18" customHeight="1" x14ac:dyDescent="0.2">
      <c r="A32" s="97"/>
      <c r="B32" s="97">
        <v>5</v>
      </c>
      <c r="C32" s="95">
        <v>14.793229999999999</v>
      </c>
      <c r="D32" s="95">
        <v>14.526810000000001</v>
      </c>
      <c r="E32" s="95">
        <v>643.01544000000001</v>
      </c>
      <c r="F32" s="95">
        <v>643.01544000000001</v>
      </c>
      <c r="G32" s="95">
        <v>0.71299999999999997</v>
      </c>
      <c r="H32" s="95">
        <v>0.50700000000000001</v>
      </c>
      <c r="I32" s="95">
        <f t="shared" si="0"/>
        <v>1.0478062882807444</v>
      </c>
      <c r="J32" s="95">
        <f t="shared" si="1"/>
        <v>1.1563538440508088</v>
      </c>
      <c r="K32" s="95">
        <f t="shared" si="2"/>
        <v>1.2493120056114963E-3</v>
      </c>
      <c r="L32" s="95">
        <f t="shared" si="3"/>
        <v>0.98199041047830671</v>
      </c>
      <c r="M32" s="95">
        <v>645.41999999999996</v>
      </c>
      <c r="N32" s="98">
        <v>11.754393513767116</v>
      </c>
      <c r="O32" s="97">
        <v>14.8</v>
      </c>
      <c r="P32" s="102">
        <f t="shared" si="4"/>
        <v>75.2</v>
      </c>
      <c r="Z32" s="95">
        <v>5.43</v>
      </c>
      <c r="AA32" s="95">
        <v>14.663</v>
      </c>
      <c r="AB32" s="95">
        <v>12.72</v>
      </c>
      <c r="AC32" s="95">
        <v>646.37</v>
      </c>
      <c r="AD32" s="95">
        <v>620.73</v>
      </c>
      <c r="AE32" s="95">
        <v>24.513000000000002</v>
      </c>
      <c r="AF32" s="95">
        <v>18.34</v>
      </c>
      <c r="AG32" s="95">
        <v>5.5309999999999998E-2</v>
      </c>
      <c r="AH32" s="95">
        <v>6.8559999999999996E-2</v>
      </c>
      <c r="AI32" s="95">
        <v>0.24068999999999999</v>
      </c>
      <c r="AJ32" s="95">
        <v>0</v>
      </c>
      <c r="AK32" s="95">
        <v>0.45550000000000002</v>
      </c>
      <c r="AL32" s="95">
        <v>26.088000000000001</v>
      </c>
      <c r="AM32" s="95">
        <v>1.46122</v>
      </c>
      <c r="AN32" s="95">
        <v>12.91</v>
      </c>
      <c r="AO32" s="95">
        <v>0</v>
      </c>
      <c r="AP32" s="95">
        <v>555.96600000000001</v>
      </c>
      <c r="AQ32" s="95">
        <v>541.91399999999999</v>
      </c>
      <c r="AR32" s="95">
        <v>541.91399999999999</v>
      </c>
      <c r="AS32" s="95">
        <v>0</v>
      </c>
      <c r="AT32" s="95">
        <v>124.205</v>
      </c>
      <c r="AU32" s="95">
        <v>10.297000000000001</v>
      </c>
      <c r="AV32" s="95">
        <v>10.494999999999999</v>
      </c>
      <c r="AW32" s="95">
        <v>10.692</v>
      </c>
      <c r="AX32" s="95">
        <v>0.39600000000000002</v>
      </c>
      <c r="AY32" s="95">
        <f t="shared" si="5"/>
        <v>0.98027811204706516</v>
      </c>
      <c r="AZ32" s="95">
        <f t="shared" si="6"/>
        <v>1.6951445086705201</v>
      </c>
    </row>
    <row r="33" spans="1:52" s="96" customFormat="1" ht="18" customHeight="1" x14ac:dyDescent="0.2">
      <c r="A33" s="97"/>
      <c r="B33" s="97">
        <v>6</v>
      </c>
      <c r="C33" s="95">
        <v>14.847725000000001</v>
      </c>
      <c r="D33" s="95">
        <v>14.57525</v>
      </c>
      <c r="E33" s="95">
        <v>642.96064999999999</v>
      </c>
      <c r="F33" s="95">
        <v>642.96064999999999</v>
      </c>
      <c r="G33" s="95">
        <v>0.72699999999999998</v>
      </c>
      <c r="H33" s="95">
        <v>0.51800000000000002</v>
      </c>
      <c r="I33" s="95">
        <f t="shared" si="0"/>
        <v>1.0493904702899821</v>
      </c>
      <c r="J33" s="95">
        <f t="shared" si="1"/>
        <v>1.1620799371931465</v>
      </c>
      <c r="K33" s="95">
        <f t="shared" si="2"/>
        <v>1.2732830529629691E-3</v>
      </c>
      <c r="L33" s="95">
        <f t="shared" si="3"/>
        <v>0.98164870375764635</v>
      </c>
      <c r="M33" s="95">
        <v>645.38</v>
      </c>
      <c r="N33" s="98">
        <v>11.312279975368735</v>
      </c>
      <c r="O33" s="97">
        <v>14.16</v>
      </c>
      <c r="P33" s="102">
        <f t="shared" si="4"/>
        <v>75.84</v>
      </c>
      <c r="Z33" s="95">
        <v>5.43</v>
      </c>
      <c r="AA33" s="95">
        <v>14.627000000000001</v>
      </c>
      <c r="AB33" s="95">
        <v>12.727</v>
      </c>
      <c r="AC33" s="95">
        <v>646.29</v>
      </c>
      <c r="AD33" s="95">
        <v>621.19000000000005</v>
      </c>
      <c r="AE33" s="95">
        <v>24.494</v>
      </c>
      <c r="AF33" s="95">
        <v>18.449000000000002</v>
      </c>
      <c r="AG33" s="95">
        <v>5.5300000000000002E-2</v>
      </c>
      <c r="AH33" s="95">
        <v>6.8559999999999996E-2</v>
      </c>
      <c r="AI33" s="95">
        <v>0.2407</v>
      </c>
      <c r="AJ33" s="95">
        <v>0</v>
      </c>
      <c r="AK33" s="95">
        <v>0.4506</v>
      </c>
      <c r="AL33" s="95">
        <v>26.419</v>
      </c>
      <c r="AM33" s="95">
        <v>1.46136</v>
      </c>
      <c r="AN33" s="95">
        <v>13.38</v>
      </c>
      <c r="AO33" s="95">
        <v>0</v>
      </c>
      <c r="AP33" s="95">
        <v>550.15099999999995</v>
      </c>
      <c r="AQ33" s="95">
        <v>535.21500000000003</v>
      </c>
      <c r="AR33" s="95">
        <v>535.21500000000003</v>
      </c>
      <c r="AS33" s="95">
        <v>0</v>
      </c>
      <c r="AT33" s="95">
        <v>127.321</v>
      </c>
      <c r="AU33" s="95">
        <v>10.692</v>
      </c>
      <c r="AV33" s="95">
        <v>10.885999999999999</v>
      </c>
      <c r="AW33" s="95">
        <v>11.079000000000001</v>
      </c>
      <c r="AX33" s="95">
        <v>0.38600000000000001</v>
      </c>
      <c r="AY33" s="95">
        <f t="shared" si="5"/>
        <v>0.98108525051982021</v>
      </c>
      <c r="AZ33" s="95">
        <f t="shared" si="6"/>
        <v>1.6909826589595376</v>
      </c>
    </row>
    <row r="34" spans="1:52" s="96" customFormat="1" ht="18" customHeight="1" x14ac:dyDescent="0.2">
      <c r="A34" s="97"/>
      <c r="B34" s="97">
        <v>7</v>
      </c>
      <c r="C34" s="95">
        <v>14.902220000000002</v>
      </c>
      <c r="D34" s="95">
        <v>14.622824999999999</v>
      </c>
      <c r="E34" s="95">
        <v>643.45375999999999</v>
      </c>
      <c r="F34" s="95">
        <v>643.45375999999999</v>
      </c>
      <c r="G34" s="95">
        <v>0.74199999999999999</v>
      </c>
      <c r="H34" s="95">
        <v>0.52800000000000002</v>
      </c>
      <c r="I34" s="95">
        <f t="shared" si="0"/>
        <v>1.0514853420787817</v>
      </c>
      <c r="J34" s="95">
        <f t="shared" si="1"/>
        <v>1.169746063082628</v>
      </c>
      <c r="K34" s="95">
        <f t="shared" si="2"/>
        <v>1.3011789854485544E-3</v>
      </c>
      <c r="L34" s="95">
        <f t="shared" si="3"/>
        <v>0.9812514511260737</v>
      </c>
      <c r="M34" s="95">
        <v>645.54</v>
      </c>
      <c r="N34" s="98">
        <v>10.86071788405712</v>
      </c>
      <c r="O34" s="97">
        <v>13.51</v>
      </c>
      <c r="P34" s="102">
        <f t="shared" si="4"/>
        <v>76.489999999999995</v>
      </c>
      <c r="Z34" s="95">
        <v>5.43</v>
      </c>
      <c r="AA34" s="95">
        <v>14.585000000000001</v>
      </c>
      <c r="AB34" s="95">
        <v>12.734</v>
      </c>
      <c r="AC34" s="95">
        <v>646.41999999999996</v>
      </c>
      <c r="AD34" s="95">
        <v>621.91</v>
      </c>
      <c r="AE34" s="95">
        <v>24.524999999999999</v>
      </c>
      <c r="AF34" s="95">
        <v>18.623000000000001</v>
      </c>
      <c r="AG34" s="95">
        <v>5.5259999999999997E-2</v>
      </c>
      <c r="AH34" s="95">
        <v>6.8559999999999996E-2</v>
      </c>
      <c r="AI34" s="95">
        <v>0.2407</v>
      </c>
      <c r="AJ34" s="95">
        <v>0</v>
      </c>
      <c r="AK34" s="95">
        <v>0.44500000000000001</v>
      </c>
      <c r="AL34" s="95">
        <v>26.81</v>
      </c>
      <c r="AM34" s="95">
        <v>1.4616</v>
      </c>
      <c r="AN34" s="95">
        <v>13.9</v>
      </c>
      <c r="AO34" s="95">
        <v>0</v>
      </c>
      <c r="AP34" s="95">
        <v>543.64499999999998</v>
      </c>
      <c r="AQ34" s="95">
        <v>527.73500000000001</v>
      </c>
      <c r="AR34" s="95">
        <v>527.73500000000001</v>
      </c>
      <c r="AS34" s="95">
        <v>0</v>
      </c>
      <c r="AT34" s="95">
        <v>130.56100000000001</v>
      </c>
      <c r="AU34" s="95">
        <v>11.079000000000001</v>
      </c>
      <c r="AV34" s="95">
        <v>11.268000000000001</v>
      </c>
      <c r="AW34" s="95">
        <v>11.457000000000001</v>
      </c>
      <c r="AX34" s="95">
        <v>0.379</v>
      </c>
      <c r="AY34" s="95">
        <f t="shared" si="5"/>
        <v>0.98149394347240926</v>
      </c>
      <c r="AZ34" s="95">
        <f t="shared" si="6"/>
        <v>1.6861271676300578</v>
      </c>
    </row>
    <row r="35" spans="1:52" s="96" customFormat="1" ht="18" customHeight="1" x14ac:dyDescent="0.2">
      <c r="A35" s="97"/>
      <c r="B35" s="97">
        <v>8</v>
      </c>
      <c r="C35" s="95">
        <v>14.956715000000001</v>
      </c>
      <c r="D35" s="95">
        <v>14.661750000000001</v>
      </c>
      <c r="E35" s="95">
        <v>645.20704000000001</v>
      </c>
      <c r="F35" s="95">
        <v>645.20704000000001</v>
      </c>
      <c r="G35" s="95">
        <v>0.75900000000000001</v>
      </c>
      <c r="H35" s="95">
        <v>0.53500000000000003</v>
      </c>
      <c r="I35" s="95">
        <f t="shared" si="0"/>
        <v>1.054832323633595</v>
      </c>
      <c r="J35" s="95">
        <f t="shared" si="1"/>
        <v>1.1816574441725536</v>
      </c>
      <c r="K35" s="95">
        <f t="shared" si="2"/>
        <v>1.3694031765954587E-3</v>
      </c>
      <c r="L35" s="95">
        <f t="shared" si="3"/>
        <v>0.98027875773523798</v>
      </c>
      <c r="M35" s="95">
        <v>645.97</v>
      </c>
      <c r="N35" s="98">
        <v>10.395376653080374</v>
      </c>
      <c r="O35" s="97">
        <v>12.92</v>
      </c>
      <c r="P35" s="102">
        <f t="shared" si="4"/>
        <v>77.08</v>
      </c>
      <c r="Z35" s="95">
        <v>5.43</v>
      </c>
      <c r="AA35" s="95">
        <v>14.54</v>
      </c>
      <c r="AB35" s="95">
        <v>12.74</v>
      </c>
      <c r="AC35" s="95">
        <v>646.85</v>
      </c>
      <c r="AD35" s="95">
        <v>622.97</v>
      </c>
      <c r="AE35" s="95">
        <v>24.629000000000001</v>
      </c>
      <c r="AF35" s="95">
        <v>18.878</v>
      </c>
      <c r="AG35" s="95">
        <v>5.5199999999999999E-2</v>
      </c>
      <c r="AH35" s="95">
        <v>6.8559999999999996E-2</v>
      </c>
      <c r="AI35" s="95">
        <v>0.24071000000000001</v>
      </c>
      <c r="AJ35" s="95">
        <v>0</v>
      </c>
      <c r="AK35" s="95">
        <v>0.43890000000000001</v>
      </c>
      <c r="AL35" s="95">
        <v>27.254000000000001</v>
      </c>
      <c r="AM35" s="95">
        <v>1.46197</v>
      </c>
      <c r="AN35" s="95">
        <v>14.42</v>
      </c>
      <c r="AO35" s="95">
        <v>0</v>
      </c>
      <c r="AP35" s="95">
        <v>536.65700000000004</v>
      </c>
      <c r="AQ35" s="95">
        <v>519.73900000000003</v>
      </c>
      <c r="AR35" s="95">
        <v>519.73900000000003</v>
      </c>
      <c r="AS35" s="95">
        <v>0</v>
      </c>
      <c r="AT35" s="95">
        <v>133.68299999999999</v>
      </c>
      <c r="AU35" s="95">
        <v>11.457000000000001</v>
      </c>
      <c r="AV35" s="95">
        <v>11.644</v>
      </c>
      <c r="AW35" s="95">
        <v>11.83</v>
      </c>
      <c r="AX35" s="95">
        <v>0.373</v>
      </c>
      <c r="AY35" s="95">
        <f t="shared" si="5"/>
        <v>0.9817690749493585</v>
      </c>
      <c r="AZ35" s="95">
        <f t="shared" si="6"/>
        <v>1.6809248554913294</v>
      </c>
    </row>
    <row r="36" spans="1:52" s="96" customFormat="1" ht="18" customHeight="1" x14ac:dyDescent="0.2">
      <c r="A36" s="97"/>
      <c r="B36" s="97">
        <v>9</v>
      </c>
      <c r="C36" s="95">
        <v>15.010345000000001</v>
      </c>
      <c r="D36" s="95">
        <v>14.699810000000001</v>
      </c>
      <c r="E36" s="95">
        <v>647.89175</v>
      </c>
      <c r="F36" s="95">
        <v>647.89175</v>
      </c>
      <c r="G36" s="95">
        <v>0.77800000000000002</v>
      </c>
      <c r="H36" s="95">
        <v>0.54200000000000004</v>
      </c>
      <c r="I36" s="95">
        <f t="shared" si="0"/>
        <v>1.0588465976193877</v>
      </c>
      <c r="J36" s="95">
        <f t="shared" si="1"/>
        <v>1.1962906439289771</v>
      </c>
      <c r="K36" s="95">
        <f t="shared" si="2"/>
        <v>1.4373304826952541E-3</v>
      </c>
      <c r="L36" s="95">
        <f t="shared" si="3"/>
        <v>0.97931193453581511</v>
      </c>
      <c r="M36" s="95">
        <v>647.39</v>
      </c>
      <c r="N36" s="98">
        <v>9.910744626572443</v>
      </c>
      <c r="O36" s="97">
        <v>12.47</v>
      </c>
      <c r="P36" s="102">
        <f t="shared" si="4"/>
        <v>77.53</v>
      </c>
      <c r="Z36" s="95">
        <v>5.43</v>
      </c>
      <c r="AA36" s="95">
        <v>14.494</v>
      </c>
      <c r="AB36" s="95">
        <v>12.747</v>
      </c>
      <c r="AC36" s="95">
        <v>647.66999999999996</v>
      </c>
      <c r="AD36" s="95">
        <v>624.41999999999996</v>
      </c>
      <c r="AE36" s="95">
        <v>24.826000000000001</v>
      </c>
      <c r="AF36" s="95">
        <v>19.227</v>
      </c>
      <c r="AG36" s="95">
        <v>5.5100000000000003E-2</v>
      </c>
      <c r="AH36" s="95">
        <v>6.8559999999999996E-2</v>
      </c>
      <c r="AI36" s="95">
        <v>0.24073</v>
      </c>
      <c r="AJ36" s="95">
        <v>0</v>
      </c>
      <c r="AK36" s="95">
        <v>0.4325</v>
      </c>
      <c r="AL36" s="95">
        <v>27.742000000000001</v>
      </c>
      <c r="AM36" s="95">
        <v>1.4624900000000001</v>
      </c>
      <c r="AN36" s="95">
        <v>14.96</v>
      </c>
      <c r="AO36" s="95">
        <v>0</v>
      </c>
      <c r="AP36" s="95">
        <v>529.46799999999996</v>
      </c>
      <c r="AQ36" s="95">
        <v>511.52699999999999</v>
      </c>
      <c r="AR36" s="95">
        <v>511.52699999999999</v>
      </c>
      <c r="AS36" s="95">
        <v>0</v>
      </c>
      <c r="AT36" s="95">
        <v>136.66399999999999</v>
      </c>
      <c r="AU36" s="95">
        <v>11.83</v>
      </c>
      <c r="AV36" s="95">
        <v>12.013999999999999</v>
      </c>
      <c r="AW36" s="95">
        <v>12.196999999999999</v>
      </c>
      <c r="AX36" s="95">
        <v>0.36799999999999999</v>
      </c>
      <c r="AY36" s="95">
        <f t="shared" si="5"/>
        <v>0.98197831978319783</v>
      </c>
      <c r="AZ36" s="95">
        <f t="shared" si="6"/>
        <v>1.675606936416185</v>
      </c>
    </row>
    <row r="37" spans="1:52" s="96" customFormat="1" ht="18" customHeight="1" x14ac:dyDescent="0.2">
      <c r="A37" s="97"/>
      <c r="B37" s="97">
        <v>10</v>
      </c>
      <c r="C37" s="95">
        <v>15.06484</v>
      </c>
      <c r="D37" s="95">
        <v>14.699810000000001</v>
      </c>
      <c r="E37" s="95">
        <v>652.98721999999998</v>
      </c>
      <c r="F37" s="95">
        <v>652.98721999999998</v>
      </c>
      <c r="G37" s="95">
        <v>0.80200000000000005</v>
      </c>
      <c r="H37" s="95">
        <v>0.54500000000000004</v>
      </c>
      <c r="I37" s="95">
        <f t="shared" si="0"/>
        <v>1.0653534767157038</v>
      </c>
      <c r="J37" s="95">
        <f t="shared" si="1"/>
        <v>1.2177979654877671</v>
      </c>
      <c r="K37" s="95">
        <f t="shared" si="2"/>
        <v>1.6862098072374689E-3</v>
      </c>
      <c r="L37" s="95">
        <f t="shared" si="3"/>
        <v>0.97576940744143326</v>
      </c>
      <c r="M37" s="95">
        <v>649.72</v>
      </c>
      <c r="N37" s="98">
        <v>9.3993417001436814</v>
      </c>
      <c r="O37" s="97">
        <v>12.71</v>
      </c>
      <c r="P37" s="102">
        <f t="shared" si="4"/>
        <v>77.289999999999992</v>
      </c>
      <c r="Z37" s="95">
        <v>5.43</v>
      </c>
      <c r="AA37" s="95">
        <v>14.439</v>
      </c>
      <c r="AB37" s="95">
        <v>12.754</v>
      </c>
      <c r="AC37" s="95">
        <v>649.36</v>
      </c>
      <c r="AD37" s="95">
        <v>626.83000000000004</v>
      </c>
      <c r="AE37" s="95">
        <v>25.234000000000002</v>
      </c>
      <c r="AF37" s="95">
        <v>19.806999999999999</v>
      </c>
      <c r="AG37" s="95">
        <v>5.4919999999999997E-2</v>
      </c>
      <c r="AH37" s="95">
        <v>6.8559999999999996E-2</v>
      </c>
      <c r="AI37" s="95">
        <v>0.24076</v>
      </c>
      <c r="AJ37" s="95">
        <v>0</v>
      </c>
      <c r="AK37" s="95">
        <v>0.42499999999999999</v>
      </c>
      <c r="AL37" s="95">
        <v>28.356999999999999</v>
      </c>
      <c r="AM37" s="95">
        <v>1.4633799999999999</v>
      </c>
      <c r="AN37" s="95">
        <v>15.6</v>
      </c>
      <c r="AO37" s="95">
        <v>0</v>
      </c>
      <c r="AP37" s="95">
        <v>521.29499999999996</v>
      </c>
      <c r="AQ37" s="95">
        <v>502.08600000000001</v>
      </c>
      <c r="AR37" s="95">
        <v>502.08600000000001</v>
      </c>
      <c r="AS37" s="95">
        <v>0</v>
      </c>
      <c r="AT37" s="95">
        <v>140.21</v>
      </c>
      <c r="AU37" s="95">
        <v>12.196999999999999</v>
      </c>
      <c r="AV37" s="95">
        <v>12.38</v>
      </c>
      <c r="AW37" s="95">
        <v>12.561999999999999</v>
      </c>
      <c r="AX37" s="95">
        <v>0.36499999999999999</v>
      </c>
      <c r="AY37" s="95">
        <f t="shared" si="5"/>
        <v>0.98171063366875166</v>
      </c>
      <c r="AZ37" s="95">
        <f t="shared" si="6"/>
        <v>1.6692485549132947</v>
      </c>
    </row>
    <row r="38" spans="1:52" s="96" customFormat="1" ht="18" customHeight="1" x14ac:dyDescent="0.2">
      <c r="A38" s="97"/>
      <c r="B38" s="97">
        <v>11</v>
      </c>
      <c r="C38" s="95">
        <v>15.119335000000001</v>
      </c>
      <c r="D38" s="95">
        <v>14.632340000000001</v>
      </c>
      <c r="E38" s="95">
        <v>661.53445999999997</v>
      </c>
      <c r="F38" s="95">
        <v>661.53445999999997</v>
      </c>
      <c r="G38" s="95">
        <v>0.83299999999999996</v>
      </c>
      <c r="H38" s="95">
        <v>0.54100000000000004</v>
      </c>
      <c r="I38" s="95">
        <f t="shared" si="0"/>
        <v>1.0758043040946543</v>
      </c>
      <c r="J38" s="95">
        <f t="shared" si="1"/>
        <v>1.2498202739533837</v>
      </c>
      <c r="K38" s="95">
        <f t="shared" si="2"/>
        <v>2.2498236457886237E-3</v>
      </c>
      <c r="L38" s="95">
        <f t="shared" si="3"/>
        <v>0.9677899193317695</v>
      </c>
      <c r="M38" s="95">
        <v>654.1</v>
      </c>
      <c r="N38" s="98">
        <v>8.8438455267864988</v>
      </c>
      <c r="O38" s="97">
        <v>14.31</v>
      </c>
      <c r="P38" s="102">
        <f t="shared" si="4"/>
        <v>75.69</v>
      </c>
      <c r="Z38" s="95">
        <v>5.43</v>
      </c>
      <c r="AA38" s="95">
        <v>14.365</v>
      </c>
      <c r="AB38" s="95">
        <v>12.760999999999999</v>
      </c>
      <c r="AC38" s="95">
        <v>653.35</v>
      </c>
      <c r="AD38" s="95">
        <v>631.71</v>
      </c>
      <c r="AE38" s="95">
        <v>26.196999999999999</v>
      </c>
      <c r="AF38" s="95">
        <v>20.983000000000001</v>
      </c>
      <c r="AG38" s="95">
        <v>5.4530000000000002E-2</v>
      </c>
      <c r="AH38" s="95">
        <v>6.8559999999999996E-2</v>
      </c>
      <c r="AI38" s="95">
        <v>0.24081</v>
      </c>
      <c r="AJ38" s="95">
        <v>0</v>
      </c>
      <c r="AK38" s="95">
        <v>0.41499999999999998</v>
      </c>
      <c r="AL38" s="95">
        <v>29.359000000000002</v>
      </c>
      <c r="AM38" s="95">
        <v>1.4652099999999999</v>
      </c>
      <c r="AN38" s="95">
        <v>17.079999999999998</v>
      </c>
      <c r="AO38" s="95">
        <v>0</v>
      </c>
      <c r="AP38" s="95">
        <v>510.995</v>
      </c>
      <c r="AQ38" s="95">
        <v>488.45699999999999</v>
      </c>
      <c r="AR38" s="95">
        <v>488.45699999999999</v>
      </c>
      <c r="AS38" s="95">
        <v>0</v>
      </c>
      <c r="AT38" s="95">
        <v>150.084</v>
      </c>
      <c r="AU38" s="95">
        <v>12.561999999999999</v>
      </c>
      <c r="AV38" s="95">
        <v>12.744999999999999</v>
      </c>
      <c r="AW38" s="95">
        <v>12.929</v>
      </c>
      <c r="AX38" s="95">
        <v>0.36699999999999999</v>
      </c>
      <c r="AY38" s="95">
        <f t="shared" si="5"/>
        <v>0.98021153190037535</v>
      </c>
      <c r="AZ38" s="95">
        <f t="shared" si="6"/>
        <v>1.660693641618497</v>
      </c>
    </row>
    <row r="39" spans="1:52" s="96" customFormat="1" ht="18" customHeight="1" x14ac:dyDescent="0.2">
      <c r="A39" s="97"/>
      <c r="B39" s="97">
        <v>12</v>
      </c>
      <c r="C39" s="95">
        <v>15.147015000000001</v>
      </c>
      <c r="D39" s="95">
        <v>14.571790000000002</v>
      </c>
      <c r="E39" s="95">
        <v>667.89009999999996</v>
      </c>
      <c r="F39" s="95">
        <v>667.89009999999996</v>
      </c>
      <c r="G39" s="95">
        <v>0.85499999999999998</v>
      </c>
      <c r="H39" s="95">
        <v>0.53200000000000003</v>
      </c>
      <c r="I39" s="95">
        <f t="shared" si="0"/>
        <v>1.0848001069084674</v>
      </c>
      <c r="J39" s="95">
        <f t="shared" si="1"/>
        <v>1.2791158072458713</v>
      </c>
      <c r="K39" s="95">
        <f t="shared" si="2"/>
        <v>2.6600875082730159E-3</v>
      </c>
      <c r="L39" s="95">
        <f t="shared" si="3"/>
        <v>0.96202387070983952</v>
      </c>
      <c r="M39" s="95">
        <v>666.81</v>
      </c>
      <c r="N39" s="98">
        <v>8.5403107644488756</v>
      </c>
      <c r="O39" s="97">
        <v>16</v>
      </c>
      <c r="P39" s="102">
        <f t="shared" si="4"/>
        <v>74</v>
      </c>
      <c r="Z39" s="95">
        <v>5.43</v>
      </c>
      <c r="AA39" s="95">
        <v>14.281000000000001</v>
      </c>
      <c r="AB39" s="95">
        <v>12.771000000000001</v>
      </c>
      <c r="AC39" s="95">
        <v>664.01</v>
      </c>
      <c r="AD39" s="95">
        <v>643.24</v>
      </c>
      <c r="AE39" s="95">
        <v>28.768000000000001</v>
      </c>
      <c r="AF39" s="95">
        <v>23.759</v>
      </c>
      <c r="AG39" s="95">
        <v>5.3589999999999999E-2</v>
      </c>
      <c r="AH39" s="95">
        <v>6.8559999999999996E-2</v>
      </c>
      <c r="AI39" s="95">
        <v>0.24095</v>
      </c>
      <c r="AJ39" s="95">
        <v>0</v>
      </c>
      <c r="AK39" s="95">
        <v>0.40310000000000001</v>
      </c>
      <c r="AL39" s="95">
        <v>31.295000000000002</v>
      </c>
      <c r="AM39" s="95">
        <v>1.4695199999999999</v>
      </c>
      <c r="AN39" s="95">
        <v>21.4</v>
      </c>
      <c r="AO39" s="95">
        <v>0</v>
      </c>
      <c r="AP39" s="95">
        <v>500.79199999999997</v>
      </c>
      <c r="AQ39" s="95">
        <v>466.25799999999998</v>
      </c>
      <c r="AR39" s="95">
        <v>466.25799999999998</v>
      </c>
      <c r="AS39" s="95">
        <v>0</v>
      </c>
      <c r="AT39" s="95">
        <v>182.745</v>
      </c>
      <c r="AU39" s="95">
        <v>12.929</v>
      </c>
      <c r="AV39" s="95">
        <v>13.118</v>
      </c>
      <c r="AW39" s="95">
        <v>13.308</v>
      </c>
      <c r="AX39" s="95">
        <v>0.38</v>
      </c>
      <c r="AY39" s="95">
        <f t="shared" si="5"/>
        <v>0.97768193331964137</v>
      </c>
      <c r="AZ39" s="95">
        <f t="shared" si="6"/>
        <v>1.6509826589595376</v>
      </c>
    </row>
    <row r="40" spans="1:52" ht="18" customHeight="1" x14ac:dyDescent="0.2">
      <c r="A40" s="26" t="s">
        <v>115</v>
      </c>
      <c r="N40" s="27"/>
      <c r="O40" s="27"/>
      <c r="P40" s="103"/>
      <c r="Z40" s="17">
        <v>0</v>
      </c>
      <c r="AA40" s="17">
        <v>0</v>
      </c>
      <c r="AB40" s="17">
        <v>0</v>
      </c>
      <c r="AC40" s="17">
        <v>0</v>
      </c>
      <c r="AD40" s="17">
        <v>0</v>
      </c>
      <c r="AE40" s="17">
        <v>0</v>
      </c>
      <c r="AF40" s="17">
        <v>0</v>
      </c>
      <c r="AG40" s="17">
        <v>0</v>
      </c>
      <c r="AH40" s="17">
        <v>0</v>
      </c>
      <c r="AI40" s="17">
        <v>0</v>
      </c>
      <c r="AJ40" s="17">
        <v>0</v>
      </c>
      <c r="AK40" s="17">
        <v>0</v>
      </c>
      <c r="AL40" s="17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0</v>
      </c>
      <c r="AR40" s="17">
        <v>0</v>
      </c>
      <c r="AS40" s="17">
        <v>0</v>
      </c>
      <c r="AT40" s="17">
        <v>0</v>
      </c>
      <c r="AU40" s="17">
        <v>0</v>
      </c>
      <c r="AV40" s="17">
        <v>0</v>
      </c>
      <c r="AW40" s="17">
        <v>0</v>
      </c>
      <c r="AX40" s="17">
        <v>0</v>
      </c>
    </row>
    <row r="41" spans="1:52" ht="18" customHeight="1" x14ac:dyDescent="0.2">
      <c r="B41" s="27">
        <v>1</v>
      </c>
      <c r="C41" s="17">
        <v>14.256065</v>
      </c>
      <c r="D41" s="17">
        <v>22.920770000000001</v>
      </c>
      <c r="E41" s="17">
        <v>672.43767000000003</v>
      </c>
      <c r="F41" s="17">
        <v>781.96287999999993</v>
      </c>
      <c r="G41" s="17">
        <v>0.495</v>
      </c>
      <c r="H41" s="17">
        <v>0.61399999999999999</v>
      </c>
      <c r="I41" s="17">
        <f t="shared" si="0"/>
        <v>1.1343366180665242</v>
      </c>
      <c r="J41" s="17">
        <f t="shared" si="1"/>
        <v>1.4738626335775056</v>
      </c>
      <c r="K41" s="17">
        <f t="shared" si="2"/>
        <v>3.6618944328339238E-3</v>
      </c>
      <c r="L41" s="17">
        <f t="shared" si="3"/>
        <v>1.6077907893938477</v>
      </c>
      <c r="M41" s="17">
        <v>755.83</v>
      </c>
      <c r="N41" s="27">
        <v>13.117000000000001</v>
      </c>
      <c r="O41" s="27">
        <v>61.4</v>
      </c>
      <c r="P41" s="103">
        <f t="shared" si="4"/>
        <v>28.6</v>
      </c>
      <c r="Z41" s="17">
        <v>5.43</v>
      </c>
      <c r="AA41" s="17">
        <v>23.699000000000002</v>
      </c>
      <c r="AB41" s="17">
        <v>16.164999999999999</v>
      </c>
      <c r="AC41" s="17">
        <v>752.67</v>
      </c>
      <c r="AD41" s="17">
        <v>675.34</v>
      </c>
      <c r="AE41" s="17">
        <v>50.212000000000003</v>
      </c>
      <c r="AF41" s="17">
        <v>31.501999999999999</v>
      </c>
      <c r="AG41" s="17">
        <v>6.4610000000000001E-2</v>
      </c>
      <c r="AH41" s="17">
        <v>6.8559999999999996E-2</v>
      </c>
      <c r="AI41" s="17">
        <v>0.24137</v>
      </c>
      <c r="AJ41" s="17">
        <v>0</v>
      </c>
      <c r="AK41" s="17">
        <v>0.76070000000000004</v>
      </c>
      <c r="AL41" s="17">
        <v>21.061</v>
      </c>
      <c r="AM41" s="17">
        <v>1.4651000000000001</v>
      </c>
      <c r="AN41" s="17">
        <v>53.58</v>
      </c>
      <c r="AO41" s="17">
        <v>0</v>
      </c>
      <c r="AP41" s="17">
        <v>967.92499999999995</v>
      </c>
      <c r="AQ41" s="17">
        <v>574.654</v>
      </c>
      <c r="AR41" s="17">
        <v>574.654</v>
      </c>
      <c r="AS41" s="17">
        <v>0</v>
      </c>
      <c r="AT41" s="17">
        <v>778.87900000000002</v>
      </c>
      <c r="AU41" s="17">
        <v>9.3010000000000002</v>
      </c>
      <c r="AV41" s="17">
        <v>9.4779999999999998</v>
      </c>
      <c r="AW41" s="17">
        <v>9.6549999999999994</v>
      </c>
      <c r="AX41" s="17">
        <v>0.35399999999999998</v>
      </c>
      <c r="AY41" s="17">
        <f t="shared" si="5"/>
        <v>1.6212204131892189</v>
      </c>
      <c r="AZ41" s="17">
        <f t="shared" si="6"/>
        <v>2.7397687861271676</v>
      </c>
    </row>
    <row r="42" spans="1:52" ht="18" customHeight="1" x14ac:dyDescent="0.2">
      <c r="B42" s="27">
        <v>2</v>
      </c>
      <c r="C42" s="17">
        <v>14.321804999999999</v>
      </c>
      <c r="D42" s="17">
        <v>22.982184999999998</v>
      </c>
      <c r="E42" s="17">
        <v>656.71294</v>
      </c>
      <c r="F42" s="17">
        <v>761.25225999999998</v>
      </c>
      <c r="G42" s="17">
        <v>0.50600000000000001</v>
      </c>
      <c r="H42" s="17">
        <v>0.623</v>
      </c>
      <c r="I42" s="17">
        <f t="shared" si="0"/>
        <v>1.130767629635522</v>
      </c>
      <c r="J42" s="17">
        <f t="shared" si="1"/>
        <v>1.4711764766033559</v>
      </c>
      <c r="K42" s="17">
        <f t="shared" si="2"/>
        <v>3.0306350274554722E-3</v>
      </c>
      <c r="L42" s="17">
        <f t="shared" si="3"/>
        <v>1.6046989188862715</v>
      </c>
      <c r="M42" s="17">
        <v>750.12</v>
      </c>
      <c r="N42" s="27">
        <v>12.792999999999999</v>
      </c>
      <c r="O42" s="27">
        <v>57.49</v>
      </c>
      <c r="P42" s="103">
        <f t="shared" si="4"/>
        <v>32.51</v>
      </c>
      <c r="Z42" s="17">
        <v>5.43</v>
      </c>
      <c r="AA42" s="17">
        <v>23.617000000000001</v>
      </c>
      <c r="AB42" s="17">
        <v>16.449000000000002</v>
      </c>
      <c r="AC42" s="17">
        <v>748.89</v>
      </c>
      <c r="AD42" s="17">
        <v>675.93</v>
      </c>
      <c r="AE42" s="17">
        <v>49.293999999999997</v>
      </c>
      <c r="AF42" s="17">
        <v>31.643000000000001</v>
      </c>
      <c r="AG42" s="17">
        <v>6.5680000000000002E-2</v>
      </c>
      <c r="AH42" s="17">
        <v>6.8559999999999996E-2</v>
      </c>
      <c r="AI42" s="17">
        <v>0.24138000000000001</v>
      </c>
      <c r="AJ42" s="17">
        <v>0</v>
      </c>
      <c r="AK42" s="17">
        <v>0.73850000000000005</v>
      </c>
      <c r="AL42" s="17">
        <v>20.225999999999999</v>
      </c>
      <c r="AM42" s="17">
        <v>1.4641200000000001</v>
      </c>
      <c r="AN42" s="17">
        <v>51.24</v>
      </c>
      <c r="AO42" s="17">
        <v>0</v>
      </c>
      <c r="AP42" s="17">
        <v>940.13900000000001</v>
      </c>
      <c r="AQ42" s="17">
        <v>588.56299999999999</v>
      </c>
      <c r="AR42" s="17">
        <v>588.56299999999999</v>
      </c>
      <c r="AS42" s="17">
        <v>0</v>
      </c>
      <c r="AT42" s="17">
        <v>733.11300000000006</v>
      </c>
      <c r="AU42" s="17">
        <v>9.6549999999999994</v>
      </c>
      <c r="AV42" s="17">
        <v>9.8190000000000008</v>
      </c>
      <c r="AW42" s="17">
        <v>9.9830000000000005</v>
      </c>
      <c r="AX42" s="17">
        <v>0.32800000000000001</v>
      </c>
      <c r="AY42" s="17">
        <f t="shared" si="5"/>
        <v>1.6088970638326863</v>
      </c>
      <c r="AZ42" s="17">
        <f t="shared" si="6"/>
        <v>2.7302890173410406</v>
      </c>
    </row>
    <row r="43" spans="1:52" ht="18" customHeight="1" x14ac:dyDescent="0.2">
      <c r="B43" s="27">
        <v>3</v>
      </c>
      <c r="C43" s="17">
        <v>14.389275</v>
      </c>
      <c r="D43" s="17">
        <v>23.044464999999999</v>
      </c>
      <c r="E43" s="17">
        <v>648.43964999999992</v>
      </c>
      <c r="F43" s="17">
        <v>750.07510000000002</v>
      </c>
      <c r="G43" s="17">
        <v>0.52</v>
      </c>
      <c r="H43" s="17">
        <v>0.63</v>
      </c>
      <c r="I43" s="17">
        <f t="shared" si="0"/>
        <v>1.1296252524069057</v>
      </c>
      <c r="J43" s="17">
        <f t="shared" si="1"/>
        <v>1.4739234888389312</v>
      </c>
      <c r="K43" s="17">
        <f t="shared" si="2"/>
        <v>2.6601697097011559E-3</v>
      </c>
      <c r="L43" s="17">
        <f t="shared" si="3"/>
        <v>1.6015028554253081</v>
      </c>
      <c r="M43" s="17">
        <v>746.33</v>
      </c>
      <c r="N43" s="27">
        <v>12.506</v>
      </c>
      <c r="O43" s="27">
        <v>55.36</v>
      </c>
      <c r="P43" s="103">
        <f t="shared" si="4"/>
        <v>34.64</v>
      </c>
      <c r="Z43" s="17">
        <v>5.43</v>
      </c>
      <c r="AA43" s="17">
        <v>23.571999999999999</v>
      </c>
      <c r="AB43" s="17">
        <v>16.684999999999999</v>
      </c>
      <c r="AC43" s="17">
        <v>746.5</v>
      </c>
      <c r="AD43" s="17">
        <v>676.86</v>
      </c>
      <c r="AE43" s="17">
        <v>48.716000000000001</v>
      </c>
      <c r="AF43" s="17">
        <v>31.867999999999999</v>
      </c>
      <c r="AG43" s="17">
        <v>6.6530000000000006E-2</v>
      </c>
      <c r="AH43" s="17">
        <v>6.8559999999999996E-2</v>
      </c>
      <c r="AI43" s="17">
        <v>0.24138999999999999</v>
      </c>
      <c r="AJ43" s="17">
        <v>0</v>
      </c>
      <c r="AK43" s="17">
        <v>0.72099999999999997</v>
      </c>
      <c r="AL43" s="17">
        <v>19.844999999999999</v>
      </c>
      <c r="AM43" s="17">
        <v>1.4634799999999999</v>
      </c>
      <c r="AN43" s="17">
        <v>49.85</v>
      </c>
      <c r="AO43" s="17">
        <v>0</v>
      </c>
      <c r="AP43" s="17">
        <v>918.49800000000005</v>
      </c>
      <c r="AQ43" s="17">
        <v>592.20299999999997</v>
      </c>
      <c r="AR43" s="17">
        <v>592.20299999999997</v>
      </c>
      <c r="AS43" s="17">
        <v>0</v>
      </c>
      <c r="AT43" s="17">
        <v>702.09299999999996</v>
      </c>
      <c r="AU43" s="17">
        <v>9.9830000000000005</v>
      </c>
      <c r="AV43" s="17">
        <v>10.138</v>
      </c>
      <c r="AW43" s="17">
        <v>10.294</v>
      </c>
      <c r="AX43" s="17">
        <v>0.312</v>
      </c>
      <c r="AY43" s="17">
        <f t="shared" si="5"/>
        <v>1.6031011969532099</v>
      </c>
      <c r="AZ43" s="17">
        <f t="shared" si="6"/>
        <v>2.7250867052023118</v>
      </c>
    </row>
    <row r="44" spans="1:52" ht="18" customHeight="1" x14ac:dyDescent="0.2">
      <c r="B44" s="27">
        <v>4</v>
      </c>
      <c r="C44" s="17">
        <v>14.467990000000002</v>
      </c>
      <c r="D44" s="17">
        <v>23.125775000000004</v>
      </c>
      <c r="E44" s="17">
        <v>644.43997999999988</v>
      </c>
      <c r="F44" s="17">
        <v>743.82903999999996</v>
      </c>
      <c r="G44" s="17">
        <v>0.53600000000000003</v>
      </c>
      <c r="H44" s="17">
        <v>0.63900000000000001</v>
      </c>
      <c r="I44" s="17">
        <f t="shared" si="0"/>
        <v>1.1283967280151652</v>
      </c>
      <c r="J44" s="17">
        <f t="shared" si="1"/>
        <v>1.476682641453831</v>
      </c>
      <c r="K44" s="17">
        <f t="shared" si="2"/>
        <v>2.2708114353368961E-3</v>
      </c>
      <c r="L44" s="17">
        <f t="shared" si="3"/>
        <v>1.5984096616046874</v>
      </c>
      <c r="M44" s="17">
        <v>744.45</v>
      </c>
      <c r="N44" s="27">
        <v>12.141</v>
      </c>
      <c r="O44" s="27">
        <v>53.02</v>
      </c>
      <c r="P44" s="103">
        <f t="shared" si="4"/>
        <v>36.979999999999997</v>
      </c>
      <c r="Z44" s="17">
        <v>5.43</v>
      </c>
      <c r="AA44" s="17">
        <v>23.521999999999998</v>
      </c>
      <c r="AB44" s="17">
        <v>16.890999999999998</v>
      </c>
      <c r="AC44" s="17">
        <v>745.37</v>
      </c>
      <c r="AD44" s="17">
        <v>678.6</v>
      </c>
      <c r="AE44" s="17">
        <v>48.442</v>
      </c>
      <c r="AF44" s="17">
        <v>32.286999999999999</v>
      </c>
      <c r="AG44" s="17">
        <v>6.7180000000000004E-2</v>
      </c>
      <c r="AH44" s="17">
        <v>6.8559999999999996E-2</v>
      </c>
      <c r="AI44" s="17">
        <v>0.24141000000000001</v>
      </c>
      <c r="AJ44" s="17">
        <v>0</v>
      </c>
      <c r="AK44" s="17">
        <v>0.70509999999999995</v>
      </c>
      <c r="AL44" s="17">
        <v>19.875</v>
      </c>
      <c r="AM44" s="17">
        <v>1.4632499999999999</v>
      </c>
      <c r="AN44" s="17">
        <v>49.38</v>
      </c>
      <c r="AO44" s="17">
        <v>0</v>
      </c>
      <c r="AP44" s="17">
        <v>899.39300000000003</v>
      </c>
      <c r="AQ44" s="17">
        <v>585.577</v>
      </c>
      <c r="AR44" s="17">
        <v>585.577</v>
      </c>
      <c r="AS44" s="17">
        <v>0</v>
      </c>
      <c r="AT44" s="17">
        <v>682.64700000000005</v>
      </c>
      <c r="AU44" s="17">
        <v>10.294</v>
      </c>
      <c r="AV44" s="17">
        <v>10.445</v>
      </c>
      <c r="AW44" s="17">
        <v>10.597</v>
      </c>
      <c r="AX44" s="17">
        <v>0.30299999999999999</v>
      </c>
      <c r="AY44" s="17">
        <f t="shared" si="5"/>
        <v>1.6005715841045181</v>
      </c>
      <c r="AZ44" s="17">
        <f t="shared" si="6"/>
        <v>2.7193063583815027</v>
      </c>
    </row>
    <row r="45" spans="1:52" ht="18" customHeight="1" x14ac:dyDescent="0.2">
      <c r="B45" s="27">
        <v>5</v>
      </c>
      <c r="C45" s="17">
        <v>14.525080000000001</v>
      </c>
      <c r="D45" s="17">
        <v>23.208815000000001</v>
      </c>
      <c r="E45" s="17">
        <v>643.07022999999992</v>
      </c>
      <c r="F45" s="17">
        <v>741.63743999999997</v>
      </c>
      <c r="G45" s="17">
        <v>0.54800000000000004</v>
      </c>
      <c r="H45" s="17">
        <v>0.65</v>
      </c>
      <c r="I45" s="17">
        <f t="shared" si="0"/>
        <v>1.127286899004001</v>
      </c>
      <c r="J45" s="17">
        <f t="shared" si="1"/>
        <v>1.4753283878347117</v>
      </c>
      <c r="K45" s="17">
        <f t="shared" si="2"/>
        <v>2.0975399563160912E-3</v>
      </c>
      <c r="L45" s="17">
        <f t="shared" si="3"/>
        <v>1.5978442115292997</v>
      </c>
      <c r="M45" s="17">
        <v>743.8</v>
      </c>
      <c r="N45" s="27">
        <v>11.78</v>
      </c>
      <c r="O45" s="27">
        <v>50.65</v>
      </c>
      <c r="P45" s="103">
        <f t="shared" si="4"/>
        <v>39.35</v>
      </c>
      <c r="Z45" s="17">
        <v>5.43</v>
      </c>
      <c r="AA45" s="17">
        <v>23.449000000000002</v>
      </c>
      <c r="AB45" s="17">
        <v>17.079999999999998</v>
      </c>
      <c r="AC45" s="17">
        <v>744.88</v>
      </c>
      <c r="AD45" s="17">
        <v>680.89</v>
      </c>
      <c r="AE45" s="17">
        <v>48.322000000000003</v>
      </c>
      <c r="AF45" s="17">
        <v>32.841000000000001</v>
      </c>
      <c r="AG45" s="17">
        <v>6.7710000000000006E-2</v>
      </c>
      <c r="AH45" s="17">
        <v>6.8559999999999996E-2</v>
      </c>
      <c r="AI45" s="17">
        <v>0.24145</v>
      </c>
      <c r="AJ45" s="17">
        <v>0</v>
      </c>
      <c r="AK45" s="17">
        <v>0.68910000000000005</v>
      </c>
      <c r="AL45" s="17">
        <v>20.187000000000001</v>
      </c>
      <c r="AM45" s="17">
        <v>1.4633100000000001</v>
      </c>
      <c r="AN45" s="17">
        <v>49.48</v>
      </c>
      <c r="AO45" s="17">
        <v>0</v>
      </c>
      <c r="AP45" s="17">
        <v>880.43700000000001</v>
      </c>
      <c r="AQ45" s="17">
        <v>572.07600000000002</v>
      </c>
      <c r="AR45" s="17">
        <v>572.07600000000002</v>
      </c>
      <c r="AS45" s="17">
        <v>0</v>
      </c>
      <c r="AT45" s="17">
        <v>669.25199999999995</v>
      </c>
      <c r="AU45" s="17">
        <v>10.597</v>
      </c>
      <c r="AV45" s="17">
        <v>10.746</v>
      </c>
      <c r="AW45" s="17">
        <v>10.896000000000001</v>
      </c>
      <c r="AX45" s="17">
        <v>0.29899999999999999</v>
      </c>
      <c r="AY45" s="17">
        <f t="shared" si="5"/>
        <v>1.5991952533587943</v>
      </c>
      <c r="AZ45" s="17">
        <f t="shared" si="6"/>
        <v>2.7108670520231213</v>
      </c>
    </row>
    <row r="46" spans="1:52" ht="18" customHeight="1" x14ac:dyDescent="0.2">
      <c r="B46" s="27">
        <v>6</v>
      </c>
      <c r="C46" s="17">
        <v>14.573520000000002</v>
      </c>
      <c r="D46" s="17">
        <v>23.291854999999998</v>
      </c>
      <c r="E46" s="17">
        <v>642.96064999999999</v>
      </c>
      <c r="F46" s="17">
        <v>741.19911999999999</v>
      </c>
      <c r="G46" s="17">
        <v>0.55800000000000005</v>
      </c>
      <c r="H46" s="17">
        <v>0.66300000000000003</v>
      </c>
      <c r="I46" s="17">
        <f t="shared" si="0"/>
        <v>1.1256207132315204</v>
      </c>
      <c r="J46" s="17">
        <f t="shared" si="1"/>
        <v>1.4702294945680809</v>
      </c>
      <c r="K46" s="17">
        <f t="shared" si="2"/>
        <v>1.9798721834983803E-3</v>
      </c>
      <c r="L46" s="17">
        <f t="shared" si="3"/>
        <v>1.598231244064577</v>
      </c>
      <c r="M46" s="17">
        <v>743.77</v>
      </c>
      <c r="N46" s="27">
        <v>11.417999999999999</v>
      </c>
      <c r="O46" s="27">
        <v>47.95</v>
      </c>
      <c r="P46" s="103">
        <f t="shared" si="4"/>
        <v>42.05</v>
      </c>
      <c r="Z46" s="17">
        <v>5.43</v>
      </c>
      <c r="AA46" s="17">
        <v>23.38</v>
      </c>
      <c r="AB46" s="17">
        <v>17.257000000000001</v>
      </c>
      <c r="AC46" s="17">
        <v>744.81</v>
      </c>
      <c r="AD46" s="17">
        <v>683.4</v>
      </c>
      <c r="AE46" s="17">
        <v>48.305999999999997</v>
      </c>
      <c r="AF46" s="17">
        <v>33.447000000000003</v>
      </c>
      <c r="AG46" s="17">
        <v>6.8159999999999998E-2</v>
      </c>
      <c r="AH46" s="17">
        <v>6.8559999999999996E-2</v>
      </c>
      <c r="AI46" s="17">
        <v>0.24148</v>
      </c>
      <c r="AJ46" s="17">
        <v>0</v>
      </c>
      <c r="AK46" s="17">
        <v>0.67390000000000005</v>
      </c>
      <c r="AL46" s="17">
        <v>20.602</v>
      </c>
      <c r="AM46" s="17">
        <v>1.46349</v>
      </c>
      <c r="AN46" s="17">
        <v>49.79</v>
      </c>
      <c r="AO46" s="17">
        <v>0</v>
      </c>
      <c r="AP46" s="17">
        <v>862.59100000000001</v>
      </c>
      <c r="AQ46" s="17">
        <v>556.86900000000003</v>
      </c>
      <c r="AR46" s="17">
        <v>556.86900000000003</v>
      </c>
      <c r="AS46" s="17">
        <v>0</v>
      </c>
      <c r="AT46" s="17">
        <v>658.75599999999997</v>
      </c>
      <c r="AU46" s="17">
        <v>10.896000000000001</v>
      </c>
      <c r="AV46" s="17">
        <v>11.044</v>
      </c>
      <c r="AW46" s="17">
        <v>11.193</v>
      </c>
      <c r="AX46" s="17">
        <v>0.29699999999999999</v>
      </c>
      <c r="AY46" s="17">
        <f t="shared" si="5"/>
        <v>1.5984138921173172</v>
      </c>
      <c r="AZ46" s="17">
        <f t="shared" si="6"/>
        <v>2.7028901734104043</v>
      </c>
    </row>
    <row r="47" spans="1:52" ht="18" customHeight="1" x14ac:dyDescent="0.2">
      <c r="B47" s="27">
        <v>7</v>
      </c>
      <c r="C47" s="17">
        <v>14.62196</v>
      </c>
      <c r="D47" s="17">
        <v>23.374030000000001</v>
      </c>
      <c r="E47" s="17">
        <v>643.50855000000001</v>
      </c>
      <c r="F47" s="17">
        <v>741.52785999999992</v>
      </c>
      <c r="G47" s="17">
        <v>0.56699999999999995</v>
      </c>
      <c r="H47" s="17">
        <v>0.67800000000000005</v>
      </c>
      <c r="I47" s="17">
        <f t="shared" si="0"/>
        <v>1.1231527189882735</v>
      </c>
      <c r="J47" s="17">
        <f t="shared" si="1"/>
        <v>1.4613620393148063</v>
      </c>
      <c r="K47" s="17">
        <f t="shared" si="2"/>
        <v>1.8677796346757945E-3</v>
      </c>
      <c r="L47" s="17">
        <f t="shared" si="3"/>
        <v>1.5985565546616187</v>
      </c>
      <c r="M47" s="17">
        <v>744.21</v>
      </c>
      <c r="N47" s="27">
        <v>11.054</v>
      </c>
      <c r="O47" s="27">
        <v>44.93</v>
      </c>
      <c r="P47" s="103">
        <f t="shared" si="4"/>
        <v>45.07</v>
      </c>
      <c r="Z47" s="17">
        <v>5.43</v>
      </c>
      <c r="AA47" s="17">
        <v>23.309000000000001</v>
      </c>
      <c r="AB47" s="17">
        <v>17.423999999999999</v>
      </c>
      <c r="AC47" s="17">
        <v>745.21</v>
      </c>
      <c r="AD47" s="17">
        <v>686.24</v>
      </c>
      <c r="AE47" s="17">
        <v>48.402999999999999</v>
      </c>
      <c r="AF47" s="17">
        <v>34.131999999999998</v>
      </c>
      <c r="AG47" s="17">
        <v>6.8529999999999994E-2</v>
      </c>
      <c r="AH47" s="17">
        <v>6.8559999999999996E-2</v>
      </c>
      <c r="AI47" s="17">
        <v>0.24152000000000001</v>
      </c>
      <c r="AJ47" s="17">
        <v>0</v>
      </c>
      <c r="AK47" s="17">
        <v>0.65910000000000002</v>
      </c>
      <c r="AL47" s="17">
        <v>21.132000000000001</v>
      </c>
      <c r="AM47" s="17">
        <v>1.46383</v>
      </c>
      <c r="AN47" s="17">
        <v>50.31</v>
      </c>
      <c r="AO47" s="17">
        <v>0</v>
      </c>
      <c r="AP47" s="17">
        <v>845.33</v>
      </c>
      <c r="AQ47" s="17">
        <v>539.90200000000004</v>
      </c>
      <c r="AR47" s="17">
        <v>539.90200000000004</v>
      </c>
      <c r="AS47" s="17">
        <v>0</v>
      </c>
      <c r="AT47" s="17">
        <v>650.452</v>
      </c>
      <c r="AU47" s="17">
        <v>11.193</v>
      </c>
      <c r="AV47" s="17">
        <v>11.340999999999999</v>
      </c>
      <c r="AW47" s="17">
        <v>11.489000000000001</v>
      </c>
      <c r="AX47" s="17">
        <v>0.29699999999999999</v>
      </c>
      <c r="AY47" s="17">
        <f t="shared" si="5"/>
        <v>1.5981487829962291</v>
      </c>
      <c r="AZ47" s="17">
        <f t="shared" si="6"/>
        <v>2.6946820809248555</v>
      </c>
    </row>
    <row r="48" spans="1:52" ht="18" customHeight="1" x14ac:dyDescent="0.2">
      <c r="B48" s="27">
        <v>8</v>
      </c>
      <c r="C48" s="17">
        <v>14.660885</v>
      </c>
      <c r="D48" s="17">
        <v>23.456205000000001</v>
      </c>
      <c r="E48" s="17">
        <v>645.15224999999998</v>
      </c>
      <c r="F48" s="17">
        <v>743.55508999999995</v>
      </c>
      <c r="G48" s="17">
        <v>0.57299999999999995</v>
      </c>
      <c r="H48" s="17">
        <v>0.69499999999999995</v>
      </c>
      <c r="I48" s="17">
        <f t="shared" si="0"/>
        <v>1.120009590053904</v>
      </c>
      <c r="J48" s="17">
        <f t="shared" si="1"/>
        <v>1.447422717373992</v>
      </c>
      <c r="K48" s="17">
        <f t="shared" si="2"/>
        <v>1.8522093537247999E-3</v>
      </c>
      <c r="L48" s="17">
        <f t="shared" si="3"/>
        <v>1.5999173992565934</v>
      </c>
      <c r="M48" s="17">
        <v>745</v>
      </c>
      <c r="N48" s="27">
        <v>10.686</v>
      </c>
      <c r="O48" s="27">
        <v>41.5</v>
      </c>
      <c r="P48" s="103">
        <f t="shared" si="4"/>
        <v>48.5</v>
      </c>
      <c r="Z48" s="17">
        <v>5.43</v>
      </c>
      <c r="AA48" s="17">
        <v>23.233000000000001</v>
      </c>
      <c r="AB48" s="17">
        <v>17.585000000000001</v>
      </c>
      <c r="AC48" s="17">
        <v>745.97</v>
      </c>
      <c r="AD48" s="17">
        <v>689.37</v>
      </c>
      <c r="AE48" s="17">
        <v>48.587000000000003</v>
      </c>
      <c r="AF48" s="17">
        <v>34.889000000000003</v>
      </c>
      <c r="AG48" s="17">
        <v>6.8849999999999995E-2</v>
      </c>
      <c r="AH48" s="17">
        <v>6.8559999999999996E-2</v>
      </c>
      <c r="AI48" s="17">
        <v>0.24157000000000001</v>
      </c>
      <c r="AJ48" s="17">
        <v>0</v>
      </c>
      <c r="AK48" s="17">
        <v>0.64429999999999998</v>
      </c>
      <c r="AL48" s="17">
        <v>21.751999999999999</v>
      </c>
      <c r="AM48" s="17">
        <v>1.4642999999999999</v>
      </c>
      <c r="AN48" s="17">
        <v>50.92</v>
      </c>
      <c r="AO48" s="17">
        <v>0</v>
      </c>
      <c r="AP48" s="17">
        <v>828.197</v>
      </c>
      <c r="AQ48" s="17">
        <v>522.11599999999999</v>
      </c>
      <c r="AR48" s="17">
        <v>522.11599999999999</v>
      </c>
      <c r="AS48" s="17">
        <v>0</v>
      </c>
      <c r="AT48" s="17">
        <v>642.88800000000003</v>
      </c>
      <c r="AU48" s="17">
        <v>11.489000000000001</v>
      </c>
      <c r="AV48" s="17">
        <v>11.638</v>
      </c>
      <c r="AW48" s="17">
        <v>11.787000000000001</v>
      </c>
      <c r="AX48" s="17">
        <v>0.29699999999999999</v>
      </c>
      <c r="AY48" s="17">
        <f t="shared" si="5"/>
        <v>1.5978679504814306</v>
      </c>
      <c r="AZ48" s="17">
        <f t="shared" si="6"/>
        <v>2.6858959537572256</v>
      </c>
    </row>
    <row r="49" spans="1:52" ht="18" customHeight="1" x14ac:dyDescent="0.2">
      <c r="B49" s="27">
        <v>9</v>
      </c>
      <c r="C49" s="17">
        <v>14.696350000000001</v>
      </c>
      <c r="D49" s="17">
        <v>23.539245000000001</v>
      </c>
      <c r="E49" s="17">
        <v>647.94654000000003</v>
      </c>
      <c r="F49" s="17">
        <v>746.89727999999991</v>
      </c>
      <c r="G49" s="17">
        <v>0.57699999999999996</v>
      </c>
      <c r="H49" s="17">
        <v>0.71399999999999997</v>
      </c>
      <c r="I49" s="17">
        <f t="shared" si="0"/>
        <v>1.1157116941404284</v>
      </c>
      <c r="J49" s="17">
        <f t="shared" si="1"/>
        <v>1.4288578690981892</v>
      </c>
      <c r="K49" s="17">
        <f t="shared" si="2"/>
        <v>1.8143872021449473E-3</v>
      </c>
      <c r="L49" s="17">
        <f t="shared" si="3"/>
        <v>1.6017068864037669</v>
      </c>
      <c r="M49" s="17">
        <v>747.16</v>
      </c>
      <c r="N49" s="27">
        <v>10.311</v>
      </c>
      <c r="O49" s="27">
        <v>37.58</v>
      </c>
      <c r="P49" s="103">
        <f t="shared" si="4"/>
        <v>52.42</v>
      </c>
      <c r="Z49" s="17">
        <v>5.43</v>
      </c>
      <c r="AA49" s="17">
        <v>23.164999999999999</v>
      </c>
      <c r="AB49" s="17">
        <v>17.739000000000001</v>
      </c>
      <c r="AC49" s="17">
        <v>747.42</v>
      </c>
      <c r="AD49" s="17">
        <v>693</v>
      </c>
      <c r="AE49" s="17">
        <v>48.939</v>
      </c>
      <c r="AF49" s="17">
        <v>35.767000000000003</v>
      </c>
      <c r="AG49" s="17">
        <v>6.9089999999999999E-2</v>
      </c>
      <c r="AH49" s="17">
        <v>6.8559999999999996E-2</v>
      </c>
      <c r="AI49" s="17">
        <v>0.24162</v>
      </c>
      <c r="AJ49" s="17">
        <v>0</v>
      </c>
      <c r="AK49" s="17">
        <v>0.63019999999999998</v>
      </c>
      <c r="AL49" s="17">
        <v>22.474</v>
      </c>
      <c r="AM49" s="17">
        <v>1.4649700000000001</v>
      </c>
      <c r="AN49" s="17">
        <v>51.68</v>
      </c>
      <c r="AO49" s="17">
        <v>0</v>
      </c>
      <c r="AP49" s="17">
        <v>812.14400000000001</v>
      </c>
      <c r="AQ49" s="17">
        <v>503.57799999999997</v>
      </c>
      <c r="AR49" s="17">
        <v>503.57799999999997</v>
      </c>
      <c r="AS49" s="17">
        <v>0</v>
      </c>
      <c r="AT49" s="17">
        <v>637.16999999999996</v>
      </c>
      <c r="AU49" s="17">
        <v>11.787000000000001</v>
      </c>
      <c r="AV49" s="17">
        <v>11.936999999999999</v>
      </c>
      <c r="AW49" s="17">
        <v>12.086</v>
      </c>
      <c r="AX49" s="17">
        <v>0.3</v>
      </c>
      <c r="AY49" s="17">
        <f t="shared" si="5"/>
        <v>1.5982475507106388</v>
      </c>
      <c r="AZ49" s="17">
        <f t="shared" si="6"/>
        <v>2.6780346820809244</v>
      </c>
    </row>
    <row r="50" spans="1:52" ht="18" customHeight="1" x14ac:dyDescent="0.2">
      <c r="B50" s="27">
        <v>10</v>
      </c>
      <c r="C50" s="17">
        <v>14.699810000000001</v>
      </c>
      <c r="D50" s="17">
        <v>23.621420000000001</v>
      </c>
      <c r="E50" s="17">
        <v>652.98721999999998</v>
      </c>
      <c r="F50" s="17">
        <v>753.69123999999988</v>
      </c>
      <c r="G50" s="17">
        <v>0.57199999999999995</v>
      </c>
      <c r="H50" s="17">
        <v>0.73799999999999999</v>
      </c>
      <c r="I50" s="17">
        <f t="shared" si="0"/>
        <v>1.1089521737153727</v>
      </c>
      <c r="J50" s="17">
        <f t="shared" si="1"/>
        <v>1.3969420386858695</v>
      </c>
      <c r="K50" s="17">
        <f t="shared" si="2"/>
        <v>1.9044624775110541E-3</v>
      </c>
      <c r="L50" s="17">
        <f t="shared" si="3"/>
        <v>1.6069200894433329</v>
      </c>
      <c r="M50" s="17">
        <v>751.07</v>
      </c>
      <c r="N50" s="27">
        <v>9.9269999999999996</v>
      </c>
      <c r="O50" s="27">
        <v>32.74</v>
      </c>
      <c r="P50" s="103">
        <f t="shared" si="4"/>
        <v>57.26</v>
      </c>
      <c r="Z50" s="17">
        <v>5.43</v>
      </c>
      <c r="AA50" s="17">
        <v>23.108000000000001</v>
      </c>
      <c r="AB50" s="17">
        <v>17.89</v>
      </c>
      <c r="AC50" s="17">
        <v>750.53</v>
      </c>
      <c r="AD50" s="17">
        <v>698.07</v>
      </c>
      <c r="AE50" s="17">
        <v>49.692</v>
      </c>
      <c r="AF50" s="17">
        <v>36.991</v>
      </c>
      <c r="AG50" s="17">
        <v>6.9169999999999995E-2</v>
      </c>
      <c r="AH50" s="17">
        <v>6.8559999999999996E-2</v>
      </c>
      <c r="AI50" s="17">
        <v>0.2417</v>
      </c>
      <c r="AJ50" s="17">
        <v>0</v>
      </c>
      <c r="AK50" s="17">
        <v>0.61660000000000004</v>
      </c>
      <c r="AL50" s="17">
        <v>23.497</v>
      </c>
      <c r="AM50" s="17">
        <v>1.4661500000000001</v>
      </c>
      <c r="AN50" s="17">
        <v>52.9</v>
      </c>
      <c r="AO50" s="17">
        <v>0</v>
      </c>
      <c r="AP50" s="17">
        <v>797.50599999999997</v>
      </c>
      <c r="AQ50" s="17">
        <v>481.07100000000003</v>
      </c>
      <c r="AR50" s="17">
        <v>481.07100000000003</v>
      </c>
      <c r="AS50" s="17">
        <v>0</v>
      </c>
      <c r="AT50" s="17">
        <v>636.07100000000003</v>
      </c>
      <c r="AU50" s="17">
        <v>12.086</v>
      </c>
      <c r="AV50" s="17">
        <v>12.239000000000001</v>
      </c>
      <c r="AW50" s="17">
        <v>12.391999999999999</v>
      </c>
      <c r="AX50" s="17">
        <v>0.30599999999999999</v>
      </c>
      <c r="AY50" s="17">
        <f t="shared" si="5"/>
        <v>1.6003878384929704</v>
      </c>
      <c r="AZ50" s="17">
        <f t="shared" si="6"/>
        <v>2.6714450867052024</v>
      </c>
    </row>
    <row r="51" spans="1:52" ht="18" customHeight="1" x14ac:dyDescent="0.2">
      <c r="B51" s="27">
        <v>11</v>
      </c>
      <c r="C51" s="17">
        <v>14.630610000000001</v>
      </c>
      <c r="D51" s="17">
        <v>23.703595</v>
      </c>
      <c r="E51" s="17">
        <v>661.53445999999997</v>
      </c>
      <c r="F51" s="17">
        <v>765.69024999999999</v>
      </c>
      <c r="G51" s="17">
        <v>0.55600000000000005</v>
      </c>
      <c r="H51" s="17">
        <v>0.76800000000000002</v>
      </c>
      <c r="I51" s="17">
        <f t="shared" si="0"/>
        <v>1.099325650637281</v>
      </c>
      <c r="J51" s="17">
        <f t="shared" si="1"/>
        <v>1.3528255349444798</v>
      </c>
      <c r="K51" s="17">
        <f t="shared" si="2"/>
        <v>2.0117730036541756E-3</v>
      </c>
      <c r="L51" s="17">
        <f t="shared" si="3"/>
        <v>1.6201371644791296</v>
      </c>
      <c r="M51" s="17">
        <v>757.64</v>
      </c>
      <c r="N51" s="27">
        <v>9.5190000000000001</v>
      </c>
      <c r="O51" s="27">
        <v>25.92</v>
      </c>
      <c r="P51" s="103">
        <f t="shared" si="4"/>
        <v>64.08</v>
      </c>
      <c r="Z51" s="17">
        <v>5.43</v>
      </c>
      <c r="AA51" s="17">
        <v>23.032</v>
      </c>
      <c r="AB51" s="17">
        <v>18.045999999999999</v>
      </c>
      <c r="AC51" s="17">
        <v>756.65</v>
      </c>
      <c r="AD51" s="17">
        <v>706.17</v>
      </c>
      <c r="AE51" s="17">
        <v>51.177999999999997</v>
      </c>
      <c r="AF51" s="17">
        <v>38.948999999999998</v>
      </c>
      <c r="AG51" s="17">
        <v>6.8970000000000004E-2</v>
      </c>
      <c r="AH51" s="17">
        <v>6.8559999999999996E-2</v>
      </c>
      <c r="AI51" s="17">
        <v>0.24182999999999999</v>
      </c>
      <c r="AJ51" s="17">
        <v>0</v>
      </c>
      <c r="AK51" s="17">
        <v>0.60160000000000002</v>
      </c>
      <c r="AL51" s="17">
        <v>25.547000000000001</v>
      </c>
      <c r="AM51" s="17">
        <v>1.46834</v>
      </c>
      <c r="AN51" s="17">
        <v>55.45</v>
      </c>
      <c r="AO51" s="17">
        <v>0</v>
      </c>
      <c r="AP51" s="17">
        <v>782.51300000000003</v>
      </c>
      <c r="AQ51" s="17">
        <v>443.75400000000002</v>
      </c>
      <c r="AR51" s="17">
        <v>443.75400000000002</v>
      </c>
      <c r="AS51" s="17">
        <v>0</v>
      </c>
      <c r="AT51" s="17">
        <v>644.52200000000005</v>
      </c>
      <c r="AU51" s="17">
        <v>12.391999999999999</v>
      </c>
      <c r="AV51" s="17">
        <v>12.554</v>
      </c>
      <c r="AW51" s="17">
        <v>12.715999999999999</v>
      </c>
      <c r="AX51" s="17">
        <v>0.32400000000000001</v>
      </c>
      <c r="AY51" s="17">
        <f t="shared" si="5"/>
        <v>1.6033414549251652</v>
      </c>
      <c r="AZ51" s="17">
        <f t="shared" si="6"/>
        <v>2.662658959537572</v>
      </c>
    </row>
    <row r="52" spans="1:52" ht="18" customHeight="1" x14ac:dyDescent="0.2">
      <c r="B52" s="27">
        <v>12</v>
      </c>
      <c r="C52" s="17">
        <v>14.56833</v>
      </c>
      <c r="D52" s="17">
        <v>23.745114999999998</v>
      </c>
      <c r="E52" s="17">
        <v>667.89009999999996</v>
      </c>
      <c r="F52" s="17">
        <v>774.45664999999997</v>
      </c>
      <c r="G52" s="17">
        <v>0.54600000000000004</v>
      </c>
      <c r="H52" s="17">
        <v>0.78500000000000003</v>
      </c>
      <c r="I52" s="17">
        <f t="shared" si="0"/>
        <v>1.0938784625791826</v>
      </c>
      <c r="J52" s="17">
        <f t="shared" si="1"/>
        <v>1.3290272388922657</v>
      </c>
      <c r="K52" s="17">
        <f t="shared" si="2"/>
        <v>2.0362440685821534E-3</v>
      </c>
      <c r="L52" s="17">
        <f t="shared" si="3"/>
        <v>1.6299133119581997</v>
      </c>
      <c r="M52" s="17">
        <v>774.33</v>
      </c>
      <c r="N52" s="27">
        <v>9.3010000000000002</v>
      </c>
      <c r="O52" s="27">
        <v>21.37</v>
      </c>
      <c r="P52" s="103">
        <f t="shared" si="4"/>
        <v>68.63</v>
      </c>
      <c r="Z52" s="17">
        <v>5.43</v>
      </c>
      <c r="AA52" s="17">
        <v>22.94</v>
      </c>
      <c r="AB52" s="17">
        <v>18.231000000000002</v>
      </c>
      <c r="AC52" s="17">
        <v>771.02</v>
      </c>
      <c r="AD52" s="17">
        <v>722.53</v>
      </c>
      <c r="AE52" s="17">
        <v>54.667999999999999</v>
      </c>
      <c r="AF52" s="17">
        <v>42.908000000000001</v>
      </c>
      <c r="AG52" s="17">
        <v>6.8099999999999994E-2</v>
      </c>
      <c r="AH52" s="17">
        <v>6.8559999999999996E-2</v>
      </c>
      <c r="AI52" s="17">
        <v>0.24209</v>
      </c>
      <c r="AJ52" s="17">
        <v>0</v>
      </c>
      <c r="AK52" s="17">
        <v>0.58340000000000003</v>
      </c>
      <c r="AL52" s="17">
        <v>32.555999999999997</v>
      </c>
      <c r="AM52" s="17">
        <v>1.47319</v>
      </c>
      <c r="AN52" s="17">
        <v>62.64</v>
      </c>
      <c r="AO52" s="17">
        <v>0</v>
      </c>
      <c r="AP52" s="17">
        <v>767.39</v>
      </c>
      <c r="AQ52" s="17">
        <v>352.666</v>
      </c>
      <c r="AR52" s="17">
        <v>352.666</v>
      </c>
      <c r="AS52" s="17">
        <v>0</v>
      </c>
      <c r="AT52" s="17">
        <v>681.553</v>
      </c>
      <c r="AU52" s="17">
        <v>12.715999999999999</v>
      </c>
      <c r="AV52" s="17">
        <v>12.916</v>
      </c>
      <c r="AW52" s="17">
        <v>13.117000000000001</v>
      </c>
      <c r="AX52" s="17">
        <v>0.40100000000000002</v>
      </c>
      <c r="AY52" s="17">
        <f t="shared" si="5"/>
        <v>1.6063300889293468</v>
      </c>
      <c r="AZ52" s="17">
        <f t="shared" si="6"/>
        <v>2.6520231213872831</v>
      </c>
    </row>
    <row r="53" spans="1:52" s="96" customFormat="1" ht="18" customHeight="1" x14ac:dyDescent="0.2">
      <c r="A53" s="94" t="s">
        <v>116</v>
      </c>
      <c r="B53" s="97"/>
      <c r="C53" s="95"/>
      <c r="D53" s="95"/>
      <c r="E53" s="95"/>
      <c r="F53" s="95"/>
      <c r="G53" s="95"/>
      <c r="H53" s="95"/>
      <c r="I53" s="95"/>
      <c r="J53" s="95"/>
      <c r="K53" s="95"/>
      <c r="L53" s="95"/>
      <c r="M53" s="95"/>
      <c r="N53" s="97"/>
      <c r="O53" s="97"/>
      <c r="P53" s="102"/>
      <c r="Z53" s="95">
        <v>0</v>
      </c>
      <c r="AA53" s="95">
        <v>0</v>
      </c>
      <c r="AB53" s="95">
        <v>0</v>
      </c>
      <c r="AC53" s="95">
        <v>0</v>
      </c>
      <c r="AD53" s="95">
        <v>0</v>
      </c>
      <c r="AE53" s="95">
        <v>0</v>
      </c>
      <c r="AF53" s="95">
        <v>0</v>
      </c>
      <c r="AG53" s="95">
        <v>0</v>
      </c>
      <c r="AH53" s="95">
        <v>0</v>
      </c>
      <c r="AI53" s="95">
        <v>0</v>
      </c>
      <c r="AJ53" s="95">
        <v>0</v>
      </c>
      <c r="AK53" s="95">
        <v>0</v>
      </c>
      <c r="AL53" s="95">
        <v>0</v>
      </c>
      <c r="AM53" s="95">
        <v>0</v>
      </c>
      <c r="AN53" s="95">
        <v>0</v>
      </c>
      <c r="AO53" s="95">
        <v>0</v>
      </c>
      <c r="AP53" s="95">
        <v>0</v>
      </c>
      <c r="AQ53" s="95">
        <v>0</v>
      </c>
      <c r="AR53" s="95">
        <v>0</v>
      </c>
      <c r="AS53" s="95">
        <v>0</v>
      </c>
      <c r="AT53" s="95">
        <v>0</v>
      </c>
      <c r="AU53" s="95">
        <v>0</v>
      </c>
      <c r="AV53" s="95">
        <v>0</v>
      </c>
      <c r="AW53" s="95">
        <v>0</v>
      </c>
      <c r="AX53" s="95">
        <v>0</v>
      </c>
      <c r="AY53" s="95"/>
      <c r="AZ53" s="95"/>
    </row>
    <row r="54" spans="1:52" s="96" customFormat="1" ht="18" customHeight="1" x14ac:dyDescent="0.2">
      <c r="A54" s="97"/>
      <c r="B54" s="97">
        <v>1</v>
      </c>
      <c r="C54" s="95">
        <v>22.920770000000001</v>
      </c>
      <c r="D54" s="95">
        <v>22.461455000000001</v>
      </c>
      <c r="E54" s="95">
        <v>782.01766999999995</v>
      </c>
      <c r="F54" s="95">
        <v>782.01766999999995</v>
      </c>
      <c r="G54" s="95">
        <v>0.624</v>
      </c>
      <c r="H54" s="95">
        <v>0.42499999999999999</v>
      </c>
      <c r="I54" s="95">
        <f t="shared" si="0"/>
        <v>1.0402945590541683</v>
      </c>
      <c r="J54" s="95">
        <f t="shared" si="1"/>
        <v>1.12526763241015</v>
      </c>
      <c r="K54" s="95">
        <f t="shared" si="2"/>
        <v>1.3906038090099083E-3</v>
      </c>
      <c r="L54" s="95">
        <f t="shared" si="3"/>
        <v>0.97996075175484942</v>
      </c>
      <c r="M54" s="95">
        <v>755.83</v>
      </c>
      <c r="N54" s="98">
        <v>12.981</v>
      </c>
      <c r="O54" s="97">
        <v>28</v>
      </c>
      <c r="P54" s="102">
        <f t="shared" si="4"/>
        <v>62</v>
      </c>
      <c r="Z54" s="95">
        <v>5.43</v>
      </c>
      <c r="AA54" s="95">
        <v>23.036000000000001</v>
      </c>
      <c r="AB54" s="95">
        <v>20.244</v>
      </c>
      <c r="AC54" s="95">
        <v>752.67</v>
      </c>
      <c r="AD54" s="95">
        <v>725.66</v>
      </c>
      <c r="AE54" s="95">
        <v>50.212000000000003</v>
      </c>
      <c r="AF54" s="95">
        <v>43.664000000000001</v>
      </c>
      <c r="AG54" s="95">
        <v>7.5300000000000006E-2</v>
      </c>
      <c r="AH54" s="95">
        <v>6.8559999999999996E-2</v>
      </c>
      <c r="AI54" s="95">
        <v>0.24213999999999999</v>
      </c>
      <c r="AJ54" s="95">
        <v>0</v>
      </c>
      <c r="AK54" s="95">
        <v>0.43440000000000001</v>
      </c>
      <c r="AL54" s="95">
        <v>19.524999999999999</v>
      </c>
      <c r="AM54" s="95">
        <v>1.46705</v>
      </c>
      <c r="AN54" s="95">
        <v>21.74</v>
      </c>
      <c r="AO54" s="95">
        <v>0</v>
      </c>
      <c r="AP54" s="95">
        <v>572.57299999999998</v>
      </c>
      <c r="AQ54" s="95">
        <v>531.84</v>
      </c>
      <c r="AR54" s="95">
        <v>531.84</v>
      </c>
      <c r="AS54" s="95">
        <v>0</v>
      </c>
      <c r="AT54" s="95">
        <v>212.09899999999999</v>
      </c>
      <c r="AU54" s="95">
        <v>9.66</v>
      </c>
      <c r="AV54" s="95">
        <v>9.8179999999999996</v>
      </c>
      <c r="AW54" s="95">
        <v>9.9770000000000003</v>
      </c>
      <c r="AX54" s="95">
        <v>0.317</v>
      </c>
      <c r="AY54" s="95">
        <f t="shared" si="5"/>
        <v>0.97202413603949533</v>
      </c>
      <c r="AZ54" s="95">
        <f t="shared" si="6"/>
        <v>2.6631213872832369</v>
      </c>
    </row>
    <row r="55" spans="1:52" s="96" customFormat="1" ht="18" customHeight="1" x14ac:dyDescent="0.2">
      <c r="A55" s="97"/>
      <c r="B55" s="97">
        <v>2</v>
      </c>
      <c r="C55" s="95">
        <v>22.982184999999998</v>
      </c>
      <c r="D55" s="95">
        <v>22.566985000000003</v>
      </c>
      <c r="E55" s="95">
        <v>761.30704999999989</v>
      </c>
      <c r="F55" s="95">
        <v>761.30704999999989</v>
      </c>
      <c r="G55" s="95">
        <v>0.63700000000000001</v>
      </c>
      <c r="H55" s="95">
        <v>0.437</v>
      </c>
      <c r="I55" s="95">
        <f t="shared" si="0"/>
        <v>1.0413795574583475</v>
      </c>
      <c r="J55" s="95">
        <f t="shared" si="1"/>
        <v>1.1316545980595885</v>
      </c>
      <c r="K55" s="95">
        <f t="shared" si="2"/>
        <v>1.2528002284388825E-3</v>
      </c>
      <c r="L55" s="95">
        <f t="shared" si="3"/>
        <v>0.98193383266212519</v>
      </c>
      <c r="M55" s="95">
        <v>750.12</v>
      </c>
      <c r="N55" s="98">
        <v>12.721</v>
      </c>
      <c r="O55" s="97">
        <v>21.3</v>
      </c>
      <c r="P55" s="102">
        <f t="shared" si="4"/>
        <v>68.7</v>
      </c>
      <c r="Z55" s="95">
        <v>5.43</v>
      </c>
      <c r="AA55" s="95">
        <v>23.087</v>
      </c>
      <c r="AB55" s="95">
        <v>20.263000000000002</v>
      </c>
      <c r="AC55" s="95">
        <v>748.89</v>
      </c>
      <c r="AD55" s="95">
        <v>721.75</v>
      </c>
      <c r="AE55" s="95">
        <v>49.293999999999997</v>
      </c>
      <c r="AF55" s="95">
        <v>42.718000000000004</v>
      </c>
      <c r="AG55" s="95">
        <v>7.578E-2</v>
      </c>
      <c r="AH55" s="95">
        <v>6.8559999999999996E-2</v>
      </c>
      <c r="AI55" s="95">
        <v>0.24207999999999999</v>
      </c>
      <c r="AJ55" s="95">
        <v>0</v>
      </c>
      <c r="AK55" s="95">
        <v>0.4365</v>
      </c>
      <c r="AL55" s="95">
        <v>18.963000000000001</v>
      </c>
      <c r="AM55" s="95">
        <v>1.4656800000000001</v>
      </c>
      <c r="AN55" s="95">
        <v>18.510000000000002</v>
      </c>
      <c r="AO55" s="95">
        <v>0</v>
      </c>
      <c r="AP55" s="95">
        <v>573.84100000000001</v>
      </c>
      <c r="AQ55" s="95">
        <v>544.14200000000005</v>
      </c>
      <c r="AR55" s="95">
        <v>544.14200000000005</v>
      </c>
      <c r="AS55" s="95">
        <v>0</v>
      </c>
      <c r="AT55" s="95">
        <v>182.21799999999999</v>
      </c>
      <c r="AU55" s="95">
        <v>9.9770000000000003</v>
      </c>
      <c r="AV55" s="95">
        <v>10.125999999999999</v>
      </c>
      <c r="AW55" s="95">
        <v>10.275</v>
      </c>
      <c r="AX55" s="95">
        <v>0.29799999999999999</v>
      </c>
      <c r="AY55" s="95">
        <f t="shared" si="5"/>
        <v>0.97755853834102546</v>
      </c>
      <c r="AZ55" s="95">
        <f t="shared" si="6"/>
        <v>2.6690173410404623</v>
      </c>
    </row>
    <row r="56" spans="1:52" s="96" customFormat="1" ht="18" customHeight="1" x14ac:dyDescent="0.2">
      <c r="A56" s="97"/>
      <c r="B56" s="97">
        <v>3</v>
      </c>
      <c r="C56" s="95">
        <v>23.044464999999999</v>
      </c>
      <c r="D56" s="95">
        <v>22.670784999999999</v>
      </c>
      <c r="E56" s="95">
        <v>750.02030999999999</v>
      </c>
      <c r="F56" s="95">
        <v>750.02030999999999</v>
      </c>
      <c r="G56" s="95">
        <v>0.64700000000000002</v>
      </c>
      <c r="H56" s="95">
        <v>0.45</v>
      </c>
      <c r="I56" s="95">
        <f t="shared" si="0"/>
        <v>1.0415394521864487</v>
      </c>
      <c r="J56" s="95">
        <f t="shared" si="1"/>
        <v>1.1343967306575522</v>
      </c>
      <c r="K56" s="95">
        <f t="shared" si="2"/>
        <v>1.1237434858422431E-3</v>
      </c>
      <c r="L56" s="95">
        <f t="shared" si="3"/>
        <v>0.98378439247775984</v>
      </c>
      <c r="M56" s="95">
        <v>746.33</v>
      </c>
      <c r="N56" s="98">
        <v>12.477</v>
      </c>
      <c r="O56" s="97">
        <v>17.88</v>
      </c>
      <c r="P56" s="102">
        <f t="shared" si="4"/>
        <v>72.12</v>
      </c>
      <c r="Z56" s="95">
        <v>5.43</v>
      </c>
      <c r="AA56" s="95">
        <v>23.126000000000001</v>
      </c>
      <c r="AB56" s="95">
        <v>20.277999999999999</v>
      </c>
      <c r="AC56" s="95">
        <v>746.5</v>
      </c>
      <c r="AD56" s="95">
        <v>719.24</v>
      </c>
      <c r="AE56" s="95">
        <v>48.716000000000001</v>
      </c>
      <c r="AF56" s="95">
        <v>42.110999999999997</v>
      </c>
      <c r="AG56" s="95">
        <v>7.6100000000000001E-2</v>
      </c>
      <c r="AH56" s="95">
        <v>6.8559999999999996E-2</v>
      </c>
      <c r="AI56" s="95">
        <v>0.24203</v>
      </c>
      <c r="AJ56" s="95">
        <v>0</v>
      </c>
      <c r="AK56" s="95">
        <v>0.43819999999999998</v>
      </c>
      <c r="AL56" s="95">
        <v>18.658000000000001</v>
      </c>
      <c r="AM56" s="95">
        <v>1.46479</v>
      </c>
      <c r="AN56" s="95">
        <v>16.72</v>
      </c>
      <c r="AO56" s="95">
        <v>0</v>
      </c>
      <c r="AP56" s="95">
        <v>575.06200000000001</v>
      </c>
      <c r="AQ56" s="95">
        <v>550.74099999999999</v>
      </c>
      <c r="AR56" s="95">
        <v>550.74099999999999</v>
      </c>
      <c r="AS56" s="95">
        <v>0</v>
      </c>
      <c r="AT56" s="95">
        <v>165.47200000000001</v>
      </c>
      <c r="AU56" s="95">
        <v>10.275</v>
      </c>
      <c r="AV56" s="95">
        <v>10.417</v>
      </c>
      <c r="AW56" s="95">
        <v>10.56</v>
      </c>
      <c r="AX56" s="95">
        <v>0.28499999999999998</v>
      </c>
      <c r="AY56" s="95">
        <f t="shared" si="5"/>
        <v>0.98107924656371981</v>
      </c>
      <c r="AZ56" s="95">
        <f t="shared" si="6"/>
        <v>2.6735260115606936</v>
      </c>
    </row>
    <row r="57" spans="1:52" s="96" customFormat="1" ht="18" customHeight="1" x14ac:dyDescent="0.2">
      <c r="A57" s="97"/>
      <c r="B57" s="97">
        <v>4</v>
      </c>
      <c r="C57" s="95">
        <v>23.161239999999999</v>
      </c>
      <c r="D57" s="95">
        <v>22.784965000000003</v>
      </c>
      <c r="E57" s="95">
        <v>743.9386199999999</v>
      </c>
      <c r="F57" s="95">
        <v>743.82903999999996</v>
      </c>
      <c r="G57" s="95">
        <v>0.65900000000000003</v>
      </c>
      <c r="H57" s="95">
        <v>0.46400000000000002</v>
      </c>
      <c r="I57" s="95">
        <f t="shared" si="0"/>
        <v>1.0418355058231863</v>
      </c>
      <c r="J57" s="95">
        <f t="shared" si="1"/>
        <v>1.1360763289174027</v>
      </c>
      <c r="K57" s="95">
        <f t="shared" si="2"/>
        <v>1.0905321829794076E-3</v>
      </c>
      <c r="L57" s="95">
        <f t="shared" si="3"/>
        <v>0.98375410815655828</v>
      </c>
      <c r="M57" s="95">
        <v>744.45</v>
      </c>
      <c r="N57" s="98">
        <v>12.16</v>
      </c>
      <c r="O57" s="97">
        <v>16.23</v>
      </c>
      <c r="P57" s="102">
        <f t="shared" si="4"/>
        <v>73.77</v>
      </c>
      <c r="Z57" s="95">
        <v>5.43</v>
      </c>
      <c r="AA57" s="95">
        <v>23.123000000000001</v>
      </c>
      <c r="AB57" s="95">
        <v>20.289000000000001</v>
      </c>
      <c r="AC57" s="95">
        <v>745.37</v>
      </c>
      <c r="AD57" s="95">
        <v>718.29</v>
      </c>
      <c r="AE57" s="95">
        <v>48.442</v>
      </c>
      <c r="AF57" s="95">
        <v>41.881</v>
      </c>
      <c r="AG57" s="95">
        <v>7.6240000000000002E-2</v>
      </c>
      <c r="AH57" s="95">
        <v>6.8559999999999996E-2</v>
      </c>
      <c r="AI57" s="95">
        <v>0.24202000000000001</v>
      </c>
      <c r="AJ57" s="95">
        <v>0</v>
      </c>
      <c r="AK57" s="95">
        <v>0.437</v>
      </c>
      <c r="AL57" s="95">
        <v>18.611999999999998</v>
      </c>
      <c r="AM57" s="95">
        <v>1.4644299999999999</v>
      </c>
      <c r="AN57" s="95">
        <v>15.96</v>
      </c>
      <c r="AO57" s="95">
        <v>0</v>
      </c>
      <c r="AP57" s="95">
        <v>573.15300000000002</v>
      </c>
      <c r="AQ57" s="95">
        <v>551.05399999999997</v>
      </c>
      <c r="AR57" s="95">
        <v>551.05399999999997</v>
      </c>
      <c r="AS57" s="95">
        <v>0</v>
      </c>
      <c r="AT57" s="95">
        <v>157.61699999999999</v>
      </c>
      <c r="AU57" s="95">
        <v>10.56</v>
      </c>
      <c r="AV57" s="95">
        <v>10.698</v>
      </c>
      <c r="AW57" s="95">
        <v>10.837</v>
      </c>
      <c r="AX57" s="95">
        <v>0.27700000000000002</v>
      </c>
      <c r="AY57" s="95">
        <f t="shared" si="5"/>
        <v>0.98303715670436198</v>
      </c>
      <c r="AZ57" s="95">
        <f t="shared" si="6"/>
        <v>2.6731791907514451</v>
      </c>
    </row>
    <row r="58" spans="1:52" s="96" customFormat="1" ht="18" customHeight="1" x14ac:dyDescent="0.2">
      <c r="A58" s="97"/>
      <c r="B58" s="97">
        <v>5</v>
      </c>
      <c r="C58" s="95">
        <v>23.208815000000001</v>
      </c>
      <c r="D58" s="95">
        <v>22.868005</v>
      </c>
      <c r="E58" s="95">
        <v>741.58264999999994</v>
      </c>
      <c r="F58" s="95">
        <v>741.58264999999994</v>
      </c>
      <c r="G58" s="95">
        <v>0.67200000000000004</v>
      </c>
      <c r="H58" s="95">
        <v>0.47499999999999998</v>
      </c>
      <c r="I58" s="95">
        <f t="shared" si="0"/>
        <v>1.0432405693098912</v>
      </c>
      <c r="J58" s="95">
        <f t="shared" si="1"/>
        <v>1.142670322200112</v>
      </c>
      <c r="K58" s="95">
        <f t="shared" si="2"/>
        <v>1.0172618624829134E-3</v>
      </c>
      <c r="L58" s="95">
        <f t="shared" si="3"/>
        <v>0.98531549327270684</v>
      </c>
      <c r="M58" s="95">
        <v>743.8</v>
      </c>
      <c r="N58" s="98">
        <v>11.846</v>
      </c>
      <c r="O58" s="97">
        <v>15.87</v>
      </c>
      <c r="P58" s="102">
        <f t="shared" si="4"/>
        <v>74.13</v>
      </c>
      <c r="Z58" s="95">
        <v>5.43</v>
      </c>
      <c r="AA58" s="95">
        <v>23.071999999999999</v>
      </c>
      <c r="AB58" s="95">
        <v>20.298999999999999</v>
      </c>
      <c r="AC58" s="95">
        <v>744.88</v>
      </c>
      <c r="AD58" s="95">
        <v>718.36</v>
      </c>
      <c r="AE58" s="95">
        <v>48.322000000000003</v>
      </c>
      <c r="AF58" s="95">
        <v>41.899000000000001</v>
      </c>
      <c r="AG58" s="95">
        <v>7.6270000000000004E-2</v>
      </c>
      <c r="AH58" s="95">
        <v>6.8559999999999996E-2</v>
      </c>
      <c r="AI58" s="95">
        <v>0.24202000000000001</v>
      </c>
      <c r="AJ58" s="95">
        <v>0</v>
      </c>
      <c r="AK58" s="95">
        <v>0.43240000000000001</v>
      </c>
      <c r="AL58" s="95">
        <v>18.786000000000001</v>
      </c>
      <c r="AM58" s="95">
        <v>1.4644200000000001</v>
      </c>
      <c r="AN58" s="95">
        <v>15.78</v>
      </c>
      <c r="AO58" s="95">
        <v>0</v>
      </c>
      <c r="AP58" s="95">
        <v>567.101</v>
      </c>
      <c r="AQ58" s="95">
        <v>545.726</v>
      </c>
      <c r="AR58" s="95">
        <v>545.726</v>
      </c>
      <c r="AS58" s="95">
        <v>0</v>
      </c>
      <c r="AT58" s="95">
        <v>154.22900000000001</v>
      </c>
      <c r="AU58" s="95">
        <v>10.837</v>
      </c>
      <c r="AV58" s="95">
        <v>10.973000000000001</v>
      </c>
      <c r="AW58" s="95">
        <v>11.109</v>
      </c>
      <c r="AX58" s="95">
        <v>0.27200000000000002</v>
      </c>
      <c r="AY58" s="95">
        <f t="shared" si="5"/>
        <v>0.98392255533284989</v>
      </c>
      <c r="AZ58" s="95">
        <f t="shared" si="6"/>
        <v>2.6672832369942197</v>
      </c>
    </row>
    <row r="59" spans="1:52" s="96" customFormat="1" ht="18" customHeight="1" x14ac:dyDescent="0.2">
      <c r="A59" s="97"/>
      <c r="B59" s="97">
        <v>6</v>
      </c>
      <c r="C59" s="95">
        <v>23.291854999999998</v>
      </c>
      <c r="D59" s="95">
        <v>22.943260000000002</v>
      </c>
      <c r="E59" s="95">
        <v>741.14432999999997</v>
      </c>
      <c r="F59" s="95">
        <v>741.14432999999997</v>
      </c>
      <c r="G59" s="95">
        <v>0.68500000000000005</v>
      </c>
      <c r="H59" s="95">
        <v>0.48499999999999999</v>
      </c>
      <c r="I59" s="95">
        <f t="shared" si="0"/>
        <v>1.0446972193172213</v>
      </c>
      <c r="J59" s="95">
        <f t="shared" si="1"/>
        <v>1.147935758515688</v>
      </c>
      <c r="K59" s="95">
        <f t="shared" si="2"/>
        <v>1.0369804356676112E-3</v>
      </c>
      <c r="L59" s="95">
        <f t="shared" si="3"/>
        <v>0.98503360938834639</v>
      </c>
      <c r="M59" s="95">
        <v>743.77</v>
      </c>
      <c r="N59" s="98">
        <v>11.53</v>
      </c>
      <c r="O59" s="97">
        <v>15.79</v>
      </c>
      <c r="P59" s="102">
        <f t="shared" si="4"/>
        <v>74.210000000000008</v>
      </c>
      <c r="Z59" s="95">
        <v>5.43</v>
      </c>
      <c r="AA59" s="95">
        <v>23.018999999999998</v>
      </c>
      <c r="AB59" s="95">
        <v>20.309000000000001</v>
      </c>
      <c r="AC59" s="95">
        <v>744.81</v>
      </c>
      <c r="AD59" s="95">
        <v>718.87</v>
      </c>
      <c r="AE59" s="95">
        <v>48.305999999999997</v>
      </c>
      <c r="AF59" s="95">
        <v>42.021000000000001</v>
      </c>
      <c r="AG59" s="95">
        <v>7.6249999999999998E-2</v>
      </c>
      <c r="AH59" s="95">
        <v>6.8559999999999996E-2</v>
      </c>
      <c r="AI59" s="95">
        <v>0.24203</v>
      </c>
      <c r="AJ59" s="95">
        <v>0</v>
      </c>
      <c r="AK59" s="95">
        <v>0.42759999999999998</v>
      </c>
      <c r="AL59" s="95">
        <v>18.995000000000001</v>
      </c>
      <c r="AM59" s="95">
        <v>1.4645600000000001</v>
      </c>
      <c r="AN59" s="95">
        <v>15.79</v>
      </c>
      <c r="AO59" s="95">
        <v>0</v>
      </c>
      <c r="AP59" s="95">
        <v>561.00599999999997</v>
      </c>
      <c r="AQ59" s="95">
        <v>539.83900000000006</v>
      </c>
      <c r="AR59" s="95">
        <v>539.83900000000006</v>
      </c>
      <c r="AS59" s="95">
        <v>0</v>
      </c>
      <c r="AT59" s="95">
        <v>152.64699999999999</v>
      </c>
      <c r="AU59" s="95">
        <v>11.109</v>
      </c>
      <c r="AV59" s="95">
        <v>11.243</v>
      </c>
      <c r="AW59" s="95">
        <v>11.378</v>
      </c>
      <c r="AX59" s="95">
        <v>0.26900000000000002</v>
      </c>
      <c r="AY59" s="95">
        <f t="shared" si="5"/>
        <v>0.98455945252352439</v>
      </c>
      <c r="AZ59" s="95">
        <f t="shared" si="6"/>
        <v>2.6611560693641616</v>
      </c>
    </row>
    <row r="60" spans="1:52" s="96" customFormat="1" ht="18" customHeight="1" x14ac:dyDescent="0.2">
      <c r="A60" s="97"/>
      <c r="B60" s="97">
        <v>7</v>
      </c>
      <c r="C60" s="95">
        <v>23.374030000000001</v>
      </c>
      <c r="D60" s="95">
        <v>23.015055</v>
      </c>
      <c r="E60" s="95">
        <v>741.52785999999992</v>
      </c>
      <c r="F60" s="95">
        <v>741.52785999999992</v>
      </c>
      <c r="G60" s="95">
        <v>0.69899999999999995</v>
      </c>
      <c r="H60" s="95">
        <v>0.495</v>
      </c>
      <c r="I60" s="95">
        <f t="shared" si="0"/>
        <v>1.0464394354650359</v>
      </c>
      <c r="J60" s="95">
        <f t="shared" si="1"/>
        <v>1.1541912097143208</v>
      </c>
      <c r="K60" s="95">
        <f t="shared" si="2"/>
        <v>1.0643535378953642E-3</v>
      </c>
      <c r="L60" s="95">
        <f t="shared" si="3"/>
        <v>0.98464214343867951</v>
      </c>
      <c r="M60" s="95">
        <v>744.21</v>
      </c>
      <c r="N60" s="98">
        <v>11.21</v>
      </c>
      <c r="O60" s="97">
        <v>15.79</v>
      </c>
      <c r="P60" s="102">
        <f t="shared" si="4"/>
        <v>74.210000000000008</v>
      </c>
      <c r="Z60" s="95">
        <v>5.43</v>
      </c>
      <c r="AA60" s="95">
        <v>22.957999999999998</v>
      </c>
      <c r="AB60" s="95">
        <v>20.317</v>
      </c>
      <c r="AC60" s="95">
        <v>745.21</v>
      </c>
      <c r="AD60" s="95">
        <v>719.89</v>
      </c>
      <c r="AE60" s="95">
        <v>48.402999999999999</v>
      </c>
      <c r="AF60" s="95">
        <v>42.268000000000001</v>
      </c>
      <c r="AG60" s="95">
        <v>7.6179999999999998E-2</v>
      </c>
      <c r="AH60" s="95">
        <v>6.8559999999999996E-2</v>
      </c>
      <c r="AI60" s="95">
        <v>0.24204000000000001</v>
      </c>
      <c r="AJ60" s="95">
        <v>0</v>
      </c>
      <c r="AK60" s="95">
        <v>0.42209999999999998</v>
      </c>
      <c r="AL60" s="95">
        <v>19.245000000000001</v>
      </c>
      <c r="AM60" s="95">
        <v>1.4648699999999999</v>
      </c>
      <c r="AN60" s="95">
        <v>15.79</v>
      </c>
      <c r="AO60" s="95">
        <v>0</v>
      </c>
      <c r="AP60" s="95">
        <v>554.26400000000001</v>
      </c>
      <c r="AQ60" s="95">
        <v>533.34900000000005</v>
      </c>
      <c r="AR60" s="95">
        <v>533.34900000000005</v>
      </c>
      <c r="AS60" s="95">
        <v>0</v>
      </c>
      <c r="AT60" s="95">
        <v>150.822</v>
      </c>
      <c r="AU60" s="95">
        <v>11.378</v>
      </c>
      <c r="AV60" s="95">
        <v>11.510999999999999</v>
      </c>
      <c r="AW60" s="95">
        <v>11.644</v>
      </c>
      <c r="AX60" s="95">
        <v>0.26600000000000001</v>
      </c>
      <c r="AY60" s="95">
        <f t="shared" si="5"/>
        <v>0.98494143892916886</v>
      </c>
      <c r="AZ60" s="95">
        <f t="shared" si="6"/>
        <v>2.6541040462427743</v>
      </c>
    </row>
    <row r="61" spans="1:52" s="96" customFormat="1" ht="18" customHeight="1" x14ac:dyDescent="0.2">
      <c r="A61" s="97"/>
      <c r="B61" s="97">
        <v>8</v>
      </c>
      <c r="C61" s="95">
        <v>23.456205000000001</v>
      </c>
      <c r="D61" s="95">
        <v>23.077335000000001</v>
      </c>
      <c r="E61" s="95">
        <v>743.55508999999995</v>
      </c>
      <c r="F61" s="95">
        <v>743.55508999999995</v>
      </c>
      <c r="G61" s="95">
        <v>0.71399999999999997</v>
      </c>
      <c r="H61" s="95">
        <v>0.504</v>
      </c>
      <c r="I61" s="95">
        <f t="shared" si="0"/>
        <v>1.0486827600068214</v>
      </c>
      <c r="J61" s="95">
        <f t="shared" si="1"/>
        <v>1.1619363953958728</v>
      </c>
      <c r="K61" s="95">
        <f t="shared" si="2"/>
        <v>1.1198400599103583E-3</v>
      </c>
      <c r="L61" s="95">
        <f t="shared" si="3"/>
        <v>0.98384777077110308</v>
      </c>
      <c r="M61" s="95">
        <v>745</v>
      </c>
      <c r="N61" s="98">
        <v>10.887</v>
      </c>
      <c r="O61" s="97">
        <v>15.78</v>
      </c>
      <c r="P61" s="102">
        <f t="shared" si="4"/>
        <v>74.22</v>
      </c>
      <c r="Z61" s="95">
        <v>5.43</v>
      </c>
      <c r="AA61" s="95">
        <v>22.888000000000002</v>
      </c>
      <c r="AB61" s="95">
        <v>20.326000000000001</v>
      </c>
      <c r="AC61" s="95">
        <v>745.97</v>
      </c>
      <c r="AD61" s="95">
        <v>721.32</v>
      </c>
      <c r="AE61" s="95">
        <v>48.587000000000003</v>
      </c>
      <c r="AF61" s="95">
        <v>42.615000000000002</v>
      </c>
      <c r="AG61" s="95">
        <v>7.6060000000000003E-2</v>
      </c>
      <c r="AH61" s="95">
        <v>6.8559999999999996E-2</v>
      </c>
      <c r="AI61" s="95">
        <v>0.24207000000000001</v>
      </c>
      <c r="AJ61" s="95">
        <v>0</v>
      </c>
      <c r="AK61" s="95">
        <v>0.41610000000000003</v>
      </c>
      <c r="AL61" s="95">
        <v>19.542000000000002</v>
      </c>
      <c r="AM61" s="95">
        <v>1.46532</v>
      </c>
      <c r="AN61" s="95">
        <v>15.83</v>
      </c>
      <c r="AO61" s="95">
        <v>0</v>
      </c>
      <c r="AP61" s="95">
        <v>546.83699999999999</v>
      </c>
      <c r="AQ61" s="95">
        <v>526.09500000000003</v>
      </c>
      <c r="AR61" s="95">
        <v>526.09500000000003</v>
      </c>
      <c r="AS61" s="95">
        <v>0</v>
      </c>
      <c r="AT61" s="95">
        <v>149.18199999999999</v>
      </c>
      <c r="AU61" s="95">
        <v>11.644</v>
      </c>
      <c r="AV61" s="95">
        <v>11.776</v>
      </c>
      <c r="AW61" s="95">
        <v>11.907999999999999</v>
      </c>
      <c r="AX61" s="95">
        <v>0.26400000000000001</v>
      </c>
      <c r="AY61" s="95">
        <f t="shared" si="5"/>
        <v>0.98515043257435553</v>
      </c>
      <c r="AZ61" s="95">
        <f t="shared" si="6"/>
        <v>2.6460115606936419</v>
      </c>
    </row>
    <row r="62" spans="1:52" s="96" customFormat="1" ht="18" customHeight="1" x14ac:dyDescent="0.2">
      <c r="A62" s="97"/>
      <c r="B62" s="97">
        <v>9</v>
      </c>
      <c r="C62" s="95">
        <v>23.539245000000001</v>
      </c>
      <c r="D62" s="95">
        <v>23.131830000000001</v>
      </c>
      <c r="E62" s="95">
        <v>746.84249</v>
      </c>
      <c r="F62" s="95">
        <v>746.84249</v>
      </c>
      <c r="G62" s="95">
        <v>0.73099999999999998</v>
      </c>
      <c r="H62" s="95">
        <v>0.51200000000000001</v>
      </c>
      <c r="I62" s="95">
        <f t="shared" si="0"/>
        <v>1.0517311954975006</v>
      </c>
      <c r="J62" s="95">
        <f t="shared" si="1"/>
        <v>1.1724224016217897</v>
      </c>
      <c r="K62" s="95">
        <f t="shared" si="2"/>
        <v>1.2006272310895634E-3</v>
      </c>
      <c r="L62" s="95">
        <f t="shared" si="3"/>
        <v>0.98269209568956017</v>
      </c>
      <c r="M62" s="95">
        <v>747.16</v>
      </c>
      <c r="N62" s="98">
        <v>10.557</v>
      </c>
      <c r="O62" s="97">
        <v>16.04</v>
      </c>
      <c r="P62" s="102">
        <f t="shared" si="4"/>
        <v>73.960000000000008</v>
      </c>
      <c r="Z62" s="95">
        <v>5.43</v>
      </c>
      <c r="AA62" s="95">
        <v>22.817</v>
      </c>
      <c r="AB62" s="95">
        <v>20.334</v>
      </c>
      <c r="AC62" s="95">
        <v>747.42</v>
      </c>
      <c r="AD62" s="95">
        <v>723.45</v>
      </c>
      <c r="AE62" s="95">
        <v>48.939</v>
      </c>
      <c r="AF62" s="95">
        <v>43.13</v>
      </c>
      <c r="AG62" s="95">
        <v>7.5859999999999997E-2</v>
      </c>
      <c r="AH62" s="95">
        <v>6.8559999999999996E-2</v>
      </c>
      <c r="AI62" s="95">
        <v>0.24210999999999999</v>
      </c>
      <c r="AJ62" s="95">
        <v>0</v>
      </c>
      <c r="AK62" s="95">
        <v>0.40970000000000001</v>
      </c>
      <c r="AL62" s="95">
        <v>19.881</v>
      </c>
      <c r="AM62" s="95">
        <v>1.46601</v>
      </c>
      <c r="AN62" s="95">
        <v>15.99</v>
      </c>
      <c r="AO62" s="95">
        <v>0</v>
      </c>
      <c r="AP62" s="95">
        <v>539.30999999999995</v>
      </c>
      <c r="AQ62" s="95">
        <v>518.43399999999997</v>
      </c>
      <c r="AR62" s="95">
        <v>518.43399999999997</v>
      </c>
      <c r="AS62" s="95">
        <v>0</v>
      </c>
      <c r="AT62" s="95">
        <v>148.596</v>
      </c>
      <c r="AU62" s="95">
        <v>11.907999999999999</v>
      </c>
      <c r="AV62" s="95">
        <v>12.039</v>
      </c>
      <c r="AW62" s="95">
        <v>12.170999999999999</v>
      </c>
      <c r="AX62" s="95">
        <v>0.26300000000000001</v>
      </c>
      <c r="AY62" s="95">
        <f t="shared" si="5"/>
        <v>0.98497733649902874</v>
      </c>
      <c r="AZ62" s="95">
        <f t="shared" si="6"/>
        <v>2.6378034682080922</v>
      </c>
    </row>
    <row r="63" spans="1:52" s="96" customFormat="1" ht="18" customHeight="1" x14ac:dyDescent="0.2">
      <c r="A63" s="97"/>
      <c r="B63" s="97">
        <v>10</v>
      </c>
      <c r="C63" s="95">
        <v>23.621420000000001</v>
      </c>
      <c r="D63" s="95">
        <v>23.13702</v>
      </c>
      <c r="E63" s="95">
        <v>753.69123999999988</v>
      </c>
      <c r="F63" s="95">
        <v>753.69123999999988</v>
      </c>
      <c r="G63" s="95">
        <v>0.751</v>
      </c>
      <c r="H63" s="95">
        <v>0.51800000000000002</v>
      </c>
      <c r="I63" s="95">
        <f t="shared" si="0"/>
        <v>1.0561235413767263</v>
      </c>
      <c r="J63" s="95">
        <f t="shared" si="1"/>
        <v>1.1857768079701547</v>
      </c>
      <c r="K63" s="95">
        <f t="shared" si="2"/>
        <v>1.4244510698515032E-3</v>
      </c>
      <c r="L63" s="95">
        <f t="shared" si="3"/>
        <v>0.97949318880914016</v>
      </c>
      <c r="M63" s="95">
        <v>751.07</v>
      </c>
      <c r="N63" s="98">
        <v>10.217000000000001</v>
      </c>
      <c r="O63" s="97">
        <v>17.420000000000002</v>
      </c>
      <c r="P63" s="102">
        <f t="shared" si="4"/>
        <v>72.58</v>
      </c>
      <c r="Z63" s="95">
        <v>5.43</v>
      </c>
      <c r="AA63" s="95">
        <v>22.742000000000001</v>
      </c>
      <c r="AB63" s="95">
        <v>20.341999999999999</v>
      </c>
      <c r="AC63" s="95">
        <v>750.53</v>
      </c>
      <c r="AD63" s="95">
        <v>727.22</v>
      </c>
      <c r="AE63" s="95">
        <v>49.692</v>
      </c>
      <c r="AF63" s="95">
        <v>44.042999999999999</v>
      </c>
      <c r="AG63" s="95">
        <v>7.5499999999999998E-2</v>
      </c>
      <c r="AH63" s="95">
        <v>6.8559999999999996E-2</v>
      </c>
      <c r="AI63" s="95">
        <v>0.24217</v>
      </c>
      <c r="AJ63" s="95">
        <v>0</v>
      </c>
      <c r="AK63" s="95">
        <v>0.40310000000000001</v>
      </c>
      <c r="AL63" s="95">
        <v>20.311</v>
      </c>
      <c r="AM63" s="95">
        <v>1.4672400000000001</v>
      </c>
      <c r="AN63" s="95">
        <v>16.53</v>
      </c>
      <c r="AO63" s="95">
        <v>0</v>
      </c>
      <c r="AP63" s="95">
        <v>531.88</v>
      </c>
      <c r="AQ63" s="95">
        <v>509.90600000000001</v>
      </c>
      <c r="AR63" s="95">
        <v>509.90600000000001</v>
      </c>
      <c r="AS63" s="95">
        <v>0</v>
      </c>
      <c r="AT63" s="95">
        <v>151.30199999999999</v>
      </c>
      <c r="AU63" s="95">
        <v>12.170999999999999</v>
      </c>
      <c r="AV63" s="95">
        <v>12.302</v>
      </c>
      <c r="AW63" s="95">
        <v>12.433999999999999</v>
      </c>
      <c r="AX63" s="95">
        <v>0.26300000000000001</v>
      </c>
      <c r="AY63" s="95">
        <f t="shared" si="5"/>
        <v>0.98416132940972822</v>
      </c>
      <c r="AZ63" s="95">
        <f t="shared" si="6"/>
        <v>2.6291329479768786</v>
      </c>
    </row>
    <row r="64" spans="1:52" s="96" customFormat="1" ht="18" customHeight="1" x14ac:dyDescent="0.2">
      <c r="A64" s="97"/>
      <c r="B64" s="97">
        <v>11</v>
      </c>
      <c r="C64" s="95">
        <v>23.703595</v>
      </c>
      <c r="D64" s="95">
        <v>23.062629999999999</v>
      </c>
      <c r="E64" s="95">
        <v>765.7450399999999</v>
      </c>
      <c r="F64" s="95">
        <v>765.7450399999999</v>
      </c>
      <c r="G64" s="95">
        <v>0.77300000000000002</v>
      </c>
      <c r="H64" s="95">
        <v>0.51900000000000002</v>
      </c>
      <c r="I64" s="95">
        <f t="shared" si="0"/>
        <v>1.062278519160103</v>
      </c>
      <c r="J64" s="95">
        <f t="shared" si="1"/>
        <v>1.2020679323350794</v>
      </c>
      <c r="K64" s="95">
        <f t="shared" si="2"/>
        <v>1.88370372392287E-3</v>
      </c>
      <c r="L64" s="95">
        <f t="shared" si="3"/>
        <v>0.97295916505492097</v>
      </c>
      <c r="M64" s="95">
        <v>757.64</v>
      </c>
      <c r="N64" s="98">
        <v>9.8550000000000004</v>
      </c>
      <c r="O64" s="97">
        <v>21.14</v>
      </c>
      <c r="P64" s="102">
        <f t="shared" si="4"/>
        <v>68.86</v>
      </c>
      <c r="Z64" s="95">
        <v>5.43</v>
      </c>
      <c r="AA64" s="95">
        <v>22.655999999999999</v>
      </c>
      <c r="AB64" s="95">
        <v>20.350000000000001</v>
      </c>
      <c r="AC64" s="95">
        <v>756.65</v>
      </c>
      <c r="AD64" s="95">
        <v>734.04</v>
      </c>
      <c r="AE64" s="95">
        <v>51.177999999999997</v>
      </c>
      <c r="AF64" s="95">
        <v>45.695</v>
      </c>
      <c r="AG64" s="95">
        <v>7.4829999999999994E-2</v>
      </c>
      <c r="AH64" s="95">
        <v>6.8559999999999996E-2</v>
      </c>
      <c r="AI64" s="95">
        <v>0.24229000000000001</v>
      </c>
      <c r="AJ64" s="95">
        <v>0</v>
      </c>
      <c r="AK64" s="95">
        <v>0.39529999999999998</v>
      </c>
      <c r="AL64" s="95">
        <v>20.978000000000002</v>
      </c>
      <c r="AM64" s="95">
        <v>1.4694700000000001</v>
      </c>
      <c r="AN64" s="95">
        <v>18.079999999999998</v>
      </c>
      <c r="AO64" s="95">
        <v>0</v>
      </c>
      <c r="AP64" s="95">
        <v>523.98699999999997</v>
      </c>
      <c r="AQ64" s="95">
        <v>498.12200000000001</v>
      </c>
      <c r="AR64" s="95">
        <v>498.12200000000001</v>
      </c>
      <c r="AS64" s="95">
        <v>0</v>
      </c>
      <c r="AT64" s="95">
        <v>162.59299999999999</v>
      </c>
      <c r="AU64" s="95">
        <v>12.433999999999999</v>
      </c>
      <c r="AV64" s="95">
        <v>12.566000000000001</v>
      </c>
      <c r="AW64" s="95">
        <v>12.699</v>
      </c>
      <c r="AX64" s="95">
        <v>0.26600000000000001</v>
      </c>
      <c r="AY64" s="95">
        <f t="shared" si="5"/>
        <v>0.98367488711358109</v>
      </c>
      <c r="AZ64" s="95">
        <f t="shared" si="6"/>
        <v>2.6191907514450863</v>
      </c>
    </row>
    <row r="65" spans="1:52" s="96" customFormat="1" ht="18" customHeight="1" x14ac:dyDescent="0.2">
      <c r="A65" s="97"/>
      <c r="B65" s="97">
        <v>12</v>
      </c>
      <c r="C65" s="95">
        <v>23.745114999999998</v>
      </c>
      <c r="D65" s="95">
        <v>22.997755000000002</v>
      </c>
      <c r="E65" s="95">
        <v>774.51143999999999</v>
      </c>
      <c r="F65" s="95">
        <v>774.51143999999999</v>
      </c>
      <c r="G65" s="95">
        <v>0.78600000000000003</v>
      </c>
      <c r="H65" s="95">
        <v>0.51400000000000001</v>
      </c>
      <c r="I65" s="95">
        <f t="shared" si="0"/>
        <v>1.0671707512410253</v>
      </c>
      <c r="J65" s="95">
        <f t="shared" si="1"/>
        <v>1.2159896088329984</v>
      </c>
      <c r="K65" s="95">
        <f t="shared" si="2"/>
        <v>2.1971200864584206E-3</v>
      </c>
      <c r="L65" s="95">
        <f t="shared" si="3"/>
        <v>0.968525736767331</v>
      </c>
      <c r="M65" s="95">
        <v>774.33</v>
      </c>
      <c r="N65" s="98">
        <v>9.66</v>
      </c>
      <c r="O65" s="97">
        <v>24</v>
      </c>
      <c r="P65" s="102">
        <f t="shared" si="4"/>
        <v>66</v>
      </c>
      <c r="Z65" s="95">
        <v>5.43</v>
      </c>
      <c r="AA65" s="95">
        <v>22.510999999999999</v>
      </c>
      <c r="AB65" s="95">
        <v>20.361999999999998</v>
      </c>
      <c r="AC65" s="95">
        <v>771.02</v>
      </c>
      <c r="AD65" s="95">
        <v>749.48</v>
      </c>
      <c r="AE65" s="95">
        <v>54.667999999999999</v>
      </c>
      <c r="AF65" s="95">
        <v>49.439</v>
      </c>
      <c r="AG65" s="95">
        <v>7.3330000000000006E-2</v>
      </c>
      <c r="AH65" s="95">
        <v>6.8559999999999996E-2</v>
      </c>
      <c r="AI65" s="95">
        <v>0.24257000000000001</v>
      </c>
      <c r="AJ65" s="95">
        <v>0</v>
      </c>
      <c r="AK65" s="95">
        <v>0.3821</v>
      </c>
      <c r="AL65" s="95">
        <v>22.724</v>
      </c>
      <c r="AM65" s="95">
        <v>1.47448</v>
      </c>
      <c r="AN65" s="95">
        <v>23.5</v>
      </c>
      <c r="AO65" s="95">
        <v>0</v>
      </c>
      <c r="AP65" s="95">
        <v>511.702</v>
      </c>
      <c r="AQ65" s="95">
        <v>469.25299999999999</v>
      </c>
      <c r="AR65" s="95">
        <v>469.25299999999999</v>
      </c>
      <c r="AS65" s="95">
        <v>0</v>
      </c>
      <c r="AT65" s="95">
        <v>204.06</v>
      </c>
      <c r="AU65" s="95">
        <v>12.699</v>
      </c>
      <c r="AV65" s="95">
        <v>12.84</v>
      </c>
      <c r="AW65" s="95">
        <v>12.981</v>
      </c>
      <c r="AX65" s="95">
        <v>0.28199999999999997</v>
      </c>
      <c r="AY65" s="95">
        <f t="shared" si="5"/>
        <v>0.98129904097646026</v>
      </c>
      <c r="AZ65" s="95">
        <f t="shared" si="6"/>
        <v>2.6024277456647398</v>
      </c>
    </row>
    <row r="66" spans="1:52" ht="18" customHeight="1" x14ac:dyDescent="0.2">
      <c r="A66" s="26" t="s">
        <v>117</v>
      </c>
      <c r="N66" s="27"/>
      <c r="O66" s="27"/>
      <c r="P66" s="103"/>
      <c r="Z66" s="17">
        <v>0</v>
      </c>
      <c r="AA66" s="17">
        <v>0</v>
      </c>
      <c r="AB66" s="17">
        <v>0</v>
      </c>
      <c r="AC66" s="17">
        <v>0</v>
      </c>
      <c r="AD66" s="17">
        <v>0</v>
      </c>
      <c r="AE66" s="17">
        <v>0</v>
      </c>
      <c r="AF66" s="17">
        <v>0</v>
      </c>
      <c r="AG66" s="17">
        <v>0</v>
      </c>
      <c r="AH66" s="17">
        <v>0</v>
      </c>
      <c r="AI66" s="17">
        <v>0</v>
      </c>
      <c r="AJ66" s="17">
        <v>0</v>
      </c>
      <c r="AK66" s="17">
        <v>0</v>
      </c>
      <c r="AL66" s="17">
        <v>0</v>
      </c>
      <c r="AM66" s="17">
        <v>0</v>
      </c>
      <c r="AN66" s="17">
        <v>0</v>
      </c>
      <c r="AO66" s="17">
        <v>0</v>
      </c>
      <c r="AP66" s="17">
        <v>0</v>
      </c>
      <c r="AQ66" s="17">
        <v>0</v>
      </c>
      <c r="AR66" s="17">
        <v>0</v>
      </c>
      <c r="AS66" s="17">
        <v>0</v>
      </c>
      <c r="AT66" s="17">
        <v>0</v>
      </c>
      <c r="AU66" s="17">
        <v>0</v>
      </c>
      <c r="AV66" s="17">
        <v>0</v>
      </c>
      <c r="AW66" s="17">
        <v>0</v>
      </c>
      <c r="AX66" s="17">
        <v>0</v>
      </c>
      <c r="AZ66" s="17">
        <f t="shared" si="6"/>
        <v>0</v>
      </c>
    </row>
    <row r="67" spans="1:52" ht="18" customHeight="1" x14ac:dyDescent="0.2">
      <c r="B67" s="27">
        <v>1</v>
      </c>
      <c r="C67" s="17">
        <v>22.454535</v>
      </c>
      <c r="D67" s="17">
        <v>33.995365</v>
      </c>
      <c r="E67" s="17">
        <v>781.96287999999993</v>
      </c>
      <c r="F67" s="17">
        <v>889.13211999999999</v>
      </c>
      <c r="G67" s="17">
        <v>0.46200000000000002</v>
      </c>
      <c r="H67" s="17">
        <v>0.59799999999999998</v>
      </c>
      <c r="I67" s="17">
        <f t="shared" ref="I67:I130" si="7">F67/E67*((1+0.2*G67^2)/(1+0.2*H67^2))</f>
        <v>1.1064562970192322</v>
      </c>
      <c r="J67" s="17">
        <f t="shared" ref="J67:J130" si="8">D67/C67*((1+0.2*G67^2)^(1.4/0.4)/(1+0.2*H67^2)^(1.4/0.4))</f>
        <v>1.3761158664739555</v>
      </c>
      <c r="K67" s="17">
        <f t="shared" ref="K67:K130" si="9">0.24 * LN(I67) - 0.06855 * LN(J67)</f>
        <v>2.3933602296451126E-3</v>
      </c>
      <c r="L67" s="17">
        <f t="shared" ref="L67:L130" si="10">D67/C67</f>
        <v>1.5139643283639586</v>
      </c>
      <c r="M67" s="17">
        <v>856.89</v>
      </c>
      <c r="N67" s="29">
        <v>12.835000000000001</v>
      </c>
      <c r="O67" s="27">
        <v>58.52</v>
      </c>
      <c r="P67" s="103">
        <f t="shared" ref="P67:P130" si="11">90-O67</f>
        <v>31.479999999999997</v>
      </c>
      <c r="Z67" s="17">
        <v>5.43</v>
      </c>
      <c r="AA67" s="17">
        <v>34.963999999999999</v>
      </c>
      <c r="AB67" s="17">
        <v>25.343</v>
      </c>
      <c r="AC67" s="17">
        <v>853.28</v>
      </c>
      <c r="AD67" s="17">
        <v>779.48</v>
      </c>
      <c r="AE67" s="17">
        <v>74.724999999999994</v>
      </c>
      <c r="AF67" s="17">
        <v>56.723999999999997</v>
      </c>
      <c r="AG67" s="17">
        <v>8.7749999999999995E-2</v>
      </c>
      <c r="AH67" s="17">
        <v>6.8559999999999996E-2</v>
      </c>
      <c r="AI67" s="17">
        <v>0.24314</v>
      </c>
      <c r="AJ67" s="17">
        <v>0</v>
      </c>
      <c r="AK67" s="17">
        <v>0.69550000000000001</v>
      </c>
      <c r="AL67" s="17">
        <v>17.446000000000002</v>
      </c>
      <c r="AM67" s="17">
        <v>1.4690099999999999</v>
      </c>
      <c r="AN67" s="17">
        <v>57.46</v>
      </c>
      <c r="AO67" s="17">
        <v>0</v>
      </c>
      <c r="AP67" s="17">
        <v>949.40099999999995</v>
      </c>
      <c r="AQ67" s="17">
        <v>510.726</v>
      </c>
      <c r="AR67" s="17">
        <v>510.726</v>
      </c>
      <c r="AS67" s="17">
        <v>0</v>
      </c>
      <c r="AT67" s="17">
        <v>800.32600000000002</v>
      </c>
      <c r="AU67" s="17">
        <v>10.041</v>
      </c>
      <c r="AV67" s="17">
        <v>10.177</v>
      </c>
      <c r="AW67" s="17">
        <v>10.314</v>
      </c>
      <c r="AX67" s="17">
        <v>0.27300000000000002</v>
      </c>
      <c r="AY67" s="17">
        <f t="shared" si="5"/>
        <v>1.5177982288591767</v>
      </c>
      <c r="AZ67" s="17">
        <f t="shared" si="6"/>
        <v>4.0420809248554912</v>
      </c>
    </row>
    <row r="68" spans="1:52" ht="18" customHeight="1" x14ac:dyDescent="0.2">
      <c r="B68" s="27">
        <v>2</v>
      </c>
      <c r="C68" s="17">
        <v>22.560064999999998</v>
      </c>
      <c r="D68" s="17">
        <v>34.023910000000001</v>
      </c>
      <c r="E68" s="17">
        <v>761.25225999999998</v>
      </c>
      <c r="F68" s="17">
        <v>863.54519000000005</v>
      </c>
      <c r="G68" s="17">
        <v>0.47299999999999998</v>
      </c>
      <c r="H68" s="17">
        <v>0.60399999999999998</v>
      </c>
      <c r="I68" s="17">
        <f t="shared" si="7"/>
        <v>1.1045421193497935</v>
      </c>
      <c r="J68" s="17">
        <f t="shared" si="8"/>
        <v>1.3738338048598249</v>
      </c>
      <c r="K68" s="17">
        <f t="shared" si="9"/>
        <v>2.091572121520599E-3</v>
      </c>
      <c r="L68" s="17">
        <f t="shared" si="10"/>
        <v>1.5081476937234004</v>
      </c>
      <c r="M68" s="17">
        <v>848.66</v>
      </c>
      <c r="N68" s="29">
        <v>12.590999999999999</v>
      </c>
      <c r="O68" s="27">
        <v>55.17</v>
      </c>
      <c r="P68" s="103">
        <f t="shared" si="11"/>
        <v>34.83</v>
      </c>
      <c r="Z68" s="17">
        <v>5.43</v>
      </c>
      <c r="AA68" s="17">
        <v>34.843000000000004</v>
      </c>
      <c r="AB68" s="17">
        <v>25.628</v>
      </c>
      <c r="AC68" s="17">
        <v>847.16</v>
      </c>
      <c r="AD68" s="17">
        <v>777.06</v>
      </c>
      <c r="AE68" s="17">
        <v>73.227000000000004</v>
      </c>
      <c r="AF68" s="17">
        <v>56.134</v>
      </c>
      <c r="AG68" s="17">
        <v>8.9020000000000002E-2</v>
      </c>
      <c r="AH68" s="17">
        <v>6.8559999999999996E-2</v>
      </c>
      <c r="AI68" s="17">
        <v>0.24309</v>
      </c>
      <c r="AJ68" s="17">
        <v>0</v>
      </c>
      <c r="AK68" s="17">
        <v>0.67869999999999997</v>
      </c>
      <c r="AL68" s="17">
        <v>15.975</v>
      </c>
      <c r="AM68" s="17">
        <v>1.4674799999999999</v>
      </c>
      <c r="AN68" s="17">
        <v>53.53</v>
      </c>
      <c r="AO68" s="17">
        <v>0</v>
      </c>
      <c r="AP68" s="17">
        <v>925.14200000000005</v>
      </c>
      <c r="AQ68" s="17">
        <v>549.84199999999998</v>
      </c>
      <c r="AR68" s="17">
        <v>549.84199999999998</v>
      </c>
      <c r="AS68" s="17">
        <v>0</v>
      </c>
      <c r="AT68" s="17">
        <v>744.01800000000003</v>
      </c>
      <c r="AU68" s="17">
        <v>10.314</v>
      </c>
      <c r="AV68" s="17">
        <v>10.436</v>
      </c>
      <c r="AW68" s="17">
        <v>10.557</v>
      </c>
      <c r="AX68" s="17">
        <v>0.24399999999999999</v>
      </c>
      <c r="AY68" s="17">
        <f t="shared" si="5"/>
        <v>1.5092043141161695</v>
      </c>
      <c r="AZ68" s="17">
        <f t="shared" si="6"/>
        <v>4.0280924855491334</v>
      </c>
    </row>
    <row r="69" spans="1:52" ht="18" customHeight="1" x14ac:dyDescent="0.2">
      <c r="B69" s="27">
        <v>3</v>
      </c>
      <c r="C69" s="17">
        <v>22.666460000000001</v>
      </c>
      <c r="D69" s="17">
        <v>34.104354999999998</v>
      </c>
      <c r="E69" s="17">
        <v>750.07510000000002</v>
      </c>
      <c r="F69" s="17">
        <v>849.29979000000003</v>
      </c>
      <c r="G69" s="17">
        <v>0.48499999999999999</v>
      </c>
      <c r="H69" s="17">
        <v>0.60599999999999998</v>
      </c>
      <c r="I69" s="17">
        <f t="shared" si="7"/>
        <v>1.1044369497431317</v>
      </c>
      <c r="J69" s="17">
        <f t="shared" si="8"/>
        <v>1.379025989606826</v>
      </c>
      <c r="K69" s="17">
        <f t="shared" si="9"/>
        <v>1.8101338889800409E-3</v>
      </c>
      <c r="L69" s="17">
        <f t="shared" si="10"/>
        <v>1.5046176156312012</v>
      </c>
      <c r="M69" s="17">
        <v>843.58</v>
      </c>
      <c r="N69" s="29">
        <v>12.377000000000001</v>
      </c>
      <c r="O69" s="27">
        <v>53.26</v>
      </c>
      <c r="P69" s="103">
        <f t="shared" si="11"/>
        <v>36.74</v>
      </c>
      <c r="Z69" s="17">
        <v>5.43</v>
      </c>
      <c r="AA69" s="17">
        <v>34.786000000000001</v>
      </c>
      <c r="AB69" s="17">
        <v>25.856999999999999</v>
      </c>
      <c r="AC69" s="17">
        <v>843.76</v>
      </c>
      <c r="AD69" s="17">
        <v>776.22</v>
      </c>
      <c r="AE69" s="17">
        <v>72.394999999999996</v>
      </c>
      <c r="AF69" s="17">
        <v>55.930999999999997</v>
      </c>
      <c r="AG69" s="17">
        <v>8.9910000000000004E-2</v>
      </c>
      <c r="AH69" s="17">
        <v>6.8559999999999996E-2</v>
      </c>
      <c r="AI69" s="17">
        <v>0.24307000000000001</v>
      </c>
      <c r="AJ69" s="17">
        <v>0</v>
      </c>
      <c r="AK69" s="17">
        <v>0.66649999999999998</v>
      </c>
      <c r="AL69" s="17">
        <v>15.375999999999999</v>
      </c>
      <c r="AM69" s="17">
        <v>1.46661</v>
      </c>
      <c r="AN69" s="17">
        <v>51.47</v>
      </c>
      <c r="AO69" s="17">
        <v>0</v>
      </c>
      <c r="AP69" s="17">
        <v>907.96900000000005</v>
      </c>
      <c r="AQ69" s="17">
        <v>565.58900000000006</v>
      </c>
      <c r="AR69" s="17">
        <v>565.58900000000006</v>
      </c>
      <c r="AS69" s="17">
        <v>0</v>
      </c>
      <c r="AT69" s="17">
        <v>710.29300000000001</v>
      </c>
      <c r="AU69" s="17">
        <v>10.557</v>
      </c>
      <c r="AV69" s="17">
        <v>10.672000000000001</v>
      </c>
      <c r="AW69" s="17">
        <v>10.787000000000001</v>
      </c>
      <c r="AX69" s="17">
        <v>0.22900000000000001</v>
      </c>
      <c r="AY69" s="17">
        <f t="shared" si="5"/>
        <v>1.5041944132145637</v>
      </c>
      <c r="AZ69" s="17">
        <f t="shared" si="6"/>
        <v>4.0215028901734104</v>
      </c>
    </row>
    <row r="70" spans="1:52" ht="18" customHeight="1" x14ac:dyDescent="0.2">
      <c r="B70" s="27">
        <v>4</v>
      </c>
      <c r="C70" s="17">
        <v>22.781505000000003</v>
      </c>
      <c r="D70" s="17">
        <v>34.211615000000002</v>
      </c>
      <c r="E70" s="17">
        <v>743.82903999999996</v>
      </c>
      <c r="F70" s="17">
        <v>840.91691999999989</v>
      </c>
      <c r="G70" s="17">
        <v>0.498</v>
      </c>
      <c r="H70" s="17">
        <v>0.61399999999999999</v>
      </c>
      <c r="I70" s="17">
        <f t="shared" si="7"/>
        <v>1.1034036219332</v>
      </c>
      <c r="J70" s="17">
        <f t="shared" si="8"/>
        <v>1.3793729935875887</v>
      </c>
      <c r="K70" s="17">
        <f t="shared" si="9"/>
        <v>1.5682341208396282E-3</v>
      </c>
      <c r="L70" s="17">
        <f t="shared" si="10"/>
        <v>1.5017276075483159</v>
      </c>
      <c r="M70" s="17">
        <v>841.03</v>
      </c>
      <c r="N70" s="29">
        <v>12.11</v>
      </c>
      <c r="O70" s="27">
        <v>51.53</v>
      </c>
      <c r="P70" s="103">
        <f t="shared" si="11"/>
        <v>38.47</v>
      </c>
      <c r="Z70" s="17">
        <v>5.43</v>
      </c>
      <c r="AA70" s="17">
        <v>34.729999999999997</v>
      </c>
      <c r="AB70" s="17">
        <v>26.056000000000001</v>
      </c>
      <c r="AC70" s="17">
        <v>842.03</v>
      </c>
      <c r="AD70" s="17">
        <v>776.65</v>
      </c>
      <c r="AE70" s="17">
        <v>71.971999999999994</v>
      </c>
      <c r="AF70" s="17">
        <v>56.036000000000001</v>
      </c>
      <c r="AG70" s="17">
        <v>9.0550000000000005E-2</v>
      </c>
      <c r="AH70" s="17">
        <v>6.8559999999999996E-2</v>
      </c>
      <c r="AI70" s="17">
        <v>0.24307999999999999</v>
      </c>
      <c r="AJ70" s="17">
        <v>0</v>
      </c>
      <c r="AK70" s="17">
        <v>0.65559999999999996</v>
      </c>
      <c r="AL70" s="17">
        <v>15.18</v>
      </c>
      <c r="AM70" s="17">
        <v>1.4662200000000001</v>
      </c>
      <c r="AN70" s="17">
        <v>50.45</v>
      </c>
      <c r="AO70" s="17">
        <v>0</v>
      </c>
      <c r="AP70" s="17">
        <v>893.3</v>
      </c>
      <c r="AQ70" s="17">
        <v>568.85199999999998</v>
      </c>
      <c r="AR70" s="17">
        <v>568.85199999999998</v>
      </c>
      <c r="AS70" s="17">
        <v>0</v>
      </c>
      <c r="AT70" s="17">
        <v>688.76199999999994</v>
      </c>
      <c r="AU70" s="17">
        <v>10.787000000000001</v>
      </c>
      <c r="AV70" s="17">
        <v>10.898</v>
      </c>
      <c r="AW70" s="17">
        <v>11.007999999999999</v>
      </c>
      <c r="AX70" s="17">
        <v>0.222</v>
      </c>
      <c r="AY70" s="17">
        <f t="shared" si="5"/>
        <v>1.5019677377502918</v>
      </c>
      <c r="AZ70" s="17">
        <f t="shared" si="6"/>
        <v>4.0150289017341034</v>
      </c>
    </row>
    <row r="71" spans="1:52" ht="18" customHeight="1" x14ac:dyDescent="0.2">
      <c r="B71" s="27">
        <v>5</v>
      </c>
      <c r="C71" s="17">
        <v>22.864545</v>
      </c>
      <c r="D71" s="17">
        <v>34.320605</v>
      </c>
      <c r="E71" s="17">
        <v>741.63743999999997</v>
      </c>
      <c r="F71" s="17">
        <v>837.84867999999994</v>
      </c>
      <c r="G71" s="17">
        <v>0.50800000000000001</v>
      </c>
      <c r="H71" s="17">
        <v>0.622</v>
      </c>
      <c r="I71" s="17">
        <f t="shared" si="7"/>
        <v>1.1027122215171212</v>
      </c>
      <c r="J71" s="17">
        <f t="shared" si="8"/>
        <v>1.3791173639804977</v>
      </c>
      <c r="K71" s="17">
        <f t="shared" si="9"/>
        <v>1.4305063807703265E-3</v>
      </c>
      <c r="L71" s="17">
        <f t="shared" si="10"/>
        <v>1.5010403662089056</v>
      </c>
      <c r="M71" s="17">
        <v>839.89</v>
      </c>
      <c r="N71" s="29">
        <v>11.848000000000001</v>
      </c>
      <c r="O71" s="27">
        <v>49.81</v>
      </c>
      <c r="P71" s="103">
        <f t="shared" si="11"/>
        <v>40.19</v>
      </c>
      <c r="Z71" s="17">
        <v>5.43</v>
      </c>
      <c r="AA71" s="17">
        <v>34.634999999999998</v>
      </c>
      <c r="AB71" s="17">
        <v>26.236999999999998</v>
      </c>
      <c r="AC71" s="17">
        <v>841.1</v>
      </c>
      <c r="AD71" s="17">
        <v>777.91</v>
      </c>
      <c r="AE71" s="17">
        <v>71.745000000000005</v>
      </c>
      <c r="AF71" s="17">
        <v>56.341999999999999</v>
      </c>
      <c r="AG71" s="17">
        <v>9.1039999999999996E-2</v>
      </c>
      <c r="AH71" s="17">
        <v>6.8559999999999996E-2</v>
      </c>
      <c r="AI71" s="17">
        <v>0.24310000000000001</v>
      </c>
      <c r="AJ71" s="17">
        <v>0</v>
      </c>
      <c r="AK71" s="17">
        <v>0.64400000000000002</v>
      </c>
      <c r="AL71" s="17">
        <v>15.233000000000001</v>
      </c>
      <c r="AM71" s="17">
        <v>1.46614</v>
      </c>
      <c r="AN71" s="17">
        <v>50.06</v>
      </c>
      <c r="AO71" s="17">
        <v>0</v>
      </c>
      <c r="AP71" s="17">
        <v>878.22299999999996</v>
      </c>
      <c r="AQ71" s="17">
        <v>563.85299999999995</v>
      </c>
      <c r="AR71" s="17">
        <v>563.85299999999995</v>
      </c>
      <c r="AS71" s="17">
        <v>0</v>
      </c>
      <c r="AT71" s="17">
        <v>673.31</v>
      </c>
      <c r="AU71" s="17">
        <v>11.007999999999999</v>
      </c>
      <c r="AV71" s="17">
        <v>11.118</v>
      </c>
      <c r="AW71" s="17">
        <v>11.227</v>
      </c>
      <c r="AX71" s="17">
        <v>0.218</v>
      </c>
      <c r="AY71" s="17">
        <f t="shared" si="5"/>
        <v>1.5011702496532593</v>
      </c>
      <c r="AZ71" s="17">
        <f t="shared" si="6"/>
        <v>4.0040462427745664</v>
      </c>
    </row>
    <row r="72" spans="1:52" ht="18" customHeight="1" x14ac:dyDescent="0.2">
      <c r="B72" s="27">
        <v>6</v>
      </c>
      <c r="C72" s="17">
        <v>22.939800000000002</v>
      </c>
      <c r="D72" s="17">
        <v>34.427865000000004</v>
      </c>
      <c r="E72" s="17">
        <v>741.19911999999999</v>
      </c>
      <c r="F72" s="17">
        <v>837.02683000000002</v>
      </c>
      <c r="G72" s="17">
        <v>0.51800000000000002</v>
      </c>
      <c r="H72" s="17">
        <v>0.63300000000000001</v>
      </c>
      <c r="I72" s="17">
        <f t="shared" si="7"/>
        <v>1.1016098006902366</v>
      </c>
      <c r="J72" s="17">
        <f t="shared" si="8"/>
        <v>1.3759480550744225</v>
      </c>
      <c r="K72" s="17">
        <f t="shared" si="9"/>
        <v>1.3481638048549703E-3</v>
      </c>
      <c r="L72" s="17">
        <f t="shared" si="10"/>
        <v>1.5007918552036199</v>
      </c>
      <c r="M72" s="17">
        <v>839.85</v>
      </c>
      <c r="N72" s="29">
        <v>11.586</v>
      </c>
      <c r="O72" s="27">
        <v>47.74</v>
      </c>
      <c r="P72" s="103">
        <f t="shared" si="11"/>
        <v>42.26</v>
      </c>
      <c r="Z72" s="17">
        <v>5.43</v>
      </c>
      <c r="AA72" s="17">
        <v>34.546999999999997</v>
      </c>
      <c r="AB72" s="17">
        <v>26.407</v>
      </c>
      <c r="AC72" s="17">
        <v>841.02</v>
      </c>
      <c r="AD72" s="17">
        <v>779.81</v>
      </c>
      <c r="AE72" s="17">
        <v>71.725999999999999</v>
      </c>
      <c r="AF72" s="17">
        <v>56.804000000000002</v>
      </c>
      <c r="AG72" s="17">
        <v>9.1399999999999995E-2</v>
      </c>
      <c r="AH72" s="17">
        <v>6.8559999999999996E-2</v>
      </c>
      <c r="AI72" s="17">
        <v>0.24314</v>
      </c>
      <c r="AJ72" s="17">
        <v>0</v>
      </c>
      <c r="AK72" s="17">
        <v>0.6331</v>
      </c>
      <c r="AL72" s="17">
        <v>15.406000000000001</v>
      </c>
      <c r="AM72" s="17">
        <v>1.4662900000000001</v>
      </c>
      <c r="AN72" s="17">
        <v>50.03</v>
      </c>
      <c r="AO72" s="17">
        <v>0</v>
      </c>
      <c r="AP72" s="17">
        <v>864.39599999999996</v>
      </c>
      <c r="AQ72" s="17">
        <v>555.29499999999996</v>
      </c>
      <c r="AR72" s="17">
        <v>555.29499999999996</v>
      </c>
      <c r="AS72" s="17">
        <v>0</v>
      </c>
      <c r="AT72" s="17">
        <v>662.44100000000003</v>
      </c>
      <c r="AU72" s="17">
        <v>11.227</v>
      </c>
      <c r="AV72" s="17">
        <v>11.335000000000001</v>
      </c>
      <c r="AW72" s="17">
        <v>11.443</v>
      </c>
      <c r="AX72" s="17">
        <v>0.216</v>
      </c>
      <c r="AY72" s="17">
        <f t="shared" si="5"/>
        <v>1.500803683913289</v>
      </c>
      <c r="AZ72" s="17">
        <f t="shared" si="6"/>
        <v>3.9938728323699415</v>
      </c>
    </row>
    <row r="73" spans="1:52" ht="18" customHeight="1" x14ac:dyDescent="0.2">
      <c r="B73" s="27">
        <v>7</v>
      </c>
      <c r="C73" s="17">
        <v>23.011595</v>
      </c>
      <c r="D73" s="17">
        <v>34.535989999999998</v>
      </c>
      <c r="E73" s="17">
        <v>741.52785999999992</v>
      </c>
      <c r="F73" s="17">
        <v>837.35556999999994</v>
      </c>
      <c r="G73" s="17">
        <v>0.52700000000000002</v>
      </c>
      <c r="H73" s="17">
        <v>0.64600000000000002</v>
      </c>
      <c r="I73" s="17">
        <f t="shared" si="7"/>
        <v>1.1001334200965394</v>
      </c>
      <c r="J73" s="17">
        <f t="shared" si="8"/>
        <v>1.369762894773755</v>
      </c>
      <c r="K73" s="17">
        <f t="shared" si="9"/>
        <v>1.3351399525577227E-3</v>
      </c>
      <c r="L73" s="17">
        <f t="shared" si="10"/>
        <v>1.5008081795286246</v>
      </c>
      <c r="M73" s="17">
        <v>840.39</v>
      </c>
      <c r="N73" s="29">
        <v>11.321</v>
      </c>
      <c r="O73" s="27">
        <v>45.35</v>
      </c>
      <c r="P73" s="103">
        <f t="shared" si="11"/>
        <v>44.65</v>
      </c>
      <c r="Z73" s="17">
        <v>5.43</v>
      </c>
      <c r="AA73" s="17">
        <v>34.454999999999998</v>
      </c>
      <c r="AB73" s="17">
        <v>26.568000000000001</v>
      </c>
      <c r="AC73" s="17">
        <v>841.51</v>
      </c>
      <c r="AD73" s="17">
        <v>782.2</v>
      </c>
      <c r="AE73" s="17">
        <v>71.846999999999994</v>
      </c>
      <c r="AF73" s="17">
        <v>57.384999999999998</v>
      </c>
      <c r="AG73" s="17">
        <v>9.1679999999999998E-2</v>
      </c>
      <c r="AH73" s="17">
        <v>6.8559999999999996E-2</v>
      </c>
      <c r="AI73" s="17">
        <v>0.24318999999999999</v>
      </c>
      <c r="AJ73" s="17">
        <v>0</v>
      </c>
      <c r="AK73" s="17">
        <v>0.62229999999999996</v>
      </c>
      <c r="AL73" s="17">
        <v>15.606</v>
      </c>
      <c r="AM73" s="17">
        <v>1.46662</v>
      </c>
      <c r="AN73" s="17">
        <v>50.04</v>
      </c>
      <c r="AO73" s="17">
        <v>0</v>
      </c>
      <c r="AP73" s="17">
        <v>850.98199999999997</v>
      </c>
      <c r="AQ73" s="17">
        <v>546.49900000000002</v>
      </c>
      <c r="AR73" s="17">
        <v>546.49900000000002</v>
      </c>
      <c r="AS73" s="17">
        <v>0</v>
      </c>
      <c r="AT73" s="17">
        <v>652.31100000000004</v>
      </c>
      <c r="AU73" s="17">
        <v>11.443</v>
      </c>
      <c r="AV73" s="17">
        <v>11.55</v>
      </c>
      <c r="AW73" s="17">
        <v>11.657999999999999</v>
      </c>
      <c r="AX73" s="17">
        <v>0.215</v>
      </c>
      <c r="AY73" s="17">
        <f t="shared" si="5"/>
        <v>1.5007840404216395</v>
      </c>
      <c r="AZ73" s="17">
        <f t="shared" si="6"/>
        <v>3.9832369942196526</v>
      </c>
    </row>
    <row r="74" spans="1:52" ht="18" customHeight="1" x14ac:dyDescent="0.2">
      <c r="B74" s="27">
        <v>8</v>
      </c>
      <c r="C74" s="17">
        <v>23.074740000000002</v>
      </c>
      <c r="D74" s="17">
        <v>34.643250000000002</v>
      </c>
      <c r="E74" s="17">
        <v>743.55508999999995</v>
      </c>
      <c r="F74" s="17">
        <v>839.65674999999999</v>
      </c>
      <c r="G74" s="17">
        <v>0.53500000000000003</v>
      </c>
      <c r="H74" s="17">
        <v>0.66</v>
      </c>
      <c r="I74" s="17">
        <f t="shared" si="7"/>
        <v>1.0982135225923255</v>
      </c>
      <c r="J74" s="17">
        <f t="shared" si="8"/>
        <v>1.3618376969885864</v>
      </c>
      <c r="K74" s="17">
        <f t="shared" si="9"/>
        <v>1.313707730393545E-3</v>
      </c>
      <c r="L74" s="17">
        <f t="shared" si="10"/>
        <v>1.501349527665317</v>
      </c>
      <c r="M74" s="17">
        <v>841.58</v>
      </c>
      <c r="N74" s="29">
        <v>11.054</v>
      </c>
      <c r="O74" s="27">
        <v>42.63</v>
      </c>
      <c r="P74" s="103">
        <f t="shared" si="11"/>
        <v>47.37</v>
      </c>
      <c r="Z74" s="17">
        <v>5.43</v>
      </c>
      <c r="AA74" s="17">
        <v>34.354999999999997</v>
      </c>
      <c r="AB74" s="17">
        <v>26.722000000000001</v>
      </c>
      <c r="AC74" s="17">
        <v>842.64</v>
      </c>
      <c r="AD74" s="17">
        <v>785.17</v>
      </c>
      <c r="AE74" s="17">
        <v>72.122</v>
      </c>
      <c r="AF74" s="17">
        <v>58.106999999999999</v>
      </c>
      <c r="AG74" s="17">
        <v>9.1859999999999997E-2</v>
      </c>
      <c r="AH74" s="17">
        <v>6.8559999999999996E-2</v>
      </c>
      <c r="AI74" s="17">
        <v>0.24324999999999999</v>
      </c>
      <c r="AJ74" s="17">
        <v>0</v>
      </c>
      <c r="AK74" s="17">
        <v>0.61150000000000004</v>
      </c>
      <c r="AL74" s="17">
        <v>15.89</v>
      </c>
      <c r="AM74" s="17">
        <v>1.4671400000000001</v>
      </c>
      <c r="AN74" s="17">
        <v>50.25</v>
      </c>
      <c r="AO74" s="17">
        <v>0</v>
      </c>
      <c r="AP74" s="17">
        <v>837.73699999999997</v>
      </c>
      <c r="AQ74" s="17">
        <v>535.70399999999995</v>
      </c>
      <c r="AR74" s="17">
        <v>535.70399999999995</v>
      </c>
      <c r="AS74" s="17">
        <v>0</v>
      </c>
      <c r="AT74" s="17">
        <v>644.06899999999996</v>
      </c>
      <c r="AU74" s="17">
        <v>11.657999999999999</v>
      </c>
      <c r="AV74" s="17">
        <v>11.765000000000001</v>
      </c>
      <c r="AW74" s="17">
        <v>11.872999999999999</v>
      </c>
      <c r="AX74" s="17">
        <v>0.215</v>
      </c>
      <c r="AY74" s="17">
        <f t="shared" si="5"/>
        <v>1.501004893393918</v>
      </c>
      <c r="AZ74" s="17">
        <f t="shared" si="6"/>
        <v>3.971676300578034</v>
      </c>
    </row>
    <row r="75" spans="1:52" ht="18" customHeight="1" x14ac:dyDescent="0.2">
      <c r="B75" s="27">
        <v>9</v>
      </c>
      <c r="C75" s="17">
        <v>23.12837</v>
      </c>
      <c r="D75" s="17">
        <v>34.751375000000003</v>
      </c>
      <c r="E75" s="17">
        <v>746.34938</v>
      </c>
      <c r="F75" s="17">
        <v>843.49205000000006</v>
      </c>
      <c r="G75" s="17">
        <v>0.54100000000000004</v>
      </c>
      <c r="H75" s="17">
        <v>0.67700000000000005</v>
      </c>
      <c r="I75" s="17">
        <f t="shared" si="7"/>
        <v>1.0958593745248346</v>
      </c>
      <c r="J75" s="17">
        <f t="shared" si="8"/>
        <v>1.3489100829879417</v>
      </c>
      <c r="K75" s="17">
        <f t="shared" si="9"/>
        <v>1.4525254749031373E-3</v>
      </c>
      <c r="L75" s="17">
        <f t="shared" si="10"/>
        <v>1.5025431969481637</v>
      </c>
      <c r="M75" s="17">
        <v>844.52</v>
      </c>
      <c r="N75" s="29">
        <v>10.785</v>
      </c>
      <c r="O75" s="27">
        <v>39.520000000000003</v>
      </c>
      <c r="P75" s="103">
        <f t="shared" si="11"/>
        <v>50.48</v>
      </c>
      <c r="Z75" s="17">
        <v>5.43</v>
      </c>
      <c r="AA75" s="17">
        <v>34.26</v>
      </c>
      <c r="AB75" s="17">
        <v>26.87</v>
      </c>
      <c r="AC75" s="17">
        <v>844.76</v>
      </c>
      <c r="AD75" s="17">
        <v>788.99</v>
      </c>
      <c r="AE75" s="17">
        <v>72.64</v>
      </c>
      <c r="AF75" s="17">
        <v>59.036999999999999</v>
      </c>
      <c r="AG75" s="17">
        <v>9.1920000000000002E-2</v>
      </c>
      <c r="AH75" s="17">
        <v>6.8559999999999996E-2</v>
      </c>
      <c r="AI75" s="17">
        <v>0.24332999999999999</v>
      </c>
      <c r="AJ75" s="17">
        <v>0</v>
      </c>
      <c r="AK75" s="17">
        <v>0.60099999999999998</v>
      </c>
      <c r="AL75" s="17">
        <v>16.271000000000001</v>
      </c>
      <c r="AM75" s="17">
        <v>1.4679500000000001</v>
      </c>
      <c r="AN75" s="17">
        <v>50.69</v>
      </c>
      <c r="AO75" s="17">
        <v>0</v>
      </c>
      <c r="AP75" s="17">
        <v>825.3</v>
      </c>
      <c r="AQ75" s="17">
        <v>522.79399999999998</v>
      </c>
      <c r="AR75" s="17">
        <v>522.79399999999998</v>
      </c>
      <c r="AS75" s="17">
        <v>0</v>
      </c>
      <c r="AT75" s="17">
        <v>638.59699999999998</v>
      </c>
      <c r="AU75" s="17">
        <v>11.872999999999999</v>
      </c>
      <c r="AV75" s="17">
        <v>11.981</v>
      </c>
      <c r="AW75" s="17">
        <v>12.089</v>
      </c>
      <c r="AX75" s="17">
        <v>0.216</v>
      </c>
      <c r="AY75" s="17">
        <f t="shared" si="5"/>
        <v>1.5015120305035718</v>
      </c>
      <c r="AZ75" s="17">
        <f t="shared" si="6"/>
        <v>3.9606936416184966</v>
      </c>
    </row>
    <row r="76" spans="1:52" ht="18" customHeight="1" x14ac:dyDescent="0.2">
      <c r="B76" s="27">
        <v>10</v>
      </c>
      <c r="C76" s="17">
        <v>23.135290000000001</v>
      </c>
      <c r="D76" s="17">
        <v>34.859500000000004</v>
      </c>
      <c r="E76" s="17">
        <v>753.69123999999988</v>
      </c>
      <c r="F76" s="17">
        <v>852.03928999999994</v>
      </c>
      <c r="G76" s="17">
        <v>0.54100000000000004</v>
      </c>
      <c r="H76" s="17">
        <v>0.69699999999999995</v>
      </c>
      <c r="I76" s="17">
        <f t="shared" si="7"/>
        <v>1.0906896465609441</v>
      </c>
      <c r="J76" s="17">
        <f t="shared" si="8"/>
        <v>1.3291342004950102</v>
      </c>
      <c r="K76" s="17">
        <f t="shared" si="9"/>
        <v>1.3300703837465615E-3</v>
      </c>
      <c r="L76" s="17">
        <f t="shared" si="10"/>
        <v>1.5067673670829285</v>
      </c>
      <c r="M76" s="17">
        <v>849.92</v>
      </c>
      <c r="N76" s="29">
        <v>10.507</v>
      </c>
      <c r="O76" s="27">
        <v>35.57</v>
      </c>
      <c r="P76" s="103">
        <f t="shared" si="11"/>
        <v>54.43</v>
      </c>
      <c r="Z76" s="17">
        <v>5.43</v>
      </c>
      <c r="AA76" s="17">
        <v>34.19</v>
      </c>
      <c r="AB76" s="17">
        <v>27.015999999999998</v>
      </c>
      <c r="AC76" s="17">
        <v>849.2</v>
      </c>
      <c r="AD76" s="17">
        <v>794.83</v>
      </c>
      <c r="AE76" s="17">
        <v>73.724999999999994</v>
      </c>
      <c r="AF76" s="17">
        <v>60.457999999999998</v>
      </c>
      <c r="AG76" s="17">
        <v>9.1740000000000002E-2</v>
      </c>
      <c r="AH76" s="17">
        <v>6.8559999999999996E-2</v>
      </c>
      <c r="AI76" s="17">
        <v>0.24345</v>
      </c>
      <c r="AJ76" s="17">
        <v>0</v>
      </c>
      <c r="AK76" s="17">
        <v>0.59140000000000004</v>
      </c>
      <c r="AL76" s="17">
        <v>16.88</v>
      </c>
      <c r="AM76" s="17">
        <v>1.4693700000000001</v>
      </c>
      <c r="AN76" s="17">
        <v>51.72</v>
      </c>
      <c r="AO76" s="17">
        <v>0</v>
      </c>
      <c r="AP76" s="17">
        <v>815.06500000000005</v>
      </c>
      <c r="AQ76" s="17">
        <v>504.923</v>
      </c>
      <c r="AR76" s="17">
        <v>504.923</v>
      </c>
      <c r="AS76" s="17">
        <v>0</v>
      </c>
      <c r="AT76" s="17">
        <v>639.83100000000002</v>
      </c>
      <c r="AU76" s="17">
        <v>12.089</v>
      </c>
      <c r="AV76" s="17">
        <v>12.199</v>
      </c>
      <c r="AW76" s="17">
        <v>12.308999999999999</v>
      </c>
      <c r="AX76" s="17">
        <v>0.22</v>
      </c>
      <c r="AY76" s="17">
        <f t="shared" si="5"/>
        <v>1.5033858059977134</v>
      </c>
      <c r="AZ76" s="17">
        <f t="shared" si="6"/>
        <v>3.9526011560693637</v>
      </c>
    </row>
    <row r="77" spans="1:52" ht="18" customHeight="1" x14ac:dyDescent="0.2">
      <c r="B77" s="27">
        <v>11</v>
      </c>
      <c r="C77" s="17">
        <v>23.058305000000004</v>
      </c>
      <c r="D77" s="17">
        <v>34.966760000000001</v>
      </c>
      <c r="E77" s="17">
        <v>765.69024999999999</v>
      </c>
      <c r="F77" s="17">
        <v>867.65443999999991</v>
      </c>
      <c r="G77" s="17">
        <v>0.53300000000000003</v>
      </c>
      <c r="H77" s="17">
        <v>0.72199999999999998</v>
      </c>
      <c r="I77" s="17">
        <f t="shared" si="7"/>
        <v>1.0844854101040888</v>
      </c>
      <c r="J77" s="17">
        <f t="shared" si="8"/>
        <v>1.3004185124269856</v>
      </c>
      <c r="K77" s="17">
        <f t="shared" si="9"/>
        <v>1.4582082807144611E-3</v>
      </c>
      <c r="L77" s="17">
        <f t="shared" si="10"/>
        <v>1.5164497130209698</v>
      </c>
      <c r="M77" s="17">
        <v>858.77</v>
      </c>
      <c r="N77" s="29">
        <v>10.208</v>
      </c>
      <c r="O77" s="27">
        <v>29.71</v>
      </c>
      <c r="P77" s="103">
        <f t="shared" si="11"/>
        <v>60.29</v>
      </c>
      <c r="Z77" s="17">
        <v>5.43</v>
      </c>
      <c r="AA77" s="17">
        <v>34.128</v>
      </c>
      <c r="AB77" s="17">
        <v>27.167999999999999</v>
      </c>
      <c r="AC77" s="17">
        <v>857.51</v>
      </c>
      <c r="AD77" s="17">
        <v>804.33</v>
      </c>
      <c r="AE77" s="17">
        <v>75.760999999999996</v>
      </c>
      <c r="AF77" s="17">
        <v>62.771999999999998</v>
      </c>
      <c r="AG77" s="17">
        <v>9.1170000000000001E-2</v>
      </c>
      <c r="AH77" s="17">
        <v>6.8559999999999996E-2</v>
      </c>
      <c r="AI77" s="17">
        <v>0.24364</v>
      </c>
      <c r="AJ77" s="17">
        <v>0</v>
      </c>
      <c r="AK77" s="17">
        <v>0.58179999999999998</v>
      </c>
      <c r="AL77" s="17">
        <v>18.161000000000001</v>
      </c>
      <c r="AM77" s="17">
        <v>1.4718800000000001</v>
      </c>
      <c r="AN77" s="17">
        <v>54.16</v>
      </c>
      <c r="AO77" s="17">
        <v>0</v>
      </c>
      <c r="AP77" s="17">
        <v>806.48199999999997</v>
      </c>
      <c r="AQ77" s="17">
        <v>472.24900000000002</v>
      </c>
      <c r="AR77" s="17">
        <v>472.24900000000002</v>
      </c>
      <c r="AS77" s="17">
        <v>0</v>
      </c>
      <c r="AT77" s="17">
        <v>653.75400000000002</v>
      </c>
      <c r="AU77" s="17">
        <v>12.308999999999999</v>
      </c>
      <c r="AV77" s="17">
        <v>12.426</v>
      </c>
      <c r="AW77" s="17">
        <v>12.542</v>
      </c>
      <c r="AX77" s="17">
        <v>0.23300000000000001</v>
      </c>
      <c r="AY77" s="17">
        <f t="shared" si="5"/>
        <v>1.5063559322033899</v>
      </c>
      <c r="AZ77" s="17">
        <f t="shared" si="6"/>
        <v>3.9454335260115605</v>
      </c>
    </row>
    <row r="78" spans="1:52" ht="18" customHeight="1" x14ac:dyDescent="0.2">
      <c r="B78" s="27">
        <v>12</v>
      </c>
      <c r="C78" s="17">
        <v>22.991700000000002</v>
      </c>
      <c r="D78" s="17">
        <v>35.021255000000004</v>
      </c>
      <c r="E78" s="17">
        <v>774.45664999999997</v>
      </c>
      <c r="F78" s="17">
        <v>878.94118000000003</v>
      </c>
      <c r="G78" s="17">
        <v>0.52700000000000002</v>
      </c>
      <c r="H78" s="17">
        <v>0.73499999999999999</v>
      </c>
      <c r="I78" s="17">
        <f t="shared" si="7"/>
        <v>1.0811411132699498</v>
      </c>
      <c r="J78" s="17">
        <f t="shared" si="8"/>
        <v>1.2852260333368717</v>
      </c>
      <c r="K78" s="17">
        <f t="shared" si="9"/>
        <v>1.5225296033461212E-3</v>
      </c>
      <c r="L78" s="17">
        <f t="shared" si="10"/>
        <v>1.5232129420617007</v>
      </c>
      <c r="M78" s="17">
        <v>879.47</v>
      </c>
      <c r="N78" s="29">
        <v>10.041</v>
      </c>
      <c r="O78" s="27">
        <v>25.56</v>
      </c>
      <c r="P78" s="103">
        <f t="shared" si="11"/>
        <v>64.44</v>
      </c>
      <c r="Z78" s="17">
        <v>5.43</v>
      </c>
      <c r="AA78" s="17">
        <v>34.017000000000003</v>
      </c>
      <c r="AB78" s="17">
        <v>27.356000000000002</v>
      </c>
      <c r="AC78" s="17">
        <v>875.67</v>
      </c>
      <c r="AD78" s="17">
        <v>823.8</v>
      </c>
      <c r="AE78" s="17">
        <v>80.212000000000003</v>
      </c>
      <c r="AF78" s="17">
        <v>67.52</v>
      </c>
      <c r="AG78" s="17">
        <v>8.9630000000000001E-2</v>
      </c>
      <c r="AH78" s="17">
        <v>6.8559999999999996E-2</v>
      </c>
      <c r="AI78" s="17">
        <v>0.24407000000000001</v>
      </c>
      <c r="AJ78" s="17">
        <v>0</v>
      </c>
      <c r="AK78" s="17">
        <v>0.56850000000000001</v>
      </c>
      <c r="AL78" s="17">
        <v>23.372</v>
      </c>
      <c r="AM78" s="17">
        <v>1.4772400000000001</v>
      </c>
      <c r="AN78" s="17">
        <v>62.08</v>
      </c>
      <c r="AO78" s="17">
        <v>0</v>
      </c>
      <c r="AP78" s="17">
        <v>797.19299999999998</v>
      </c>
      <c r="AQ78" s="17">
        <v>373.262</v>
      </c>
      <c r="AR78" s="17">
        <v>373.262</v>
      </c>
      <c r="AS78" s="17">
        <v>0</v>
      </c>
      <c r="AT78" s="17">
        <v>704.40899999999999</v>
      </c>
      <c r="AU78" s="17">
        <v>12.542</v>
      </c>
      <c r="AV78" s="17">
        <v>12.688000000000001</v>
      </c>
      <c r="AW78" s="17">
        <v>12.835000000000001</v>
      </c>
      <c r="AX78" s="17">
        <v>0.29299999999999998</v>
      </c>
      <c r="AY78" s="17">
        <f t="shared" si="5"/>
        <v>1.5111278930300744</v>
      </c>
      <c r="AZ78" s="17">
        <f t="shared" si="6"/>
        <v>3.9326011560693646</v>
      </c>
    </row>
    <row r="79" spans="1:52" s="96" customFormat="1" ht="18" customHeight="1" x14ac:dyDescent="0.2">
      <c r="A79" s="94" t="s">
        <v>118</v>
      </c>
      <c r="B79" s="97"/>
      <c r="C79" s="95"/>
      <c r="D79" s="95"/>
      <c r="E79" s="95"/>
      <c r="F79" s="95"/>
      <c r="G79" s="95"/>
      <c r="H79" s="95"/>
      <c r="I79" s="95"/>
      <c r="J79" s="95"/>
      <c r="K79" s="95"/>
      <c r="L79" s="95"/>
      <c r="M79" s="95"/>
      <c r="N79" s="97"/>
      <c r="O79" s="97"/>
      <c r="P79" s="102"/>
      <c r="Z79" s="95">
        <v>0</v>
      </c>
      <c r="AA79" s="95">
        <v>0</v>
      </c>
      <c r="AB79" s="95">
        <v>0</v>
      </c>
      <c r="AC79" s="95">
        <v>0</v>
      </c>
      <c r="AD79" s="95">
        <v>0</v>
      </c>
      <c r="AE79" s="95">
        <v>0</v>
      </c>
      <c r="AF79" s="95">
        <v>0</v>
      </c>
      <c r="AG79" s="95">
        <v>0</v>
      </c>
      <c r="AH79" s="95">
        <v>0</v>
      </c>
      <c r="AI79" s="95">
        <v>0</v>
      </c>
      <c r="AJ79" s="95">
        <v>0</v>
      </c>
      <c r="AK79" s="95">
        <v>0</v>
      </c>
      <c r="AL79" s="95">
        <v>0</v>
      </c>
      <c r="AM79" s="95">
        <v>0</v>
      </c>
      <c r="AN79" s="95">
        <v>0</v>
      </c>
      <c r="AO79" s="95">
        <v>0</v>
      </c>
      <c r="AP79" s="95">
        <v>0</v>
      </c>
      <c r="AQ79" s="95">
        <v>0</v>
      </c>
      <c r="AR79" s="95">
        <v>0</v>
      </c>
      <c r="AS79" s="95">
        <v>0</v>
      </c>
      <c r="AT79" s="95">
        <v>0</v>
      </c>
      <c r="AU79" s="95">
        <v>0</v>
      </c>
      <c r="AV79" s="95">
        <v>0</v>
      </c>
      <c r="AW79" s="95">
        <v>0</v>
      </c>
      <c r="AX79" s="95">
        <v>0</v>
      </c>
      <c r="AY79" s="95"/>
      <c r="AZ79" s="95">
        <f t="shared" si="6"/>
        <v>0</v>
      </c>
    </row>
    <row r="80" spans="1:52" s="96" customFormat="1" ht="18" customHeight="1" x14ac:dyDescent="0.2">
      <c r="A80" s="97"/>
      <c r="B80" s="97">
        <v>1</v>
      </c>
      <c r="C80" s="95">
        <v>33.942599999999999</v>
      </c>
      <c r="D80" s="95">
        <v>33.344885000000005</v>
      </c>
      <c r="E80" s="95">
        <v>889.13211999999999</v>
      </c>
      <c r="F80" s="95">
        <v>889.13211999999999</v>
      </c>
      <c r="G80" s="95">
        <v>0.60399999999999998</v>
      </c>
      <c r="H80" s="95">
        <v>0.41699999999999998</v>
      </c>
      <c r="I80" s="95">
        <f t="shared" si="7"/>
        <v>1.0369020286287549</v>
      </c>
      <c r="J80" s="95">
        <f t="shared" si="8"/>
        <v>1.115234387913888</v>
      </c>
      <c r="K80" s="95">
        <f t="shared" si="9"/>
        <v>1.2206096947073725E-3</v>
      </c>
      <c r="L80" s="95">
        <f t="shared" si="10"/>
        <v>0.98239041794087689</v>
      </c>
      <c r="M80" s="95">
        <v>856.89</v>
      </c>
      <c r="N80" s="97">
        <v>12.702999999999999</v>
      </c>
      <c r="O80" s="97">
        <v>30.6</v>
      </c>
      <c r="P80" s="102">
        <f t="shared" si="11"/>
        <v>59.4</v>
      </c>
      <c r="Z80" s="95">
        <v>5.43</v>
      </c>
      <c r="AA80" s="95">
        <v>34.143000000000001</v>
      </c>
      <c r="AB80" s="95">
        <v>30.291</v>
      </c>
      <c r="AC80" s="95">
        <v>853.28</v>
      </c>
      <c r="AD80" s="95">
        <v>825.11</v>
      </c>
      <c r="AE80" s="95">
        <v>74.724999999999994</v>
      </c>
      <c r="AF80" s="95">
        <v>67.837999999999994</v>
      </c>
      <c r="AG80" s="95">
        <v>9.9089999999999998E-2</v>
      </c>
      <c r="AH80" s="95">
        <v>6.8559999999999996E-2</v>
      </c>
      <c r="AI80" s="95">
        <v>0.24410000000000001</v>
      </c>
      <c r="AJ80" s="95">
        <v>0</v>
      </c>
      <c r="AK80" s="95">
        <v>0.41839999999999999</v>
      </c>
      <c r="AL80" s="95">
        <v>14.813000000000001</v>
      </c>
      <c r="AM80" s="95">
        <v>1.4706399999999999</v>
      </c>
      <c r="AN80" s="95">
        <v>24.88</v>
      </c>
      <c r="AO80" s="95">
        <v>0</v>
      </c>
      <c r="AP80" s="95">
        <v>587.23500000000001</v>
      </c>
      <c r="AQ80" s="95">
        <v>532.71400000000006</v>
      </c>
      <c r="AR80" s="95">
        <v>532.71400000000006</v>
      </c>
      <c r="AS80" s="95">
        <v>0</v>
      </c>
      <c r="AT80" s="95">
        <v>247.10499999999999</v>
      </c>
      <c r="AU80" s="95">
        <v>10.247999999999999</v>
      </c>
      <c r="AV80" s="95">
        <v>10.362</v>
      </c>
      <c r="AW80" s="95">
        <v>10.476000000000001</v>
      </c>
      <c r="AX80" s="95">
        <v>0.22800000000000001</v>
      </c>
      <c r="AY80" s="95">
        <f t="shared" ref="AY80:AY143" si="12">AA80/AA67</f>
        <v>0.97651870495366666</v>
      </c>
      <c r="AZ80" s="95">
        <f t="shared" ref="AZ80:AZ143" si="13">AA80/8.65</f>
        <v>3.9471676300578036</v>
      </c>
    </row>
    <row r="81" spans="1:52" s="96" customFormat="1" ht="18" customHeight="1" x14ac:dyDescent="0.2">
      <c r="A81" s="97"/>
      <c r="B81" s="97">
        <v>2</v>
      </c>
      <c r="C81" s="95">
        <v>34.005744999999997</v>
      </c>
      <c r="D81" s="95">
        <v>33.497990000000001</v>
      </c>
      <c r="E81" s="95">
        <v>863.70956000000001</v>
      </c>
      <c r="F81" s="95">
        <v>863.70956000000001</v>
      </c>
      <c r="G81" s="95">
        <v>0.61399999999999999</v>
      </c>
      <c r="H81" s="95">
        <v>0.43099999999999999</v>
      </c>
      <c r="I81" s="95">
        <f t="shared" si="7"/>
        <v>1.03687694053004</v>
      </c>
      <c r="J81" s="95">
        <f t="shared" si="8"/>
        <v>1.1181799773158159</v>
      </c>
      <c r="K81" s="95">
        <f t="shared" si="9"/>
        <v>1.0339852033234131E-3</v>
      </c>
      <c r="L81" s="95">
        <f t="shared" si="10"/>
        <v>0.98506855238725111</v>
      </c>
      <c r="M81" s="95">
        <v>848.66</v>
      </c>
      <c r="N81" s="97">
        <v>12.500999999999999</v>
      </c>
      <c r="O81" s="97">
        <v>23.56</v>
      </c>
      <c r="P81" s="102">
        <f t="shared" si="11"/>
        <v>66.44</v>
      </c>
      <c r="Z81" s="95">
        <v>5.43</v>
      </c>
      <c r="AA81" s="95">
        <v>34.189</v>
      </c>
      <c r="AB81" s="95">
        <v>30.314</v>
      </c>
      <c r="AC81" s="95">
        <v>847.16</v>
      </c>
      <c r="AD81" s="95">
        <v>819.03</v>
      </c>
      <c r="AE81" s="95">
        <v>73.227000000000004</v>
      </c>
      <c r="AF81" s="95">
        <v>66.355999999999995</v>
      </c>
      <c r="AG81" s="95">
        <v>9.9900000000000003E-2</v>
      </c>
      <c r="AH81" s="95">
        <v>6.8559999999999996E-2</v>
      </c>
      <c r="AI81" s="95">
        <v>0.24396000000000001</v>
      </c>
      <c r="AJ81" s="95">
        <v>0</v>
      </c>
      <c r="AK81" s="95">
        <v>0.4194</v>
      </c>
      <c r="AL81" s="95">
        <v>14.247999999999999</v>
      </c>
      <c r="AM81" s="95">
        <v>1.46878</v>
      </c>
      <c r="AN81" s="95">
        <v>20.52</v>
      </c>
      <c r="AO81" s="95">
        <v>0</v>
      </c>
      <c r="AP81" s="95">
        <v>586.53899999999999</v>
      </c>
      <c r="AQ81" s="95">
        <v>549.33600000000001</v>
      </c>
      <c r="AR81" s="95">
        <v>549.33600000000001</v>
      </c>
      <c r="AS81" s="95">
        <v>0</v>
      </c>
      <c r="AT81" s="95">
        <v>205.56800000000001</v>
      </c>
      <c r="AU81" s="95">
        <v>10.476000000000001</v>
      </c>
      <c r="AV81" s="95">
        <v>10.583</v>
      </c>
      <c r="AW81" s="95">
        <v>10.69</v>
      </c>
      <c r="AX81" s="95">
        <v>0.214</v>
      </c>
      <c r="AY81" s="95">
        <f t="shared" si="12"/>
        <v>0.98123008925752653</v>
      </c>
      <c r="AZ81" s="95">
        <f t="shared" si="13"/>
        <v>3.9524855491329478</v>
      </c>
    </row>
    <row r="82" spans="1:52" s="96" customFormat="1" ht="18" customHeight="1" x14ac:dyDescent="0.2">
      <c r="A82" s="97"/>
      <c r="B82" s="97">
        <v>3</v>
      </c>
      <c r="C82" s="95">
        <v>34.104354999999998</v>
      </c>
      <c r="D82" s="95">
        <v>33.6312</v>
      </c>
      <c r="E82" s="95">
        <v>849.35457999999994</v>
      </c>
      <c r="F82" s="95">
        <v>849.35457999999994</v>
      </c>
      <c r="G82" s="95">
        <v>0.621</v>
      </c>
      <c r="H82" s="95">
        <v>0.442</v>
      </c>
      <c r="I82" s="95">
        <f t="shared" si="7"/>
        <v>1.0366243828151405</v>
      </c>
      <c r="J82" s="95">
        <f t="shared" si="8"/>
        <v>1.1184266134661391</v>
      </c>
      <c r="K82" s="95">
        <f t="shared" si="9"/>
        <v>9.6040163008953312E-4</v>
      </c>
      <c r="L82" s="95">
        <f t="shared" si="10"/>
        <v>0.98612625865523629</v>
      </c>
      <c r="M82" s="95">
        <v>843.58</v>
      </c>
      <c r="N82" s="97">
        <v>12.317</v>
      </c>
      <c r="O82" s="97">
        <v>19.96</v>
      </c>
      <c r="P82" s="102">
        <f t="shared" si="11"/>
        <v>70.039999999999992</v>
      </c>
      <c r="Z82" s="95">
        <v>5.43</v>
      </c>
      <c r="AA82" s="95">
        <v>34.241</v>
      </c>
      <c r="AB82" s="95">
        <v>30.331</v>
      </c>
      <c r="AC82" s="95">
        <v>843.76</v>
      </c>
      <c r="AD82" s="95">
        <v>815.52</v>
      </c>
      <c r="AE82" s="95">
        <v>72.394999999999996</v>
      </c>
      <c r="AF82" s="95">
        <v>65.498999999999995</v>
      </c>
      <c r="AG82" s="95">
        <v>0.10038999999999999</v>
      </c>
      <c r="AH82" s="95">
        <v>6.8559999999999996E-2</v>
      </c>
      <c r="AI82" s="95">
        <v>0.24388000000000001</v>
      </c>
      <c r="AJ82" s="95">
        <v>0</v>
      </c>
      <c r="AK82" s="95">
        <v>0.42109999999999997</v>
      </c>
      <c r="AL82" s="95">
        <v>13.99</v>
      </c>
      <c r="AM82" s="95">
        <v>1.4676899999999999</v>
      </c>
      <c r="AN82" s="95">
        <v>18.649999999999999</v>
      </c>
      <c r="AO82" s="95">
        <v>0</v>
      </c>
      <c r="AP82" s="95">
        <v>587.64</v>
      </c>
      <c r="AQ82" s="95">
        <v>556.76900000000001</v>
      </c>
      <c r="AR82" s="95">
        <v>556.76900000000001</v>
      </c>
      <c r="AS82" s="95">
        <v>0</v>
      </c>
      <c r="AT82" s="95">
        <v>187.96100000000001</v>
      </c>
      <c r="AU82" s="95">
        <v>10.69</v>
      </c>
      <c r="AV82" s="95">
        <v>10.792999999999999</v>
      </c>
      <c r="AW82" s="95">
        <v>10.896000000000001</v>
      </c>
      <c r="AX82" s="95">
        <v>0.20599999999999999</v>
      </c>
      <c r="AY82" s="95">
        <f t="shared" si="12"/>
        <v>0.98433277755418846</v>
      </c>
      <c r="AZ82" s="95">
        <f t="shared" si="13"/>
        <v>3.9584971098265895</v>
      </c>
    </row>
    <row r="83" spans="1:52" s="96" customFormat="1" ht="18" customHeight="1" x14ac:dyDescent="0.2">
      <c r="A83" s="97"/>
      <c r="B83" s="97">
        <v>4</v>
      </c>
      <c r="C83" s="95">
        <v>34.212479999999999</v>
      </c>
      <c r="D83" s="95">
        <v>33.785170000000001</v>
      </c>
      <c r="E83" s="95">
        <v>840.97170999999992</v>
      </c>
      <c r="F83" s="95">
        <v>840.97170999999992</v>
      </c>
      <c r="G83" s="95">
        <v>0.63100000000000001</v>
      </c>
      <c r="H83" s="95">
        <v>0.45400000000000001</v>
      </c>
      <c r="I83" s="95">
        <f t="shared" si="7"/>
        <v>1.0368883444010852</v>
      </c>
      <c r="J83" s="95">
        <f t="shared" si="8"/>
        <v>1.1209946146239416</v>
      </c>
      <c r="K83" s="95">
        <f t="shared" si="9"/>
        <v>8.6429030268916039E-4</v>
      </c>
      <c r="L83" s="95">
        <f t="shared" si="10"/>
        <v>0.98751011326860849</v>
      </c>
      <c r="M83" s="95">
        <v>841.03</v>
      </c>
      <c r="N83" s="97">
        <v>12.08</v>
      </c>
      <c r="O83" s="97">
        <v>18.239999999999998</v>
      </c>
      <c r="P83" s="102">
        <f t="shared" si="11"/>
        <v>71.760000000000005</v>
      </c>
      <c r="Z83" s="95">
        <v>5.43</v>
      </c>
      <c r="AA83" s="95">
        <v>34.247</v>
      </c>
      <c r="AB83" s="95">
        <v>30.344999999999999</v>
      </c>
      <c r="AC83" s="95">
        <v>842.03</v>
      </c>
      <c r="AD83" s="95">
        <v>813.91</v>
      </c>
      <c r="AE83" s="95">
        <v>71.971999999999994</v>
      </c>
      <c r="AF83" s="95">
        <v>65.105999999999995</v>
      </c>
      <c r="AG83" s="95">
        <v>0.10063</v>
      </c>
      <c r="AH83" s="95">
        <v>6.8559999999999996E-2</v>
      </c>
      <c r="AI83" s="95">
        <v>0.24385000000000001</v>
      </c>
      <c r="AJ83" s="95">
        <v>0</v>
      </c>
      <c r="AK83" s="95">
        <v>0.42059999999999997</v>
      </c>
      <c r="AL83" s="95">
        <v>13.942</v>
      </c>
      <c r="AM83" s="95">
        <v>1.4671799999999999</v>
      </c>
      <c r="AN83" s="95">
        <v>18.100000000000001</v>
      </c>
      <c r="AO83" s="95">
        <v>0</v>
      </c>
      <c r="AP83" s="95">
        <v>586.34299999999996</v>
      </c>
      <c r="AQ83" s="95">
        <v>557.32799999999997</v>
      </c>
      <c r="AR83" s="95">
        <v>557.32799999999997</v>
      </c>
      <c r="AS83" s="95">
        <v>0</v>
      </c>
      <c r="AT83" s="95">
        <v>182.16499999999999</v>
      </c>
      <c r="AU83" s="95">
        <v>10.896000000000001</v>
      </c>
      <c r="AV83" s="95">
        <v>10.997</v>
      </c>
      <c r="AW83" s="95">
        <v>11.098000000000001</v>
      </c>
      <c r="AX83" s="95">
        <v>0.20200000000000001</v>
      </c>
      <c r="AY83" s="95">
        <f t="shared" si="12"/>
        <v>0.98609271523178821</v>
      </c>
      <c r="AZ83" s="95">
        <f t="shared" si="13"/>
        <v>3.9591907514450866</v>
      </c>
    </row>
    <row r="84" spans="1:52" s="96" customFormat="1" ht="18" customHeight="1" x14ac:dyDescent="0.2">
      <c r="A84" s="97"/>
      <c r="B84" s="97">
        <v>5</v>
      </c>
      <c r="C84" s="95">
        <v>34.319740000000003</v>
      </c>
      <c r="D84" s="95">
        <v>33.904540000000004</v>
      </c>
      <c r="E84" s="95">
        <v>837.79388999999992</v>
      </c>
      <c r="F84" s="95">
        <v>837.79388999999992</v>
      </c>
      <c r="G84" s="95">
        <v>0.64100000000000001</v>
      </c>
      <c r="H84" s="95">
        <v>0.46300000000000002</v>
      </c>
      <c r="I84" s="95">
        <f t="shared" si="7"/>
        <v>1.0376866309231279</v>
      </c>
      <c r="J84" s="95">
        <f t="shared" si="8"/>
        <v>1.1244642246871293</v>
      </c>
      <c r="K84" s="95">
        <f t="shared" si="9"/>
        <v>8.3714937921541138E-4</v>
      </c>
      <c r="L84" s="95">
        <f t="shared" si="10"/>
        <v>0.98790200625063018</v>
      </c>
      <c r="M84" s="95">
        <v>839.89</v>
      </c>
      <c r="N84" s="97">
        <v>11.846</v>
      </c>
      <c r="O84" s="97">
        <v>18.05</v>
      </c>
      <c r="P84" s="102">
        <f t="shared" si="11"/>
        <v>71.95</v>
      </c>
      <c r="Z84" s="95">
        <v>5.43</v>
      </c>
      <c r="AA84" s="95">
        <v>34.182000000000002</v>
      </c>
      <c r="AB84" s="95">
        <v>30.358000000000001</v>
      </c>
      <c r="AC84" s="95">
        <v>841.1</v>
      </c>
      <c r="AD84" s="95">
        <v>813.54</v>
      </c>
      <c r="AE84" s="95">
        <v>71.745000000000005</v>
      </c>
      <c r="AF84" s="95">
        <v>65.015000000000001</v>
      </c>
      <c r="AG84" s="95">
        <v>0.10072</v>
      </c>
      <c r="AH84" s="95">
        <v>6.8559999999999996E-2</v>
      </c>
      <c r="AI84" s="95">
        <v>0.24384</v>
      </c>
      <c r="AJ84" s="95">
        <v>0</v>
      </c>
      <c r="AK84" s="95">
        <v>0.41649999999999998</v>
      </c>
      <c r="AL84" s="95">
        <v>14.068</v>
      </c>
      <c r="AM84" s="95">
        <v>1.4670399999999999</v>
      </c>
      <c r="AN84" s="95">
        <v>18.07</v>
      </c>
      <c r="AO84" s="95">
        <v>0</v>
      </c>
      <c r="AP84" s="95">
        <v>580.48500000000001</v>
      </c>
      <c r="AQ84" s="95">
        <v>551.85599999999999</v>
      </c>
      <c r="AR84" s="95">
        <v>551.85599999999999</v>
      </c>
      <c r="AS84" s="95">
        <v>0</v>
      </c>
      <c r="AT84" s="95">
        <v>180.047</v>
      </c>
      <c r="AU84" s="95">
        <v>11.098000000000001</v>
      </c>
      <c r="AV84" s="95">
        <v>11.198</v>
      </c>
      <c r="AW84" s="95">
        <v>11.298</v>
      </c>
      <c r="AX84" s="95">
        <v>0.2</v>
      </c>
      <c r="AY84" s="95">
        <f t="shared" si="12"/>
        <v>0.98692074491121706</v>
      </c>
      <c r="AZ84" s="95">
        <f t="shared" si="13"/>
        <v>3.9516763005780349</v>
      </c>
    </row>
    <row r="85" spans="1:52" s="96" customFormat="1" ht="18" customHeight="1" x14ac:dyDescent="0.2">
      <c r="A85" s="97"/>
      <c r="B85" s="97">
        <v>6</v>
      </c>
      <c r="C85" s="95">
        <v>34.427865000000004</v>
      </c>
      <c r="D85" s="95">
        <v>34.005744999999997</v>
      </c>
      <c r="E85" s="95">
        <v>837.02683000000002</v>
      </c>
      <c r="F85" s="95">
        <v>837.02683000000002</v>
      </c>
      <c r="G85" s="95">
        <v>0.65300000000000002</v>
      </c>
      <c r="H85" s="95">
        <v>0.47099999999999997</v>
      </c>
      <c r="I85" s="95">
        <f t="shared" si="7"/>
        <v>1.039175455552936</v>
      </c>
      <c r="J85" s="95">
        <f t="shared" si="8"/>
        <v>1.1299345397465237</v>
      </c>
      <c r="K85" s="95">
        <f t="shared" si="9"/>
        <v>8.4856865341115945E-4</v>
      </c>
      <c r="L85" s="95">
        <f t="shared" si="10"/>
        <v>0.98773900153262462</v>
      </c>
      <c r="M85" s="95">
        <v>839.85</v>
      </c>
      <c r="N85" s="97">
        <v>11.611000000000001</v>
      </c>
      <c r="O85" s="97">
        <v>18.100000000000001</v>
      </c>
      <c r="P85" s="102">
        <f t="shared" si="11"/>
        <v>71.900000000000006</v>
      </c>
      <c r="Z85" s="95">
        <v>5.43</v>
      </c>
      <c r="AA85" s="95">
        <v>34.112000000000002</v>
      </c>
      <c r="AB85" s="95">
        <v>30.37</v>
      </c>
      <c r="AC85" s="95">
        <v>841.02</v>
      </c>
      <c r="AD85" s="95">
        <v>814.02</v>
      </c>
      <c r="AE85" s="95">
        <v>71.725999999999999</v>
      </c>
      <c r="AF85" s="95">
        <v>65.135000000000005</v>
      </c>
      <c r="AG85" s="95">
        <v>0.1007</v>
      </c>
      <c r="AH85" s="95">
        <v>6.8559999999999996E-2</v>
      </c>
      <c r="AI85" s="95">
        <v>0.24385000000000001</v>
      </c>
      <c r="AJ85" s="95">
        <v>0</v>
      </c>
      <c r="AK85" s="95">
        <v>0.41210000000000002</v>
      </c>
      <c r="AL85" s="95">
        <v>14.22</v>
      </c>
      <c r="AM85" s="95">
        <v>1.46716</v>
      </c>
      <c r="AN85" s="95">
        <v>18.100000000000001</v>
      </c>
      <c r="AO85" s="95">
        <v>0</v>
      </c>
      <c r="AP85" s="95">
        <v>574.49</v>
      </c>
      <c r="AQ85" s="95">
        <v>546.06200000000001</v>
      </c>
      <c r="AR85" s="95">
        <v>546.06200000000001</v>
      </c>
      <c r="AS85" s="95">
        <v>0</v>
      </c>
      <c r="AT85" s="95">
        <v>178.48099999999999</v>
      </c>
      <c r="AU85" s="95">
        <v>11.298</v>
      </c>
      <c r="AV85" s="95">
        <v>11.397</v>
      </c>
      <c r="AW85" s="95">
        <v>11.496</v>
      </c>
      <c r="AX85" s="95">
        <v>0.19900000000000001</v>
      </c>
      <c r="AY85" s="95">
        <f t="shared" si="12"/>
        <v>0.98740845804266664</v>
      </c>
      <c r="AZ85" s="95">
        <f t="shared" si="13"/>
        <v>3.943583815028902</v>
      </c>
    </row>
    <row r="86" spans="1:52" s="96" customFormat="1" ht="18" customHeight="1" x14ac:dyDescent="0.2">
      <c r="A86" s="97"/>
      <c r="B86" s="97">
        <v>7</v>
      </c>
      <c r="C86" s="95">
        <v>34.535989999999998</v>
      </c>
      <c r="D86" s="95">
        <v>34.100030000000004</v>
      </c>
      <c r="E86" s="95">
        <v>837.24599000000001</v>
      </c>
      <c r="F86" s="95">
        <v>837.24599000000001</v>
      </c>
      <c r="G86" s="95">
        <v>0.66500000000000004</v>
      </c>
      <c r="H86" s="95">
        <v>0.47799999999999998</v>
      </c>
      <c r="I86" s="95">
        <f t="shared" si="7"/>
        <v>1.0408801097985574</v>
      </c>
      <c r="J86" s="95">
        <f t="shared" si="8"/>
        <v>1.1360183198551967</v>
      </c>
      <c r="K86" s="95">
        <f t="shared" si="9"/>
        <v>8.7384394956683924E-4</v>
      </c>
      <c r="L86" s="95">
        <f t="shared" si="10"/>
        <v>0.98737664679657378</v>
      </c>
      <c r="M86" s="95">
        <v>840.39</v>
      </c>
      <c r="N86" s="97">
        <v>11.375999999999999</v>
      </c>
      <c r="O86" s="97">
        <v>18.100000000000001</v>
      </c>
      <c r="P86" s="102">
        <f t="shared" si="11"/>
        <v>71.900000000000006</v>
      </c>
      <c r="Z86" s="95">
        <v>5.43</v>
      </c>
      <c r="AA86" s="95">
        <v>34.030999999999999</v>
      </c>
      <c r="AB86" s="95">
        <v>30.382000000000001</v>
      </c>
      <c r="AC86" s="95">
        <v>841.51</v>
      </c>
      <c r="AD86" s="95">
        <v>815.14</v>
      </c>
      <c r="AE86" s="95">
        <v>71.846999999999994</v>
      </c>
      <c r="AF86" s="95">
        <v>65.406000000000006</v>
      </c>
      <c r="AG86" s="95">
        <v>0.10059999999999999</v>
      </c>
      <c r="AH86" s="95">
        <v>6.8559999999999996E-2</v>
      </c>
      <c r="AI86" s="95">
        <v>0.24388000000000001</v>
      </c>
      <c r="AJ86" s="95">
        <v>0</v>
      </c>
      <c r="AK86" s="95">
        <v>0.40710000000000002</v>
      </c>
      <c r="AL86" s="95">
        <v>14.398999999999999</v>
      </c>
      <c r="AM86" s="95">
        <v>1.4674700000000001</v>
      </c>
      <c r="AN86" s="95">
        <v>18.100000000000001</v>
      </c>
      <c r="AO86" s="95">
        <v>0</v>
      </c>
      <c r="AP86" s="95">
        <v>567.90300000000002</v>
      </c>
      <c r="AQ86" s="95">
        <v>539.80100000000004</v>
      </c>
      <c r="AR86" s="95">
        <v>539.80100000000004</v>
      </c>
      <c r="AS86" s="95">
        <v>0</v>
      </c>
      <c r="AT86" s="95">
        <v>176.434</v>
      </c>
      <c r="AU86" s="95">
        <v>11.496</v>
      </c>
      <c r="AV86" s="95">
        <v>11.595000000000001</v>
      </c>
      <c r="AW86" s="95">
        <v>11.694000000000001</v>
      </c>
      <c r="AX86" s="95">
        <v>0.19800000000000001</v>
      </c>
      <c r="AY86" s="95">
        <f t="shared" si="12"/>
        <v>0.98769409374546513</v>
      </c>
      <c r="AZ86" s="95">
        <f t="shared" si="13"/>
        <v>3.9342196531791904</v>
      </c>
    </row>
    <row r="87" spans="1:52" s="96" customFormat="1" ht="18" customHeight="1" x14ac:dyDescent="0.2">
      <c r="A87" s="97"/>
      <c r="B87" s="97">
        <v>8</v>
      </c>
      <c r="C87" s="95">
        <v>34.643250000000002</v>
      </c>
      <c r="D87" s="95">
        <v>34.185665</v>
      </c>
      <c r="E87" s="95">
        <v>839.60195999999996</v>
      </c>
      <c r="F87" s="95">
        <v>839.60195999999996</v>
      </c>
      <c r="G87" s="95">
        <v>0.67800000000000005</v>
      </c>
      <c r="H87" s="95">
        <v>0.48499999999999999</v>
      </c>
      <c r="I87" s="95">
        <f t="shared" si="7"/>
        <v>1.0428747570543768</v>
      </c>
      <c r="J87" s="95">
        <f t="shared" si="8"/>
        <v>1.1429782036150116</v>
      </c>
      <c r="K87" s="95">
        <f t="shared" si="9"/>
        <v>9.1462347237265991E-4</v>
      </c>
      <c r="L87" s="95">
        <f t="shared" si="10"/>
        <v>0.98679151061173531</v>
      </c>
      <c r="M87" s="95">
        <v>841.58</v>
      </c>
      <c r="N87" s="97">
        <v>11.138999999999999</v>
      </c>
      <c r="O87" s="97">
        <v>18.059999999999999</v>
      </c>
      <c r="P87" s="102">
        <f t="shared" si="11"/>
        <v>71.94</v>
      </c>
      <c r="Z87" s="95">
        <v>5.43</v>
      </c>
      <c r="AA87" s="95">
        <v>33.936999999999998</v>
      </c>
      <c r="AB87" s="95">
        <v>30.393000000000001</v>
      </c>
      <c r="AC87" s="95">
        <v>842.64</v>
      </c>
      <c r="AD87" s="95">
        <v>816.94</v>
      </c>
      <c r="AE87" s="95">
        <v>72.122</v>
      </c>
      <c r="AF87" s="95">
        <v>65.846999999999994</v>
      </c>
      <c r="AG87" s="95">
        <v>0.10042</v>
      </c>
      <c r="AH87" s="95">
        <v>6.8559999999999996E-2</v>
      </c>
      <c r="AI87" s="95">
        <v>0.24392</v>
      </c>
      <c r="AJ87" s="95">
        <v>0</v>
      </c>
      <c r="AK87" s="95">
        <v>0.40139999999999998</v>
      </c>
      <c r="AL87" s="95">
        <v>14.612</v>
      </c>
      <c r="AM87" s="95">
        <v>1.4679800000000001</v>
      </c>
      <c r="AN87" s="95">
        <v>18.07</v>
      </c>
      <c r="AO87" s="95">
        <v>0</v>
      </c>
      <c r="AP87" s="95">
        <v>560.54899999999998</v>
      </c>
      <c r="AQ87" s="95">
        <v>532.90899999999999</v>
      </c>
      <c r="AR87" s="95">
        <v>532.90899999999999</v>
      </c>
      <c r="AS87" s="95">
        <v>0</v>
      </c>
      <c r="AT87" s="95">
        <v>173.84800000000001</v>
      </c>
      <c r="AU87" s="95">
        <v>11.694000000000001</v>
      </c>
      <c r="AV87" s="95">
        <v>11.792999999999999</v>
      </c>
      <c r="AW87" s="95">
        <v>11.891</v>
      </c>
      <c r="AX87" s="95">
        <v>0.19700000000000001</v>
      </c>
      <c r="AY87" s="95">
        <f t="shared" si="12"/>
        <v>0.98783292097220199</v>
      </c>
      <c r="AZ87" s="95">
        <f t="shared" si="13"/>
        <v>3.9233526011560689</v>
      </c>
    </row>
    <row r="88" spans="1:52" s="96" customFormat="1" ht="18" customHeight="1" x14ac:dyDescent="0.2">
      <c r="A88" s="97"/>
      <c r="B88" s="97">
        <v>9</v>
      </c>
      <c r="C88" s="95">
        <v>34.751375000000003</v>
      </c>
      <c r="D88" s="95">
        <v>34.249674999999996</v>
      </c>
      <c r="E88" s="95">
        <v>843.49205000000006</v>
      </c>
      <c r="F88" s="95">
        <v>843.49205000000006</v>
      </c>
      <c r="G88" s="95">
        <v>0.69299999999999995</v>
      </c>
      <c r="H88" s="95">
        <v>0.49</v>
      </c>
      <c r="I88" s="95">
        <f t="shared" si="7"/>
        <v>1.0458290872311597</v>
      </c>
      <c r="J88" s="95">
        <f t="shared" si="8"/>
        <v>1.152914150728876</v>
      </c>
      <c r="K88" s="95">
        <f t="shared" si="9"/>
        <v>1.0002192312225568E-3</v>
      </c>
      <c r="L88" s="95">
        <f t="shared" si="10"/>
        <v>0.98556316116988163</v>
      </c>
      <c r="M88" s="95">
        <v>844.52</v>
      </c>
      <c r="N88" s="97">
        <v>10.898</v>
      </c>
      <c r="O88" s="97">
        <v>18.13</v>
      </c>
      <c r="P88" s="102">
        <f t="shared" si="11"/>
        <v>71.87</v>
      </c>
      <c r="Z88" s="95">
        <v>5.43</v>
      </c>
      <c r="AA88" s="95">
        <v>33.838999999999999</v>
      </c>
      <c r="AB88" s="95">
        <v>30.404</v>
      </c>
      <c r="AC88" s="95">
        <v>844.76</v>
      </c>
      <c r="AD88" s="95">
        <v>819.75</v>
      </c>
      <c r="AE88" s="95">
        <v>72.64</v>
      </c>
      <c r="AF88" s="95">
        <v>66.531000000000006</v>
      </c>
      <c r="AG88" s="95">
        <v>0.10011</v>
      </c>
      <c r="AH88" s="95">
        <v>6.8559999999999996E-2</v>
      </c>
      <c r="AI88" s="95">
        <v>0.24398</v>
      </c>
      <c r="AJ88" s="95">
        <v>0</v>
      </c>
      <c r="AK88" s="95">
        <v>0.39529999999999998</v>
      </c>
      <c r="AL88" s="95">
        <v>14.861000000000001</v>
      </c>
      <c r="AM88" s="95">
        <v>1.46879</v>
      </c>
      <c r="AN88" s="95">
        <v>18.14</v>
      </c>
      <c r="AO88" s="95">
        <v>0</v>
      </c>
      <c r="AP88" s="95">
        <v>553.05499999999995</v>
      </c>
      <c r="AQ88" s="95">
        <v>525.57799999999997</v>
      </c>
      <c r="AR88" s="95">
        <v>525.57799999999997</v>
      </c>
      <c r="AS88" s="95">
        <v>0</v>
      </c>
      <c r="AT88" s="95">
        <v>172.15700000000001</v>
      </c>
      <c r="AU88" s="95">
        <v>11.891</v>
      </c>
      <c r="AV88" s="95">
        <v>11.99</v>
      </c>
      <c r="AW88" s="95">
        <v>12.089</v>
      </c>
      <c r="AX88" s="95">
        <v>0.19700000000000001</v>
      </c>
      <c r="AY88" s="95">
        <f t="shared" si="12"/>
        <v>0.98771161704611798</v>
      </c>
      <c r="AZ88" s="95">
        <f t="shared" si="13"/>
        <v>3.9120231213872829</v>
      </c>
    </row>
    <row r="89" spans="1:52" s="96" customFormat="1" ht="18" customHeight="1" x14ac:dyDescent="0.2">
      <c r="A89" s="97"/>
      <c r="B89" s="97">
        <v>10</v>
      </c>
      <c r="C89" s="95">
        <v>34.859500000000004</v>
      </c>
      <c r="D89" s="95">
        <v>34.246214999999999</v>
      </c>
      <c r="E89" s="95">
        <v>851.98449999999991</v>
      </c>
      <c r="F89" s="95">
        <v>851.98449999999991</v>
      </c>
      <c r="G89" s="95">
        <v>0.70799999999999996</v>
      </c>
      <c r="H89" s="95">
        <v>0.49299999999999999</v>
      </c>
      <c r="I89" s="95">
        <f t="shared" si="7"/>
        <v>1.0492490152199609</v>
      </c>
      <c r="J89" s="95">
        <f t="shared" si="8"/>
        <v>1.1624289602067854</v>
      </c>
      <c r="K89" s="95">
        <f t="shared" si="9"/>
        <v>1.2203440574268601E-3</v>
      </c>
      <c r="L89" s="95">
        <f t="shared" si="10"/>
        <v>0.98240694789081873</v>
      </c>
      <c r="M89" s="95">
        <v>849.92</v>
      </c>
      <c r="N89" s="97">
        <v>10.651999999999999</v>
      </c>
      <c r="O89" s="97">
        <v>19.48</v>
      </c>
      <c r="P89" s="102">
        <f t="shared" si="11"/>
        <v>70.52</v>
      </c>
      <c r="Z89" s="95">
        <v>5.43</v>
      </c>
      <c r="AA89" s="95">
        <v>33.75</v>
      </c>
      <c r="AB89" s="95">
        <v>30.414000000000001</v>
      </c>
      <c r="AC89" s="95">
        <v>849.2</v>
      </c>
      <c r="AD89" s="95">
        <v>824.76</v>
      </c>
      <c r="AE89" s="95">
        <v>73.724999999999994</v>
      </c>
      <c r="AF89" s="95">
        <v>67.754000000000005</v>
      </c>
      <c r="AG89" s="95">
        <v>9.9529999999999993E-2</v>
      </c>
      <c r="AH89" s="95">
        <v>6.8559999999999996E-2</v>
      </c>
      <c r="AI89" s="95">
        <v>0.24409</v>
      </c>
      <c r="AJ89" s="95">
        <v>0</v>
      </c>
      <c r="AK89" s="95">
        <v>0.38969999999999999</v>
      </c>
      <c r="AL89" s="95">
        <v>15.167999999999999</v>
      </c>
      <c r="AM89" s="95">
        <v>1.4702599999999999</v>
      </c>
      <c r="AN89" s="95">
        <v>18.71</v>
      </c>
      <c r="AO89" s="95">
        <v>0</v>
      </c>
      <c r="AP89" s="95">
        <v>546.80600000000004</v>
      </c>
      <c r="AQ89" s="95">
        <v>517.91999999999996</v>
      </c>
      <c r="AR89" s="95">
        <v>517.91999999999996</v>
      </c>
      <c r="AS89" s="95">
        <v>0</v>
      </c>
      <c r="AT89" s="95">
        <v>175.37299999999999</v>
      </c>
      <c r="AU89" s="95">
        <v>12.089</v>
      </c>
      <c r="AV89" s="95">
        <v>12.188000000000001</v>
      </c>
      <c r="AW89" s="95">
        <v>12.287000000000001</v>
      </c>
      <c r="AX89" s="95">
        <v>0.19800000000000001</v>
      </c>
      <c r="AY89" s="95">
        <f t="shared" si="12"/>
        <v>0.98713073998245104</v>
      </c>
      <c r="AZ89" s="95">
        <f t="shared" si="13"/>
        <v>3.9017341040462425</v>
      </c>
    </row>
    <row r="90" spans="1:52" s="96" customFormat="1" ht="18" customHeight="1" x14ac:dyDescent="0.2">
      <c r="A90" s="97"/>
      <c r="B90" s="97">
        <v>11</v>
      </c>
      <c r="C90" s="95">
        <v>34.967625000000005</v>
      </c>
      <c r="D90" s="95">
        <v>34.166634999999999</v>
      </c>
      <c r="E90" s="95">
        <v>867.54485999999997</v>
      </c>
      <c r="F90" s="95">
        <v>867.54485999999997</v>
      </c>
      <c r="G90" s="95">
        <v>0.72599999999999998</v>
      </c>
      <c r="H90" s="95">
        <v>0.49299999999999999</v>
      </c>
      <c r="I90" s="95">
        <f t="shared" si="7"/>
        <v>1.0541721048191615</v>
      </c>
      <c r="J90" s="95">
        <f t="shared" si="8"/>
        <v>1.1752395321824112</v>
      </c>
      <c r="K90" s="95">
        <f t="shared" si="9"/>
        <v>1.592469279583307E-3</v>
      </c>
      <c r="L90" s="95">
        <f t="shared" si="10"/>
        <v>0.97709338280766833</v>
      </c>
      <c r="M90" s="95">
        <v>858.77</v>
      </c>
      <c r="N90" s="97">
        <v>10.39</v>
      </c>
      <c r="O90" s="97">
        <v>24.22</v>
      </c>
      <c r="P90" s="102">
        <f t="shared" si="11"/>
        <v>65.78</v>
      </c>
      <c r="Z90" s="95">
        <v>5.43</v>
      </c>
      <c r="AA90" s="95">
        <v>33.649000000000001</v>
      </c>
      <c r="AB90" s="95">
        <v>30.425999999999998</v>
      </c>
      <c r="AC90" s="95">
        <v>857.51</v>
      </c>
      <c r="AD90" s="95">
        <v>833.64</v>
      </c>
      <c r="AE90" s="95">
        <v>75.760999999999996</v>
      </c>
      <c r="AF90" s="95">
        <v>69.923000000000002</v>
      </c>
      <c r="AG90" s="95">
        <v>9.851E-2</v>
      </c>
      <c r="AH90" s="95">
        <v>6.8559999999999996E-2</v>
      </c>
      <c r="AI90" s="95">
        <v>0.24429000000000001</v>
      </c>
      <c r="AJ90" s="95">
        <v>0</v>
      </c>
      <c r="AK90" s="95">
        <v>0.38329999999999997</v>
      </c>
      <c r="AL90" s="95">
        <v>15.67</v>
      </c>
      <c r="AM90" s="95">
        <v>1.47285</v>
      </c>
      <c r="AN90" s="95">
        <v>20.47</v>
      </c>
      <c r="AO90" s="95">
        <v>0</v>
      </c>
      <c r="AP90" s="95">
        <v>540.66600000000005</v>
      </c>
      <c r="AQ90" s="95">
        <v>506.52100000000002</v>
      </c>
      <c r="AR90" s="95">
        <v>506.52100000000002</v>
      </c>
      <c r="AS90" s="95">
        <v>0</v>
      </c>
      <c r="AT90" s="95">
        <v>189.095</v>
      </c>
      <c r="AU90" s="95">
        <v>12.287000000000001</v>
      </c>
      <c r="AV90" s="95">
        <v>12.387</v>
      </c>
      <c r="AW90" s="95">
        <v>12.488</v>
      </c>
      <c r="AX90" s="95">
        <v>0.20100000000000001</v>
      </c>
      <c r="AY90" s="95">
        <f t="shared" si="12"/>
        <v>0.9859646038443507</v>
      </c>
      <c r="AZ90" s="95">
        <f t="shared" si="13"/>
        <v>3.8900578034682081</v>
      </c>
    </row>
    <row r="91" spans="1:52" s="96" customFormat="1" ht="18" customHeight="1" x14ac:dyDescent="0.2">
      <c r="A91" s="97"/>
      <c r="B91" s="97">
        <v>12</v>
      </c>
      <c r="C91" s="95">
        <v>35.021255000000004</v>
      </c>
      <c r="D91" s="95">
        <v>34.091380000000001</v>
      </c>
      <c r="E91" s="95">
        <v>878.94118000000003</v>
      </c>
      <c r="F91" s="95">
        <v>878.94118000000003</v>
      </c>
      <c r="G91" s="95">
        <v>0.73599999999999999</v>
      </c>
      <c r="H91" s="95">
        <v>0.48699999999999999</v>
      </c>
      <c r="I91" s="95">
        <f t="shared" si="7"/>
        <v>1.0581472547477464</v>
      </c>
      <c r="J91" s="95">
        <f t="shared" si="8"/>
        <v>1.1863812104811768</v>
      </c>
      <c r="K91" s="95">
        <f t="shared" si="9"/>
        <v>1.848960350989531E-3</v>
      </c>
      <c r="L91" s="95">
        <f t="shared" si="10"/>
        <v>0.97344826734507361</v>
      </c>
      <c r="M91" s="95">
        <v>879.47</v>
      </c>
      <c r="N91" s="97">
        <v>10.247999999999999</v>
      </c>
      <c r="O91" s="97">
        <v>28.5</v>
      </c>
      <c r="P91" s="102">
        <f t="shared" si="11"/>
        <v>61.5</v>
      </c>
      <c r="Z91" s="95">
        <v>5.43</v>
      </c>
      <c r="AA91" s="95">
        <v>33.475999999999999</v>
      </c>
      <c r="AB91" s="95">
        <v>30.442</v>
      </c>
      <c r="AC91" s="95">
        <v>875.67</v>
      </c>
      <c r="AD91" s="95">
        <v>852.7</v>
      </c>
      <c r="AE91" s="95">
        <v>80.212000000000003</v>
      </c>
      <c r="AF91" s="95">
        <v>74.581999999999994</v>
      </c>
      <c r="AG91" s="95">
        <v>9.6360000000000001E-2</v>
      </c>
      <c r="AH91" s="95">
        <v>6.8559999999999996E-2</v>
      </c>
      <c r="AI91" s="95">
        <v>0.24473</v>
      </c>
      <c r="AJ91" s="95">
        <v>0</v>
      </c>
      <c r="AK91" s="95">
        <v>0.37230000000000002</v>
      </c>
      <c r="AL91" s="95">
        <v>17.021000000000001</v>
      </c>
      <c r="AM91" s="95">
        <v>1.47834</v>
      </c>
      <c r="AN91" s="95">
        <v>26.11</v>
      </c>
      <c r="AO91" s="95">
        <v>0</v>
      </c>
      <c r="AP91" s="95">
        <v>530.93499999999995</v>
      </c>
      <c r="AQ91" s="95">
        <v>476.74400000000003</v>
      </c>
      <c r="AR91" s="95">
        <v>476.74400000000003</v>
      </c>
      <c r="AS91" s="95">
        <v>0</v>
      </c>
      <c r="AT91" s="95">
        <v>233.68199999999999</v>
      </c>
      <c r="AU91" s="95">
        <v>12.488</v>
      </c>
      <c r="AV91" s="95">
        <v>12.595000000000001</v>
      </c>
      <c r="AW91" s="95">
        <v>12.702999999999999</v>
      </c>
      <c r="AX91" s="95">
        <v>0.215</v>
      </c>
      <c r="AY91" s="95">
        <f t="shared" si="12"/>
        <v>0.98409618720051728</v>
      </c>
      <c r="AZ91" s="95">
        <f t="shared" si="13"/>
        <v>3.870057803468208</v>
      </c>
    </row>
    <row r="92" spans="1:52" ht="18" customHeight="1" x14ac:dyDescent="0.2">
      <c r="A92" s="26" t="s">
        <v>119</v>
      </c>
      <c r="N92" s="27"/>
      <c r="O92" s="27"/>
      <c r="P92" s="103"/>
      <c r="Z92" s="17">
        <v>0</v>
      </c>
      <c r="AA92" s="17">
        <v>0</v>
      </c>
      <c r="AB92" s="17">
        <v>0</v>
      </c>
      <c r="AC92" s="17">
        <v>0</v>
      </c>
      <c r="AD92" s="17">
        <v>0</v>
      </c>
      <c r="AE92" s="17">
        <v>0</v>
      </c>
      <c r="AF92" s="17">
        <v>0</v>
      </c>
      <c r="AG92" s="17">
        <v>0</v>
      </c>
      <c r="AH92" s="17">
        <v>0</v>
      </c>
      <c r="AI92" s="17">
        <v>0</v>
      </c>
      <c r="AJ92" s="17">
        <v>0</v>
      </c>
      <c r="AK92" s="17">
        <v>0</v>
      </c>
      <c r="AL92" s="17">
        <v>0</v>
      </c>
      <c r="AM92" s="17">
        <v>0</v>
      </c>
      <c r="AN92" s="17">
        <v>0</v>
      </c>
      <c r="AO92" s="17">
        <v>0</v>
      </c>
      <c r="AP92" s="17">
        <v>0</v>
      </c>
      <c r="AQ92" s="17">
        <v>0</v>
      </c>
      <c r="AR92" s="17">
        <v>0</v>
      </c>
      <c r="AS92" s="17">
        <v>0</v>
      </c>
      <c r="AT92" s="17">
        <v>0</v>
      </c>
      <c r="AU92" s="17">
        <v>0</v>
      </c>
      <c r="AV92" s="17">
        <v>0</v>
      </c>
      <c r="AW92" s="17">
        <v>0</v>
      </c>
      <c r="AX92" s="17">
        <v>0</v>
      </c>
      <c r="AZ92" s="17">
        <f t="shared" si="13"/>
        <v>0</v>
      </c>
    </row>
    <row r="93" spans="1:52" ht="18" customHeight="1" x14ac:dyDescent="0.2">
      <c r="B93" s="26">
        <v>1</v>
      </c>
      <c r="C93" s="17">
        <v>33.340560000000004</v>
      </c>
      <c r="D93" s="17">
        <v>48.075835000000005</v>
      </c>
      <c r="E93" s="17">
        <v>889.13211999999999</v>
      </c>
      <c r="F93" s="17">
        <v>993.50706999999989</v>
      </c>
      <c r="G93" s="17">
        <v>0.44</v>
      </c>
      <c r="H93" s="17">
        <v>0.58399999999999996</v>
      </c>
      <c r="I93" s="17">
        <f t="shared" si="7"/>
        <v>1.0865407757203756</v>
      </c>
      <c r="J93" s="17">
        <f t="shared" si="8"/>
        <v>1.307370644462128</v>
      </c>
      <c r="K93" s="17">
        <f t="shared" si="9"/>
        <v>1.5471394332831137E-3</v>
      </c>
      <c r="L93" s="17">
        <f t="shared" si="10"/>
        <v>1.4419624325446243</v>
      </c>
      <c r="M93" s="17">
        <v>956.2</v>
      </c>
      <c r="N93" s="26">
        <v>12.571999999999999</v>
      </c>
      <c r="O93" s="103">
        <v>56.48</v>
      </c>
      <c r="P93" s="103">
        <f t="shared" si="11"/>
        <v>33.520000000000003</v>
      </c>
      <c r="Z93" s="17">
        <v>5.43</v>
      </c>
      <c r="AA93" s="17">
        <v>49.415999999999997</v>
      </c>
      <c r="AB93" s="17">
        <v>37.033999999999999</v>
      </c>
      <c r="AC93" s="17">
        <v>952.15</v>
      </c>
      <c r="AD93" s="17">
        <v>878.69</v>
      </c>
      <c r="AE93" s="17">
        <v>99.043999999999997</v>
      </c>
      <c r="AF93" s="17">
        <v>80.950999999999993</v>
      </c>
      <c r="AG93" s="17">
        <v>0.11376</v>
      </c>
      <c r="AH93" s="17">
        <v>6.8559999999999996E-2</v>
      </c>
      <c r="AI93" s="17">
        <v>0.24535999999999999</v>
      </c>
      <c r="AJ93" s="17">
        <v>0</v>
      </c>
      <c r="AK93" s="17">
        <v>0.65790000000000004</v>
      </c>
      <c r="AL93" s="17">
        <v>13.958</v>
      </c>
      <c r="AM93" s="17">
        <v>1.4722500000000001</v>
      </c>
      <c r="AN93" s="17">
        <v>58.85</v>
      </c>
      <c r="AO93" s="17">
        <v>0</v>
      </c>
      <c r="AP93" s="17">
        <v>951.851</v>
      </c>
      <c r="AQ93" s="17">
        <v>492.43900000000002</v>
      </c>
      <c r="AR93" s="17">
        <v>492.43900000000002</v>
      </c>
      <c r="AS93" s="17">
        <v>0</v>
      </c>
      <c r="AT93" s="17">
        <v>814.57</v>
      </c>
      <c r="AU93" s="17">
        <v>10.422000000000001</v>
      </c>
      <c r="AV93" s="17">
        <v>10.528</v>
      </c>
      <c r="AW93" s="17">
        <v>10.632999999999999</v>
      </c>
      <c r="AX93" s="17">
        <v>0.21099999999999999</v>
      </c>
      <c r="AY93" s="17">
        <f t="shared" si="12"/>
        <v>1.4473244881820577</v>
      </c>
      <c r="AZ93" s="17">
        <f t="shared" si="13"/>
        <v>5.7128323699421957</v>
      </c>
    </row>
    <row r="94" spans="1:52" ht="18" customHeight="1" x14ac:dyDescent="0.2">
      <c r="B94" s="26">
        <v>2</v>
      </c>
      <c r="C94" s="17">
        <v>33.490205000000003</v>
      </c>
      <c r="D94" s="17">
        <v>48.180500000000002</v>
      </c>
      <c r="E94" s="17">
        <v>863.54519000000005</v>
      </c>
      <c r="F94" s="17">
        <v>963.81088999999997</v>
      </c>
      <c r="G94" s="17">
        <v>0.45100000000000001</v>
      </c>
      <c r="H94" s="17">
        <v>0.58799999999999997</v>
      </c>
      <c r="I94" s="17">
        <f t="shared" si="7"/>
        <v>1.086390347987275</v>
      </c>
      <c r="J94" s="17">
        <f t="shared" si="8"/>
        <v>1.3089723801216395</v>
      </c>
      <c r="K94" s="17">
        <f t="shared" si="9"/>
        <v>1.4299768019823168E-3</v>
      </c>
      <c r="L94" s="17">
        <f t="shared" si="10"/>
        <v>1.4386445230777176</v>
      </c>
      <c r="M94" s="17">
        <v>945.53</v>
      </c>
      <c r="N94" s="26">
        <v>12.377000000000001</v>
      </c>
      <c r="O94" s="103">
        <v>52.79</v>
      </c>
      <c r="P94" s="103">
        <f t="shared" si="11"/>
        <v>37.21</v>
      </c>
      <c r="Z94" s="17">
        <v>5.43</v>
      </c>
      <c r="AA94" s="17">
        <v>49.252000000000002</v>
      </c>
      <c r="AB94" s="17">
        <v>37.314</v>
      </c>
      <c r="AC94" s="17">
        <v>943.77</v>
      </c>
      <c r="AD94" s="17">
        <v>873.55</v>
      </c>
      <c r="AE94" s="17">
        <v>96.974000000000004</v>
      </c>
      <c r="AF94" s="17">
        <v>79.69</v>
      </c>
      <c r="AG94" s="17">
        <v>0.11529</v>
      </c>
      <c r="AH94" s="17">
        <v>6.8559999999999996E-2</v>
      </c>
      <c r="AI94" s="17">
        <v>0.24523</v>
      </c>
      <c r="AJ94" s="17">
        <v>0</v>
      </c>
      <c r="AK94" s="17">
        <v>0.64480000000000004</v>
      </c>
      <c r="AL94" s="17">
        <v>12.337</v>
      </c>
      <c r="AM94" s="17">
        <v>1.4702999999999999</v>
      </c>
      <c r="AN94" s="17">
        <v>53.78</v>
      </c>
      <c r="AO94" s="17">
        <v>0</v>
      </c>
      <c r="AP94" s="17">
        <v>930.30499999999995</v>
      </c>
      <c r="AQ94" s="17">
        <v>549.73299999999995</v>
      </c>
      <c r="AR94" s="17">
        <v>549.73299999999995</v>
      </c>
      <c r="AS94" s="17">
        <v>0</v>
      </c>
      <c r="AT94" s="17">
        <v>750.50699999999995</v>
      </c>
      <c r="AU94" s="17">
        <v>10.632999999999999</v>
      </c>
      <c r="AV94" s="17">
        <v>10.725</v>
      </c>
      <c r="AW94" s="17">
        <v>10.816000000000001</v>
      </c>
      <c r="AX94" s="17">
        <v>0.183</v>
      </c>
      <c r="AY94" s="17">
        <f t="shared" si="12"/>
        <v>1.4405803036064231</v>
      </c>
      <c r="AZ94" s="17">
        <f t="shared" si="13"/>
        <v>5.6938728323699426</v>
      </c>
    </row>
    <row r="95" spans="1:52" ht="18" customHeight="1" x14ac:dyDescent="0.2">
      <c r="B95" s="26">
        <v>3</v>
      </c>
      <c r="C95" s="17">
        <v>33.625145000000003</v>
      </c>
      <c r="D95" s="17">
        <v>48.285164999999999</v>
      </c>
      <c r="E95" s="17">
        <v>849.29979000000003</v>
      </c>
      <c r="F95" s="17">
        <v>946.55203999999992</v>
      </c>
      <c r="G95" s="17">
        <v>0.46300000000000002</v>
      </c>
      <c r="H95" s="17">
        <v>0.59099999999999997</v>
      </c>
      <c r="I95" s="17">
        <f t="shared" si="7"/>
        <v>1.0864001781242549</v>
      </c>
      <c r="J95" s="17">
        <f t="shared" si="8"/>
        <v>1.3131724888677461</v>
      </c>
      <c r="K95" s="17">
        <f t="shared" si="9"/>
        <v>1.2125436930533161E-3</v>
      </c>
      <c r="L95" s="17">
        <f t="shared" si="10"/>
        <v>1.4359838448280295</v>
      </c>
      <c r="M95" s="17">
        <v>938.76</v>
      </c>
      <c r="N95" s="26">
        <v>12.21</v>
      </c>
      <c r="O95" s="103">
        <v>51.29</v>
      </c>
      <c r="P95" s="103">
        <f t="shared" si="11"/>
        <v>38.71</v>
      </c>
      <c r="Z95" s="17">
        <v>5.43</v>
      </c>
      <c r="AA95" s="17">
        <v>49.170999999999999</v>
      </c>
      <c r="AB95" s="17">
        <v>37.534999999999997</v>
      </c>
      <c r="AC95" s="17">
        <v>938.86</v>
      </c>
      <c r="AD95" s="17">
        <v>870.81</v>
      </c>
      <c r="AE95" s="17">
        <v>95.760999999999996</v>
      </c>
      <c r="AF95" s="17">
        <v>79.018000000000001</v>
      </c>
      <c r="AG95" s="17">
        <v>0.11634</v>
      </c>
      <c r="AH95" s="17">
        <v>6.8559999999999996E-2</v>
      </c>
      <c r="AI95" s="17">
        <v>0.24515999999999999</v>
      </c>
      <c r="AJ95" s="17">
        <v>0</v>
      </c>
      <c r="AK95" s="17">
        <v>0.63560000000000005</v>
      </c>
      <c r="AL95" s="17">
        <v>11.78</v>
      </c>
      <c r="AM95" s="17">
        <v>1.46912</v>
      </c>
      <c r="AN95" s="17">
        <v>51.46</v>
      </c>
      <c r="AO95" s="17">
        <v>0</v>
      </c>
      <c r="AP95" s="17">
        <v>915.64599999999996</v>
      </c>
      <c r="AQ95" s="17">
        <v>570.52099999999996</v>
      </c>
      <c r="AR95" s="17">
        <v>570.52099999999996</v>
      </c>
      <c r="AS95" s="17">
        <v>0</v>
      </c>
      <c r="AT95" s="17">
        <v>716.18</v>
      </c>
      <c r="AU95" s="17">
        <v>10.816000000000001</v>
      </c>
      <c r="AV95" s="17">
        <v>10.901999999999999</v>
      </c>
      <c r="AW95" s="17">
        <v>10.988</v>
      </c>
      <c r="AX95" s="17">
        <v>0.17199999999999999</v>
      </c>
      <c r="AY95" s="17">
        <f t="shared" si="12"/>
        <v>1.4360269851931895</v>
      </c>
      <c r="AZ95" s="17">
        <f t="shared" si="13"/>
        <v>5.6845086705202306</v>
      </c>
    </row>
    <row r="96" spans="1:52" ht="18" customHeight="1" x14ac:dyDescent="0.2">
      <c r="B96" s="26">
        <v>4</v>
      </c>
      <c r="C96" s="17">
        <v>33.780844999999999</v>
      </c>
      <c r="D96" s="17">
        <v>48.425295000000006</v>
      </c>
      <c r="E96" s="17">
        <v>840.91691999999989</v>
      </c>
      <c r="F96" s="17">
        <v>935.92277999999988</v>
      </c>
      <c r="G96" s="17">
        <v>0.47699999999999998</v>
      </c>
      <c r="H96" s="17">
        <v>0.59699999999999998</v>
      </c>
      <c r="I96" s="17">
        <f t="shared" si="7"/>
        <v>1.0861996204165474</v>
      </c>
      <c r="J96" s="17">
        <f t="shared" si="8"/>
        <v>1.3163800294172958</v>
      </c>
      <c r="K96" s="17">
        <f t="shared" si="9"/>
        <v>1.0009984749556403E-3</v>
      </c>
      <c r="L96" s="17">
        <f t="shared" si="10"/>
        <v>1.4335134304662895</v>
      </c>
      <c r="M96" s="17">
        <v>935.23</v>
      </c>
      <c r="N96" s="26">
        <v>12.002000000000001</v>
      </c>
      <c r="O96" s="103">
        <v>49.75</v>
      </c>
      <c r="P96" s="103">
        <f t="shared" si="11"/>
        <v>40.25</v>
      </c>
      <c r="Z96" s="17">
        <v>5.43</v>
      </c>
      <c r="AA96" s="17">
        <v>49.098999999999997</v>
      </c>
      <c r="AB96" s="17">
        <v>37.729999999999997</v>
      </c>
      <c r="AC96" s="17">
        <v>936.29</v>
      </c>
      <c r="AD96" s="17">
        <v>870.01</v>
      </c>
      <c r="AE96" s="17">
        <v>95.126000000000005</v>
      </c>
      <c r="AF96" s="17">
        <v>78.822999999999993</v>
      </c>
      <c r="AG96" s="17">
        <v>0.11705</v>
      </c>
      <c r="AH96" s="17">
        <v>6.8559999999999996E-2</v>
      </c>
      <c r="AI96" s="17">
        <v>0.24515000000000001</v>
      </c>
      <c r="AJ96" s="17">
        <v>0</v>
      </c>
      <c r="AK96" s="17">
        <v>0.62749999999999995</v>
      </c>
      <c r="AL96" s="17">
        <v>11.648</v>
      </c>
      <c r="AM96" s="17">
        <v>1.46854</v>
      </c>
      <c r="AN96" s="17">
        <v>50.6</v>
      </c>
      <c r="AO96" s="17">
        <v>0</v>
      </c>
      <c r="AP96" s="17">
        <v>903.52499999999998</v>
      </c>
      <c r="AQ96" s="17">
        <v>573.51800000000003</v>
      </c>
      <c r="AR96" s="17">
        <v>573.51800000000003</v>
      </c>
      <c r="AS96" s="17">
        <v>0</v>
      </c>
      <c r="AT96" s="17">
        <v>698.16499999999996</v>
      </c>
      <c r="AU96" s="17">
        <v>10.988</v>
      </c>
      <c r="AV96" s="17">
        <v>11.071999999999999</v>
      </c>
      <c r="AW96" s="17">
        <v>11.156000000000001</v>
      </c>
      <c r="AX96" s="17">
        <v>0.16700000000000001</v>
      </c>
      <c r="AY96" s="17">
        <f t="shared" si="12"/>
        <v>1.4336730224545216</v>
      </c>
      <c r="AZ96" s="17">
        <f t="shared" si="13"/>
        <v>5.676184971098265</v>
      </c>
    </row>
    <row r="97" spans="1:52" ht="18" customHeight="1" x14ac:dyDescent="0.2">
      <c r="B97" s="26">
        <v>5</v>
      </c>
      <c r="C97" s="17">
        <v>33.90108</v>
      </c>
      <c r="D97" s="17">
        <v>48.56456</v>
      </c>
      <c r="E97" s="17">
        <v>837.84867999999994</v>
      </c>
      <c r="F97" s="17">
        <v>931.81353000000001</v>
      </c>
      <c r="G97" s="17">
        <v>0.48799999999999999</v>
      </c>
      <c r="H97" s="17">
        <v>0.60599999999999998</v>
      </c>
      <c r="I97" s="17">
        <f t="shared" si="7"/>
        <v>1.085400866142501</v>
      </c>
      <c r="J97" s="17">
        <f t="shared" si="8"/>
        <v>1.315526253211831</v>
      </c>
      <c r="K97" s="17">
        <f t="shared" si="9"/>
        <v>8.6892021291191945E-4</v>
      </c>
      <c r="L97" s="17">
        <f t="shared" si="10"/>
        <v>1.4325372525005102</v>
      </c>
      <c r="M97" s="17">
        <v>933.68</v>
      </c>
      <c r="N97" s="26">
        <v>11.798</v>
      </c>
      <c r="O97" s="103">
        <v>48.12</v>
      </c>
      <c r="P97" s="103">
        <f t="shared" si="11"/>
        <v>41.88</v>
      </c>
      <c r="Z97" s="17">
        <v>5.43</v>
      </c>
      <c r="AA97" s="17">
        <v>48.976999999999997</v>
      </c>
      <c r="AB97" s="17">
        <v>37.911000000000001</v>
      </c>
      <c r="AC97" s="17">
        <v>935</v>
      </c>
      <c r="AD97" s="17">
        <v>870.58</v>
      </c>
      <c r="AE97" s="17">
        <v>94.808000000000007</v>
      </c>
      <c r="AF97" s="17">
        <v>78.962000000000003</v>
      </c>
      <c r="AG97" s="17">
        <v>0.11754000000000001</v>
      </c>
      <c r="AH97" s="17">
        <v>6.8559999999999996E-2</v>
      </c>
      <c r="AI97" s="17">
        <v>0.24515999999999999</v>
      </c>
      <c r="AJ97" s="17">
        <v>0</v>
      </c>
      <c r="AK97" s="17">
        <v>0.61850000000000005</v>
      </c>
      <c r="AL97" s="17">
        <v>11.731</v>
      </c>
      <c r="AM97" s="17">
        <v>1.46838</v>
      </c>
      <c r="AN97" s="17">
        <v>50.46</v>
      </c>
      <c r="AO97" s="17">
        <v>0</v>
      </c>
      <c r="AP97" s="17">
        <v>890.76499999999999</v>
      </c>
      <c r="AQ97" s="17">
        <v>567.06200000000001</v>
      </c>
      <c r="AR97" s="17">
        <v>567.06200000000001</v>
      </c>
      <c r="AS97" s="17">
        <v>0</v>
      </c>
      <c r="AT97" s="17">
        <v>686.952</v>
      </c>
      <c r="AU97" s="17">
        <v>11.156000000000001</v>
      </c>
      <c r="AV97" s="17">
        <v>11.239000000000001</v>
      </c>
      <c r="AW97" s="17">
        <v>11.321999999999999</v>
      </c>
      <c r="AX97" s="17">
        <v>0.16600000000000001</v>
      </c>
      <c r="AY97" s="17">
        <f t="shared" si="12"/>
        <v>1.4328301445205076</v>
      </c>
      <c r="AZ97" s="17">
        <f t="shared" si="13"/>
        <v>5.6620809248554904</v>
      </c>
    </row>
    <row r="98" spans="1:52" ht="18" customHeight="1" x14ac:dyDescent="0.2">
      <c r="B98" s="26">
        <v>6</v>
      </c>
      <c r="C98" s="17">
        <v>34.002285000000001</v>
      </c>
      <c r="D98" s="17">
        <v>48.704690000000006</v>
      </c>
      <c r="E98" s="17">
        <v>837.02683000000002</v>
      </c>
      <c r="F98" s="17">
        <v>930.60814999999991</v>
      </c>
      <c r="G98" s="17">
        <v>0.497</v>
      </c>
      <c r="H98" s="17">
        <v>0.61599999999999999</v>
      </c>
      <c r="I98" s="17">
        <f t="shared" si="7"/>
        <v>1.0844284981201686</v>
      </c>
      <c r="J98" s="17">
        <f t="shared" si="8"/>
        <v>1.3127129010275398</v>
      </c>
      <c r="K98" s="17">
        <f t="shared" si="9"/>
        <v>8.0057359963233571E-4</v>
      </c>
      <c r="L98" s="17">
        <f t="shared" si="10"/>
        <v>1.4323946170088278</v>
      </c>
      <c r="M98" s="17">
        <v>933.59</v>
      </c>
      <c r="N98" s="26">
        <v>11.595000000000001</v>
      </c>
      <c r="O98" s="103">
        <v>46.27</v>
      </c>
      <c r="P98" s="103">
        <f t="shared" si="11"/>
        <v>43.73</v>
      </c>
      <c r="Z98" s="17">
        <v>5.43</v>
      </c>
      <c r="AA98" s="17">
        <v>48.863999999999997</v>
      </c>
      <c r="AB98" s="17">
        <v>38.085000000000001</v>
      </c>
      <c r="AC98" s="17">
        <v>934.88</v>
      </c>
      <c r="AD98" s="17">
        <v>872.14</v>
      </c>
      <c r="AE98" s="17">
        <v>94.777000000000001</v>
      </c>
      <c r="AF98" s="17">
        <v>79.343999999999994</v>
      </c>
      <c r="AG98" s="17">
        <v>0.11786000000000001</v>
      </c>
      <c r="AH98" s="17">
        <v>6.8559999999999996E-2</v>
      </c>
      <c r="AI98" s="17">
        <v>0.2452</v>
      </c>
      <c r="AJ98" s="17">
        <v>0</v>
      </c>
      <c r="AK98" s="17">
        <v>0.60980000000000001</v>
      </c>
      <c r="AL98" s="17">
        <v>11.863</v>
      </c>
      <c r="AM98" s="17">
        <v>1.4684999999999999</v>
      </c>
      <c r="AN98" s="17">
        <v>50.5</v>
      </c>
      <c r="AO98" s="17">
        <v>0</v>
      </c>
      <c r="AP98" s="17">
        <v>879.08600000000001</v>
      </c>
      <c r="AQ98" s="17">
        <v>559.21400000000006</v>
      </c>
      <c r="AR98" s="17">
        <v>559.21400000000006</v>
      </c>
      <c r="AS98" s="17">
        <v>0</v>
      </c>
      <c r="AT98" s="17">
        <v>678.28499999999997</v>
      </c>
      <c r="AU98" s="17">
        <v>11.321999999999999</v>
      </c>
      <c r="AV98" s="17">
        <v>11.404</v>
      </c>
      <c r="AW98" s="17">
        <v>11.487</v>
      </c>
      <c r="AX98" s="17">
        <v>0.16600000000000001</v>
      </c>
      <c r="AY98" s="17">
        <f t="shared" si="12"/>
        <v>1.4324577861163226</v>
      </c>
      <c r="AZ98" s="17">
        <f t="shared" si="13"/>
        <v>5.6490173410404623</v>
      </c>
    </row>
    <row r="99" spans="1:52" ht="18" customHeight="1" x14ac:dyDescent="0.2">
      <c r="B99" s="26">
        <v>7</v>
      </c>
      <c r="C99" s="17">
        <v>34.097435000000004</v>
      </c>
      <c r="D99" s="17">
        <v>48.843955000000001</v>
      </c>
      <c r="E99" s="17">
        <v>837.35556999999994</v>
      </c>
      <c r="F99" s="17">
        <v>930.82731000000001</v>
      </c>
      <c r="G99" s="17">
        <v>0.505</v>
      </c>
      <c r="H99" s="17">
        <v>0.627</v>
      </c>
      <c r="I99" s="17">
        <f t="shared" si="7"/>
        <v>1.0831614158083078</v>
      </c>
      <c r="J99" s="17">
        <f t="shared" si="8"/>
        <v>1.3081514753771266</v>
      </c>
      <c r="K99" s="17">
        <f t="shared" si="9"/>
        <v>7.5859857891246232E-4</v>
      </c>
      <c r="L99" s="17">
        <f t="shared" si="10"/>
        <v>1.4324817981176587</v>
      </c>
      <c r="M99" s="17">
        <v>934.32</v>
      </c>
      <c r="N99" s="26">
        <v>11.391999999999999</v>
      </c>
      <c r="O99" s="103">
        <v>44.22</v>
      </c>
      <c r="P99" s="103">
        <f t="shared" si="11"/>
        <v>45.78</v>
      </c>
      <c r="Z99" s="17">
        <v>5.43</v>
      </c>
      <c r="AA99" s="17">
        <v>48.746000000000002</v>
      </c>
      <c r="AB99" s="17">
        <v>38.250999999999998</v>
      </c>
      <c r="AC99" s="17">
        <v>935.55</v>
      </c>
      <c r="AD99" s="17">
        <v>874.43</v>
      </c>
      <c r="AE99" s="17">
        <v>94.942999999999998</v>
      </c>
      <c r="AF99" s="17">
        <v>79.906000000000006</v>
      </c>
      <c r="AG99" s="17">
        <v>0.11806999999999999</v>
      </c>
      <c r="AH99" s="17">
        <v>6.8559999999999996E-2</v>
      </c>
      <c r="AI99" s="17">
        <v>0.24525</v>
      </c>
      <c r="AJ99" s="17">
        <v>0</v>
      </c>
      <c r="AK99" s="17">
        <v>0.60119999999999996</v>
      </c>
      <c r="AL99" s="17">
        <v>12.023999999999999</v>
      </c>
      <c r="AM99" s="17">
        <v>1.4688399999999999</v>
      </c>
      <c r="AN99" s="17">
        <v>50.6</v>
      </c>
      <c r="AO99" s="17">
        <v>0</v>
      </c>
      <c r="AP99" s="17">
        <v>867.73299999999995</v>
      </c>
      <c r="AQ99" s="17">
        <v>550.76</v>
      </c>
      <c r="AR99" s="17">
        <v>550.76</v>
      </c>
      <c r="AS99" s="17">
        <v>0</v>
      </c>
      <c r="AT99" s="17">
        <v>670.54100000000005</v>
      </c>
      <c r="AU99" s="17">
        <v>11.487</v>
      </c>
      <c r="AV99" s="17">
        <v>11.57</v>
      </c>
      <c r="AW99" s="17">
        <v>11.653</v>
      </c>
      <c r="AX99" s="17">
        <v>0.16500000000000001</v>
      </c>
      <c r="AY99" s="17">
        <f t="shared" si="12"/>
        <v>1.432399870706121</v>
      </c>
      <c r="AZ99" s="17">
        <f t="shared" si="13"/>
        <v>5.6353757225433529</v>
      </c>
    </row>
    <row r="100" spans="1:52" ht="18" customHeight="1" x14ac:dyDescent="0.2">
      <c r="B100" s="26">
        <v>8</v>
      </c>
      <c r="C100" s="17">
        <v>34.183070000000001</v>
      </c>
      <c r="D100" s="17">
        <v>48.984085</v>
      </c>
      <c r="E100" s="17">
        <v>839.65674999999999</v>
      </c>
      <c r="F100" s="17">
        <v>933.45722999999998</v>
      </c>
      <c r="G100" s="17">
        <v>0.51200000000000001</v>
      </c>
      <c r="H100" s="17">
        <v>0.64</v>
      </c>
      <c r="I100" s="17">
        <f t="shared" si="7"/>
        <v>1.0814095867270943</v>
      </c>
      <c r="J100" s="17">
        <f t="shared" si="8"/>
        <v>1.300874643198435</v>
      </c>
      <c r="K100" s="17">
        <f t="shared" si="9"/>
        <v>7.5251169829026673E-4</v>
      </c>
      <c r="L100" s="17">
        <f t="shared" si="10"/>
        <v>1.4329925603522444</v>
      </c>
      <c r="M100" s="17">
        <v>935.89</v>
      </c>
      <c r="N100" s="26">
        <v>11.189</v>
      </c>
      <c r="O100" s="103">
        <v>41.92</v>
      </c>
      <c r="P100" s="103">
        <f t="shared" si="11"/>
        <v>48.08</v>
      </c>
      <c r="Z100" s="17">
        <v>5.43</v>
      </c>
      <c r="AA100" s="17">
        <v>48.615000000000002</v>
      </c>
      <c r="AB100" s="17">
        <v>38.412999999999997</v>
      </c>
      <c r="AC100" s="17">
        <v>937.04</v>
      </c>
      <c r="AD100" s="17">
        <v>877.52</v>
      </c>
      <c r="AE100" s="17">
        <v>95.31</v>
      </c>
      <c r="AF100" s="17">
        <v>80.664000000000001</v>
      </c>
      <c r="AG100" s="17">
        <v>0.11815000000000001</v>
      </c>
      <c r="AH100" s="17">
        <v>6.8559999999999996E-2</v>
      </c>
      <c r="AI100" s="17">
        <v>0.24532999999999999</v>
      </c>
      <c r="AJ100" s="17">
        <v>0</v>
      </c>
      <c r="AK100" s="17">
        <v>0.59230000000000005</v>
      </c>
      <c r="AL100" s="17">
        <v>12.218999999999999</v>
      </c>
      <c r="AM100" s="17">
        <v>1.4694199999999999</v>
      </c>
      <c r="AN100" s="17">
        <v>50.77</v>
      </c>
      <c r="AO100" s="17">
        <v>0</v>
      </c>
      <c r="AP100" s="17">
        <v>856.40300000000002</v>
      </c>
      <c r="AQ100" s="17">
        <v>541.59500000000003</v>
      </c>
      <c r="AR100" s="17">
        <v>541.59500000000003</v>
      </c>
      <c r="AS100" s="17">
        <v>0</v>
      </c>
      <c r="AT100" s="17">
        <v>663.4</v>
      </c>
      <c r="AU100" s="17">
        <v>11.653</v>
      </c>
      <c r="AV100" s="17">
        <v>11.734999999999999</v>
      </c>
      <c r="AW100" s="17">
        <v>11.818</v>
      </c>
      <c r="AX100" s="17">
        <v>0.16600000000000001</v>
      </c>
      <c r="AY100" s="17">
        <f t="shared" si="12"/>
        <v>1.4325072929251261</v>
      </c>
      <c r="AZ100" s="17">
        <f t="shared" si="13"/>
        <v>5.6202312138728328</v>
      </c>
    </row>
    <row r="101" spans="1:52" ht="18" customHeight="1" x14ac:dyDescent="0.2">
      <c r="B101" s="26">
        <v>9</v>
      </c>
      <c r="C101" s="17">
        <v>34.248809999999999</v>
      </c>
      <c r="D101" s="17">
        <v>49.123350000000002</v>
      </c>
      <c r="E101" s="17">
        <v>843.49205000000006</v>
      </c>
      <c r="F101" s="17">
        <v>938.11437999999998</v>
      </c>
      <c r="G101" s="17">
        <v>0.51700000000000002</v>
      </c>
      <c r="H101" s="17">
        <v>0.65400000000000003</v>
      </c>
      <c r="I101" s="17">
        <f t="shared" si="7"/>
        <v>1.0793065964089663</v>
      </c>
      <c r="J101" s="17">
        <f t="shared" si="8"/>
        <v>1.2913310730661516</v>
      </c>
      <c r="K101" s="17">
        <f t="shared" si="9"/>
        <v>7.9009049281860561E-4</v>
      </c>
      <c r="L101" s="17">
        <f t="shared" si="10"/>
        <v>1.4343082285194728</v>
      </c>
      <c r="M101" s="17">
        <v>939.75</v>
      </c>
      <c r="N101" s="26">
        <v>10.984999999999999</v>
      </c>
      <c r="O101" s="103">
        <v>39.33</v>
      </c>
      <c r="P101" s="103">
        <f t="shared" si="11"/>
        <v>50.67</v>
      </c>
      <c r="Z101" s="17">
        <v>5.43</v>
      </c>
      <c r="AA101" s="17">
        <v>48.5</v>
      </c>
      <c r="AB101" s="17">
        <v>38.569000000000003</v>
      </c>
      <c r="AC101" s="17">
        <v>939.94</v>
      </c>
      <c r="AD101" s="17">
        <v>881.85</v>
      </c>
      <c r="AE101" s="17">
        <v>96.028000000000006</v>
      </c>
      <c r="AF101" s="17">
        <v>81.724999999999994</v>
      </c>
      <c r="AG101" s="17">
        <v>0.11805</v>
      </c>
      <c r="AH101" s="17">
        <v>6.8559999999999996E-2</v>
      </c>
      <c r="AI101" s="17">
        <v>0.24543000000000001</v>
      </c>
      <c r="AJ101" s="17">
        <v>0</v>
      </c>
      <c r="AK101" s="17">
        <v>0.58389999999999997</v>
      </c>
      <c r="AL101" s="17">
        <v>12.488</v>
      </c>
      <c r="AM101" s="17">
        <v>1.47035</v>
      </c>
      <c r="AN101" s="17">
        <v>51.19</v>
      </c>
      <c r="AO101" s="17">
        <v>0</v>
      </c>
      <c r="AP101" s="17">
        <v>846.279</v>
      </c>
      <c r="AQ101" s="17">
        <v>530.38099999999997</v>
      </c>
      <c r="AR101" s="17">
        <v>530.38099999999997</v>
      </c>
      <c r="AS101" s="17">
        <v>0</v>
      </c>
      <c r="AT101" s="17">
        <v>659.45699999999999</v>
      </c>
      <c r="AU101" s="17">
        <v>11.818</v>
      </c>
      <c r="AV101" s="17">
        <v>11.901999999999999</v>
      </c>
      <c r="AW101" s="17">
        <v>11.984999999999999</v>
      </c>
      <c r="AX101" s="17">
        <v>0.16700000000000001</v>
      </c>
      <c r="AY101" s="17">
        <f t="shared" si="12"/>
        <v>1.4332574839682024</v>
      </c>
      <c r="AZ101" s="17">
        <f t="shared" si="13"/>
        <v>5.6069364161849711</v>
      </c>
    </row>
    <row r="102" spans="1:52" ht="18" customHeight="1" x14ac:dyDescent="0.2">
      <c r="B102" s="26">
        <v>10</v>
      </c>
      <c r="C102" s="17">
        <v>34.245350000000002</v>
      </c>
      <c r="D102" s="17">
        <v>49.263480000000001</v>
      </c>
      <c r="E102" s="17">
        <v>852.03928999999994</v>
      </c>
      <c r="F102" s="17">
        <v>948.68885</v>
      </c>
      <c r="G102" s="17">
        <v>0.51700000000000002</v>
      </c>
      <c r="H102" s="17">
        <v>0.67</v>
      </c>
      <c r="I102" s="17">
        <f t="shared" si="7"/>
        <v>1.0763226615484265</v>
      </c>
      <c r="J102" s="17">
        <f t="shared" si="8"/>
        <v>1.2776078227856049</v>
      </c>
      <c r="K102" s="17">
        <f t="shared" si="9"/>
        <v>8.5804297165063478E-4</v>
      </c>
      <c r="L102" s="17">
        <f t="shared" si="10"/>
        <v>1.4385450871432179</v>
      </c>
      <c r="M102" s="17">
        <v>946.75</v>
      </c>
      <c r="N102" s="26">
        <v>10.776</v>
      </c>
      <c r="O102" s="103">
        <v>36.03</v>
      </c>
      <c r="P102" s="103">
        <f t="shared" si="11"/>
        <v>53.97</v>
      </c>
      <c r="Z102" s="17">
        <v>5.43</v>
      </c>
      <c r="AA102" s="17">
        <v>48.429000000000002</v>
      </c>
      <c r="AB102" s="17">
        <v>38.725999999999999</v>
      </c>
      <c r="AC102" s="17">
        <v>945.83</v>
      </c>
      <c r="AD102" s="17">
        <v>888.77</v>
      </c>
      <c r="AE102" s="17">
        <v>97.481999999999999</v>
      </c>
      <c r="AF102" s="17">
        <v>83.426000000000002</v>
      </c>
      <c r="AG102" s="17">
        <v>0.11761000000000001</v>
      </c>
      <c r="AH102" s="17">
        <v>6.8559999999999996E-2</v>
      </c>
      <c r="AI102" s="17">
        <v>0.24560999999999999</v>
      </c>
      <c r="AJ102" s="17">
        <v>0</v>
      </c>
      <c r="AK102" s="17">
        <v>0.57669999999999999</v>
      </c>
      <c r="AL102" s="17">
        <v>12.961</v>
      </c>
      <c r="AM102" s="17">
        <v>1.4719899999999999</v>
      </c>
      <c r="AN102" s="17">
        <v>52.31</v>
      </c>
      <c r="AO102" s="17">
        <v>0</v>
      </c>
      <c r="AP102" s="17">
        <v>838.93700000000001</v>
      </c>
      <c r="AQ102" s="17">
        <v>512.96600000000001</v>
      </c>
      <c r="AR102" s="17">
        <v>512.96600000000001</v>
      </c>
      <c r="AS102" s="17">
        <v>0</v>
      </c>
      <c r="AT102" s="17">
        <v>663.83900000000006</v>
      </c>
      <c r="AU102" s="17">
        <v>11.984999999999999</v>
      </c>
      <c r="AV102" s="17">
        <v>12.071</v>
      </c>
      <c r="AW102" s="17">
        <v>12.156000000000001</v>
      </c>
      <c r="AX102" s="17">
        <v>0.17100000000000001</v>
      </c>
      <c r="AY102" s="17">
        <f t="shared" si="12"/>
        <v>1.4349333333333334</v>
      </c>
      <c r="AZ102" s="17">
        <f t="shared" si="13"/>
        <v>5.5987283236994223</v>
      </c>
    </row>
    <row r="103" spans="1:52" ht="18" customHeight="1" x14ac:dyDescent="0.2">
      <c r="B103" s="26">
        <v>11</v>
      </c>
      <c r="C103" s="17">
        <v>34.16404</v>
      </c>
      <c r="D103" s="17">
        <v>49.403610000000008</v>
      </c>
      <c r="E103" s="17">
        <v>867.65443999999991</v>
      </c>
      <c r="F103" s="17">
        <v>967.70097999999996</v>
      </c>
      <c r="G103" s="17">
        <v>0.51300000000000001</v>
      </c>
      <c r="H103" s="17">
        <v>0.68899999999999995</v>
      </c>
      <c r="I103" s="17">
        <f t="shared" si="7"/>
        <v>1.0722096484611796</v>
      </c>
      <c r="J103" s="17">
        <f t="shared" si="8"/>
        <v>1.2597608157309068</v>
      </c>
      <c r="K103" s="17">
        <f t="shared" si="9"/>
        <v>9.0349219574089798E-4</v>
      </c>
      <c r="L103" s="17">
        <f t="shared" si="10"/>
        <v>1.4460704881506989</v>
      </c>
      <c r="M103" s="17">
        <v>957.92</v>
      </c>
      <c r="N103" s="26">
        <v>10.551</v>
      </c>
      <c r="O103" s="103">
        <v>31.18</v>
      </c>
      <c r="P103" s="103">
        <f t="shared" si="11"/>
        <v>58.82</v>
      </c>
      <c r="Z103" s="17">
        <v>5.43</v>
      </c>
      <c r="AA103" s="17">
        <v>48.365000000000002</v>
      </c>
      <c r="AB103" s="17">
        <v>38.893000000000001</v>
      </c>
      <c r="AC103" s="17">
        <v>956.39</v>
      </c>
      <c r="AD103" s="17">
        <v>900.16</v>
      </c>
      <c r="AE103" s="17">
        <v>100.093</v>
      </c>
      <c r="AF103" s="17">
        <v>86.224000000000004</v>
      </c>
      <c r="AG103" s="17">
        <v>0.11662</v>
      </c>
      <c r="AH103" s="17">
        <v>6.8559999999999996E-2</v>
      </c>
      <c r="AI103" s="17">
        <v>0.24589</v>
      </c>
      <c r="AJ103" s="17">
        <v>0</v>
      </c>
      <c r="AK103" s="17">
        <v>0.56930000000000003</v>
      </c>
      <c r="AL103" s="17">
        <v>14.026999999999999</v>
      </c>
      <c r="AM103" s="17">
        <v>1.4748300000000001</v>
      </c>
      <c r="AN103" s="17">
        <v>55</v>
      </c>
      <c r="AO103" s="17">
        <v>0</v>
      </c>
      <c r="AP103" s="17">
        <v>833.34900000000005</v>
      </c>
      <c r="AQ103" s="17">
        <v>478</v>
      </c>
      <c r="AR103" s="17">
        <v>478</v>
      </c>
      <c r="AS103" s="17">
        <v>0</v>
      </c>
      <c r="AT103" s="17">
        <v>682.63199999999995</v>
      </c>
      <c r="AU103" s="17">
        <v>12.156000000000001</v>
      </c>
      <c r="AV103" s="17">
        <v>12.247</v>
      </c>
      <c r="AW103" s="17">
        <v>12.337999999999999</v>
      </c>
      <c r="AX103" s="17">
        <v>0.182</v>
      </c>
      <c r="AY103" s="17">
        <f t="shared" si="12"/>
        <v>1.4373384053017921</v>
      </c>
      <c r="AZ103" s="17">
        <f t="shared" si="13"/>
        <v>5.5913294797687865</v>
      </c>
    </row>
    <row r="104" spans="1:52" ht="18" customHeight="1" x14ac:dyDescent="0.2">
      <c r="B104" s="26">
        <v>12</v>
      </c>
      <c r="C104" s="17">
        <v>34.086190000000002</v>
      </c>
      <c r="D104" s="17">
        <v>49.472810000000003</v>
      </c>
      <c r="E104" s="17">
        <v>878.94118000000003</v>
      </c>
      <c r="F104" s="17">
        <v>981.56285000000003</v>
      </c>
      <c r="G104" s="17">
        <v>0.50700000000000001</v>
      </c>
      <c r="H104" s="17">
        <v>0.69899999999999995</v>
      </c>
      <c r="I104" s="17">
        <f t="shared" si="7"/>
        <v>1.0696425362883772</v>
      </c>
      <c r="J104" s="17">
        <f t="shared" si="8"/>
        <v>1.2481575100256352</v>
      </c>
      <c r="K104" s="17">
        <f t="shared" si="9"/>
        <v>9.6250970982317274E-4</v>
      </c>
      <c r="L104" s="17">
        <f t="shared" si="10"/>
        <v>1.4514033395929553</v>
      </c>
      <c r="M104" s="17">
        <v>982.18</v>
      </c>
      <c r="N104" s="26">
        <v>10.422000000000001</v>
      </c>
      <c r="O104" s="103">
        <v>27.67</v>
      </c>
      <c r="P104" s="103">
        <f t="shared" si="11"/>
        <v>62.33</v>
      </c>
      <c r="Z104" s="17">
        <v>5.43</v>
      </c>
      <c r="AA104" s="17">
        <v>48.216999999999999</v>
      </c>
      <c r="AB104" s="17">
        <v>39.103999999999999</v>
      </c>
      <c r="AC104" s="17">
        <v>977.94</v>
      </c>
      <c r="AD104" s="17">
        <v>922.75</v>
      </c>
      <c r="AE104" s="17">
        <v>105.432</v>
      </c>
      <c r="AF104" s="17">
        <v>91.786000000000001</v>
      </c>
      <c r="AG104" s="17">
        <v>0.11438</v>
      </c>
      <c r="AH104" s="17">
        <v>6.8559999999999996E-2</v>
      </c>
      <c r="AI104" s="17">
        <v>0.24648999999999999</v>
      </c>
      <c r="AJ104" s="17">
        <v>0</v>
      </c>
      <c r="AK104" s="17">
        <v>0.55800000000000005</v>
      </c>
      <c r="AL104" s="17">
        <v>18.274000000000001</v>
      </c>
      <c r="AM104" s="17">
        <v>1.4805600000000001</v>
      </c>
      <c r="AN104" s="17">
        <v>63.09</v>
      </c>
      <c r="AO104" s="17">
        <v>0</v>
      </c>
      <c r="AP104" s="17">
        <v>826.61500000000001</v>
      </c>
      <c r="AQ104" s="17">
        <v>374.08499999999998</v>
      </c>
      <c r="AR104" s="17">
        <v>374.08499999999998</v>
      </c>
      <c r="AS104" s="17">
        <v>0</v>
      </c>
      <c r="AT104" s="17">
        <v>737.12400000000002</v>
      </c>
      <c r="AU104" s="17">
        <v>12.337999999999999</v>
      </c>
      <c r="AV104" s="17">
        <v>12.455</v>
      </c>
      <c r="AW104" s="17">
        <v>12.571999999999999</v>
      </c>
      <c r="AX104" s="17">
        <v>0.23400000000000001</v>
      </c>
      <c r="AY104" s="17">
        <f t="shared" si="12"/>
        <v>1.440345322021747</v>
      </c>
      <c r="AZ104" s="17">
        <f t="shared" si="13"/>
        <v>5.5742196531791901</v>
      </c>
    </row>
    <row r="105" spans="1:52" s="96" customFormat="1" ht="18" customHeight="1" x14ac:dyDescent="0.2">
      <c r="A105" s="94" t="s">
        <v>120</v>
      </c>
      <c r="B105" s="97"/>
      <c r="C105" s="95"/>
      <c r="D105" s="95"/>
      <c r="E105" s="95"/>
      <c r="F105" s="95"/>
      <c r="G105" s="95"/>
      <c r="H105" s="95"/>
      <c r="I105" s="95"/>
      <c r="J105" s="95"/>
      <c r="K105" s="95"/>
      <c r="L105" s="95"/>
      <c r="M105" s="95"/>
      <c r="N105" s="97"/>
      <c r="O105" s="97"/>
      <c r="P105" s="102"/>
      <c r="Z105" s="95">
        <v>0</v>
      </c>
      <c r="AA105" s="95">
        <v>0</v>
      </c>
      <c r="AB105" s="95">
        <v>0</v>
      </c>
      <c r="AC105" s="95">
        <v>0</v>
      </c>
      <c r="AD105" s="95">
        <v>0</v>
      </c>
      <c r="AE105" s="95">
        <v>0</v>
      </c>
      <c r="AF105" s="95">
        <v>0</v>
      </c>
      <c r="AG105" s="95">
        <v>0</v>
      </c>
      <c r="AH105" s="95">
        <v>0</v>
      </c>
      <c r="AI105" s="95">
        <v>0</v>
      </c>
      <c r="AJ105" s="95">
        <v>0</v>
      </c>
      <c r="AK105" s="95">
        <v>0</v>
      </c>
      <c r="AL105" s="95">
        <v>0</v>
      </c>
      <c r="AM105" s="95">
        <v>0</v>
      </c>
      <c r="AN105" s="95">
        <v>0</v>
      </c>
      <c r="AO105" s="95">
        <v>0</v>
      </c>
      <c r="AP105" s="95">
        <v>0</v>
      </c>
      <c r="AQ105" s="95">
        <v>0</v>
      </c>
      <c r="AR105" s="95">
        <v>0</v>
      </c>
      <c r="AS105" s="95">
        <v>0</v>
      </c>
      <c r="AT105" s="95">
        <v>0</v>
      </c>
      <c r="AU105" s="95">
        <v>0</v>
      </c>
      <c r="AV105" s="95">
        <v>0</v>
      </c>
      <c r="AW105" s="95">
        <v>0</v>
      </c>
      <c r="AX105" s="95">
        <v>0</v>
      </c>
      <c r="AY105" s="95"/>
      <c r="AZ105" s="95">
        <f t="shared" si="13"/>
        <v>0</v>
      </c>
    </row>
    <row r="106" spans="1:52" s="96" customFormat="1" ht="18" customHeight="1" x14ac:dyDescent="0.2">
      <c r="A106" s="97"/>
      <c r="B106" s="97">
        <v>1</v>
      </c>
      <c r="C106" s="95">
        <v>48.075835000000005</v>
      </c>
      <c r="D106" s="95">
        <v>47.313770000000005</v>
      </c>
      <c r="E106" s="95">
        <v>993.50706999999989</v>
      </c>
      <c r="F106" s="95">
        <v>993.50706999999989</v>
      </c>
      <c r="G106" s="95">
        <v>0.59499999999999997</v>
      </c>
      <c r="H106" s="95">
        <v>0.39800000000000002</v>
      </c>
      <c r="I106" s="95">
        <f t="shared" si="7"/>
        <v>1.0379227761144727</v>
      </c>
      <c r="J106" s="95">
        <f t="shared" si="8"/>
        <v>1.1210845463418391</v>
      </c>
      <c r="K106" s="95">
        <f t="shared" si="9"/>
        <v>1.0981031352931252E-3</v>
      </c>
      <c r="L106" s="95">
        <f t="shared" si="10"/>
        <v>0.98414868925313514</v>
      </c>
      <c r="M106" s="95">
        <v>956.2</v>
      </c>
      <c r="N106" s="97">
        <v>12.456</v>
      </c>
      <c r="O106" s="105">
        <v>-4.84</v>
      </c>
      <c r="P106" s="102">
        <f t="shared" si="11"/>
        <v>94.84</v>
      </c>
      <c r="Z106" s="95">
        <v>5.43</v>
      </c>
      <c r="AA106" s="95">
        <v>48.423000000000002</v>
      </c>
      <c r="AB106" s="95">
        <v>44.203000000000003</v>
      </c>
      <c r="AC106" s="95">
        <v>952.15</v>
      </c>
      <c r="AD106" s="95">
        <v>928.35</v>
      </c>
      <c r="AE106" s="95">
        <v>99.043999999999997</v>
      </c>
      <c r="AF106" s="95">
        <v>93.168000000000006</v>
      </c>
      <c r="AG106" s="95">
        <v>0.12852</v>
      </c>
      <c r="AH106" s="95">
        <v>6.8559999999999996E-2</v>
      </c>
      <c r="AI106" s="95">
        <v>0.24664</v>
      </c>
      <c r="AJ106" s="95">
        <v>0</v>
      </c>
      <c r="AK106" s="95">
        <v>0.36509999999999998</v>
      </c>
      <c r="AL106" s="95">
        <v>11.238</v>
      </c>
      <c r="AM106" s="95">
        <v>1.4736499999999999</v>
      </c>
      <c r="AN106" s="95">
        <v>3.61</v>
      </c>
      <c r="AO106" s="95">
        <v>0</v>
      </c>
      <c r="AP106" s="95">
        <v>542.45100000000002</v>
      </c>
      <c r="AQ106" s="95">
        <v>541.37300000000005</v>
      </c>
      <c r="AR106" s="95">
        <v>541.37300000000005</v>
      </c>
      <c r="AS106" s="95">
        <v>0</v>
      </c>
      <c r="AT106" s="95">
        <v>34.183</v>
      </c>
      <c r="AU106" s="95">
        <v>10.541</v>
      </c>
      <c r="AV106" s="95">
        <v>10.625</v>
      </c>
      <c r="AW106" s="95">
        <v>10.709</v>
      </c>
      <c r="AX106" s="95">
        <v>0.16800000000000001</v>
      </c>
      <c r="AY106" s="95">
        <f t="shared" si="12"/>
        <v>0.97990529383195735</v>
      </c>
      <c r="AZ106" s="95">
        <f t="shared" si="13"/>
        <v>5.5980346820809253</v>
      </c>
    </row>
    <row r="107" spans="1:52" s="96" customFormat="1" ht="18" customHeight="1" x14ac:dyDescent="0.2">
      <c r="A107" s="97"/>
      <c r="B107" s="97">
        <v>2</v>
      </c>
      <c r="C107" s="95">
        <v>48.180500000000002</v>
      </c>
      <c r="D107" s="95">
        <v>47.536075000000004</v>
      </c>
      <c r="E107" s="95">
        <v>963.92047000000002</v>
      </c>
      <c r="F107" s="95">
        <v>963.92047000000002</v>
      </c>
      <c r="G107" s="95">
        <v>0.60299999999999998</v>
      </c>
      <c r="H107" s="95">
        <v>0.41099999999999998</v>
      </c>
      <c r="I107" s="95">
        <f t="shared" si="7"/>
        <v>1.0376651142472482</v>
      </c>
      <c r="J107" s="95">
        <f t="shared" si="8"/>
        <v>1.122928938090594</v>
      </c>
      <c r="K107" s="95">
        <f t="shared" si="9"/>
        <v>9.2583152817246953E-4</v>
      </c>
      <c r="L107" s="95">
        <f t="shared" si="10"/>
        <v>0.98662477558348294</v>
      </c>
      <c r="M107" s="95">
        <v>945.53</v>
      </c>
      <c r="N107" s="97">
        <v>12.295999999999999</v>
      </c>
      <c r="O107" s="105">
        <v>-3.5</v>
      </c>
      <c r="P107" s="102">
        <f t="shared" si="11"/>
        <v>93.5</v>
      </c>
      <c r="Z107" s="95">
        <v>5.43</v>
      </c>
      <c r="AA107" s="95">
        <v>48.454999999999998</v>
      </c>
      <c r="AB107" s="95">
        <v>44.204000000000001</v>
      </c>
      <c r="AC107" s="95">
        <v>943.77</v>
      </c>
      <c r="AD107" s="95">
        <v>920</v>
      </c>
      <c r="AE107" s="95">
        <v>96.974000000000004</v>
      </c>
      <c r="AF107" s="95">
        <v>91.106999999999999</v>
      </c>
      <c r="AG107" s="95">
        <v>0.12969</v>
      </c>
      <c r="AH107" s="95">
        <v>6.8559999999999996E-2</v>
      </c>
      <c r="AI107" s="95">
        <v>0.24642</v>
      </c>
      <c r="AJ107" s="95">
        <v>0</v>
      </c>
      <c r="AK107" s="95">
        <v>0.3664</v>
      </c>
      <c r="AL107" s="95">
        <v>11.132999999999999</v>
      </c>
      <c r="AM107" s="95">
        <v>1.47142</v>
      </c>
      <c r="AN107" s="95">
        <v>2.27</v>
      </c>
      <c r="AO107" s="95">
        <v>0</v>
      </c>
      <c r="AP107" s="95">
        <v>542.00300000000004</v>
      </c>
      <c r="AQ107" s="95">
        <v>541.57799999999997</v>
      </c>
      <c r="AR107" s="95">
        <v>541.57799999999997</v>
      </c>
      <c r="AS107" s="95">
        <v>0</v>
      </c>
      <c r="AT107" s="95">
        <v>21.452999999999999</v>
      </c>
      <c r="AU107" s="95">
        <v>10.709</v>
      </c>
      <c r="AV107" s="95">
        <v>10.791</v>
      </c>
      <c r="AW107" s="95">
        <v>10.874000000000001</v>
      </c>
      <c r="AX107" s="95">
        <v>0.16400000000000001</v>
      </c>
      <c r="AY107" s="95">
        <f t="shared" si="12"/>
        <v>0.98381791602371471</v>
      </c>
      <c r="AZ107" s="95">
        <f t="shared" si="13"/>
        <v>5.6017341040462423</v>
      </c>
    </row>
    <row r="108" spans="1:52" s="96" customFormat="1" ht="18" customHeight="1" x14ac:dyDescent="0.2">
      <c r="A108" s="97"/>
      <c r="B108" s="97">
        <v>3</v>
      </c>
      <c r="C108" s="95">
        <v>48.285164999999999</v>
      </c>
      <c r="D108" s="95">
        <v>47.712535000000003</v>
      </c>
      <c r="E108" s="95">
        <v>946.66161999999997</v>
      </c>
      <c r="F108" s="95">
        <v>946.66161999999997</v>
      </c>
      <c r="G108" s="95">
        <v>0.60899999999999999</v>
      </c>
      <c r="H108" s="95">
        <v>0.42099999999999999</v>
      </c>
      <c r="I108" s="95">
        <f t="shared" si="7"/>
        <v>1.0374021607261472</v>
      </c>
      <c r="J108" s="95">
        <f t="shared" si="8"/>
        <v>1.1236570746271777</v>
      </c>
      <c r="K108" s="95">
        <f t="shared" si="9"/>
        <v>8.205704868261051E-4</v>
      </c>
      <c r="L108" s="95">
        <f t="shared" si="10"/>
        <v>0.98814066390784838</v>
      </c>
      <c r="M108" s="95">
        <v>938.76</v>
      </c>
      <c r="N108" s="97">
        <v>12.148</v>
      </c>
      <c r="O108" s="105">
        <v>-2.9</v>
      </c>
      <c r="P108" s="102">
        <f t="shared" si="11"/>
        <v>92.9</v>
      </c>
      <c r="Z108" s="95">
        <v>5.43</v>
      </c>
      <c r="AA108" s="95">
        <v>48.506</v>
      </c>
      <c r="AB108" s="95">
        <v>44.204000000000001</v>
      </c>
      <c r="AC108" s="95">
        <v>938.86</v>
      </c>
      <c r="AD108" s="95">
        <v>914.93</v>
      </c>
      <c r="AE108" s="95">
        <v>95.760999999999996</v>
      </c>
      <c r="AF108" s="95">
        <v>89.858999999999995</v>
      </c>
      <c r="AG108" s="95">
        <v>0.13039999999999999</v>
      </c>
      <c r="AH108" s="95">
        <v>6.8559999999999996E-2</v>
      </c>
      <c r="AI108" s="95">
        <v>0.24628</v>
      </c>
      <c r="AJ108" s="95">
        <v>0</v>
      </c>
      <c r="AK108" s="95">
        <v>0.36849999999999999</v>
      </c>
      <c r="AL108" s="95">
        <v>11.032999999999999</v>
      </c>
      <c r="AM108" s="95">
        <v>1.4700599999999999</v>
      </c>
      <c r="AN108" s="95">
        <v>1.52</v>
      </c>
      <c r="AO108" s="95">
        <v>0</v>
      </c>
      <c r="AP108" s="95">
        <v>543.64200000000005</v>
      </c>
      <c r="AQ108" s="95">
        <v>543.452</v>
      </c>
      <c r="AR108" s="95">
        <v>543.452</v>
      </c>
      <c r="AS108" s="95">
        <v>0</v>
      </c>
      <c r="AT108" s="95">
        <v>14.393000000000001</v>
      </c>
      <c r="AU108" s="95">
        <v>10.874000000000001</v>
      </c>
      <c r="AV108" s="95">
        <v>10.954000000000001</v>
      </c>
      <c r="AW108" s="95">
        <v>11.034000000000001</v>
      </c>
      <c r="AX108" s="95">
        <v>0.16</v>
      </c>
      <c r="AY108" s="95">
        <f t="shared" si="12"/>
        <v>0.98647576823737571</v>
      </c>
      <c r="AZ108" s="95">
        <f t="shared" si="13"/>
        <v>5.6076300578034681</v>
      </c>
    </row>
    <row r="109" spans="1:52" s="96" customFormat="1" ht="18" customHeight="1" x14ac:dyDescent="0.2">
      <c r="A109" s="97"/>
      <c r="B109" s="97">
        <v>4</v>
      </c>
      <c r="C109" s="95">
        <v>48.425295000000006</v>
      </c>
      <c r="D109" s="95">
        <v>47.913215000000008</v>
      </c>
      <c r="E109" s="95">
        <v>935.86798999999996</v>
      </c>
      <c r="F109" s="95">
        <v>935.86798999999996</v>
      </c>
      <c r="G109" s="95">
        <v>0.61699999999999999</v>
      </c>
      <c r="H109" s="95">
        <v>0.432</v>
      </c>
      <c r="I109" s="95">
        <f t="shared" si="7"/>
        <v>1.0374164389012968</v>
      </c>
      <c r="J109" s="95">
        <f t="shared" si="8"/>
        <v>1.1251721590068764</v>
      </c>
      <c r="K109" s="95">
        <f t="shared" si="9"/>
        <v>7.3150646084602436E-4</v>
      </c>
      <c r="L109" s="95">
        <f t="shared" si="10"/>
        <v>0.98942536127038572</v>
      </c>
      <c r="M109" s="95">
        <v>935.23</v>
      </c>
      <c r="N109" s="97">
        <v>11.96</v>
      </c>
      <c r="O109" s="105">
        <v>-2.2799999999999998</v>
      </c>
      <c r="P109" s="102">
        <f t="shared" si="11"/>
        <v>92.28</v>
      </c>
      <c r="Z109" s="95">
        <v>5.43</v>
      </c>
      <c r="AA109" s="95">
        <v>48.518000000000001</v>
      </c>
      <c r="AB109" s="95">
        <v>44.204000000000001</v>
      </c>
      <c r="AC109" s="95">
        <v>936.29</v>
      </c>
      <c r="AD109" s="95">
        <v>912.35</v>
      </c>
      <c r="AE109" s="95">
        <v>95.126000000000005</v>
      </c>
      <c r="AF109" s="95">
        <v>89.224999999999994</v>
      </c>
      <c r="AG109" s="95">
        <v>0.13077</v>
      </c>
      <c r="AH109" s="95">
        <v>6.8559999999999996E-2</v>
      </c>
      <c r="AI109" s="95">
        <v>0.24621000000000001</v>
      </c>
      <c r="AJ109" s="95">
        <v>0</v>
      </c>
      <c r="AK109" s="95">
        <v>0.36899999999999999</v>
      </c>
      <c r="AL109" s="95">
        <v>11.000999999999999</v>
      </c>
      <c r="AM109" s="95">
        <v>1.46936</v>
      </c>
      <c r="AN109" s="95">
        <v>0.89</v>
      </c>
      <c r="AO109" s="95">
        <v>0</v>
      </c>
      <c r="AP109" s="95">
        <v>543.59900000000005</v>
      </c>
      <c r="AQ109" s="95">
        <v>543.53300000000002</v>
      </c>
      <c r="AR109" s="95">
        <v>543.53300000000002</v>
      </c>
      <c r="AS109" s="95">
        <v>0</v>
      </c>
      <c r="AT109" s="95">
        <v>8.4879999999999995</v>
      </c>
      <c r="AU109" s="95">
        <v>11.034000000000001</v>
      </c>
      <c r="AV109" s="95">
        <v>11.113</v>
      </c>
      <c r="AW109" s="95">
        <v>11.191000000000001</v>
      </c>
      <c r="AX109" s="95">
        <v>0.158</v>
      </c>
      <c r="AY109" s="95">
        <f t="shared" si="12"/>
        <v>0.98816676510723245</v>
      </c>
      <c r="AZ109" s="95">
        <f t="shared" si="13"/>
        <v>5.6090173410404622</v>
      </c>
    </row>
    <row r="110" spans="1:52" s="96" customFormat="1" ht="18" customHeight="1" x14ac:dyDescent="0.2">
      <c r="A110" s="97"/>
      <c r="B110" s="97">
        <v>5</v>
      </c>
      <c r="C110" s="95">
        <v>48.56456</v>
      </c>
      <c r="D110" s="95">
        <v>48.070644999999999</v>
      </c>
      <c r="E110" s="95">
        <v>931.70394999999996</v>
      </c>
      <c r="F110" s="95">
        <v>931.70394999999996</v>
      </c>
      <c r="G110" s="95">
        <v>0.625</v>
      </c>
      <c r="H110" s="95">
        <v>0.441</v>
      </c>
      <c r="I110" s="95">
        <f t="shared" si="7"/>
        <v>1.037760076511975</v>
      </c>
      <c r="J110" s="95">
        <f t="shared" si="8"/>
        <v>1.1269375438715046</v>
      </c>
      <c r="K110" s="95">
        <f t="shared" si="9"/>
        <v>7.0352173610801517E-4</v>
      </c>
      <c r="L110" s="95">
        <f t="shared" si="10"/>
        <v>0.98982972356796806</v>
      </c>
      <c r="M110" s="95">
        <v>933.68</v>
      </c>
      <c r="N110" s="97">
        <v>11.776</v>
      </c>
      <c r="O110" s="105">
        <v>-1.65</v>
      </c>
      <c r="P110" s="102">
        <f t="shared" si="11"/>
        <v>91.65</v>
      </c>
      <c r="Z110" s="95">
        <v>5.43</v>
      </c>
      <c r="AA110" s="95">
        <v>48.442999999999998</v>
      </c>
      <c r="AB110" s="95">
        <v>44.204000000000001</v>
      </c>
      <c r="AC110" s="95">
        <v>935</v>
      </c>
      <c r="AD110" s="95">
        <v>911.49</v>
      </c>
      <c r="AE110" s="95">
        <v>94.808000000000007</v>
      </c>
      <c r="AF110" s="95">
        <v>89.012</v>
      </c>
      <c r="AG110" s="95">
        <v>0.13089999999999999</v>
      </c>
      <c r="AH110" s="95">
        <v>6.8559999999999996E-2</v>
      </c>
      <c r="AI110" s="95">
        <v>0.24618999999999999</v>
      </c>
      <c r="AJ110" s="95">
        <v>0</v>
      </c>
      <c r="AK110" s="95">
        <v>0.36580000000000001</v>
      </c>
      <c r="AL110" s="95">
        <v>11.089</v>
      </c>
      <c r="AM110" s="95">
        <v>1.46913</v>
      </c>
      <c r="AN110" s="95">
        <v>0.3</v>
      </c>
      <c r="AO110" s="95">
        <v>0</v>
      </c>
      <c r="AP110" s="95">
        <v>538.71</v>
      </c>
      <c r="AQ110" s="95">
        <v>538.70299999999997</v>
      </c>
      <c r="AR110" s="95">
        <v>538.70299999999997</v>
      </c>
      <c r="AS110" s="95">
        <v>0</v>
      </c>
      <c r="AT110" s="95">
        <v>2.8159999999999998</v>
      </c>
      <c r="AU110" s="95">
        <v>11.191000000000001</v>
      </c>
      <c r="AV110" s="95">
        <v>11.27</v>
      </c>
      <c r="AW110" s="95">
        <v>11.348000000000001</v>
      </c>
      <c r="AX110" s="95">
        <v>0.157</v>
      </c>
      <c r="AY110" s="95">
        <f t="shared" si="12"/>
        <v>0.98909692304551122</v>
      </c>
      <c r="AZ110" s="95">
        <f t="shared" si="13"/>
        <v>5.6003468208092482</v>
      </c>
    </row>
    <row r="111" spans="1:52" s="96" customFormat="1" ht="18" customHeight="1" x14ac:dyDescent="0.2">
      <c r="A111" s="97"/>
      <c r="B111" s="97">
        <v>6</v>
      </c>
      <c r="C111" s="95">
        <v>48.704690000000006</v>
      </c>
      <c r="D111" s="95">
        <v>48.205584999999999</v>
      </c>
      <c r="E111" s="95">
        <v>930.55335999999988</v>
      </c>
      <c r="F111" s="95">
        <v>930.55335999999988</v>
      </c>
      <c r="G111" s="95">
        <v>0.63400000000000001</v>
      </c>
      <c r="H111" s="95">
        <v>0.44800000000000001</v>
      </c>
      <c r="I111" s="95">
        <f t="shared" si="7"/>
        <v>1.0386970687045445</v>
      </c>
      <c r="J111" s="95">
        <f t="shared" si="8"/>
        <v>1.1304145664910699</v>
      </c>
      <c r="K111" s="95">
        <f t="shared" si="9"/>
        <v>7.0894294469428347E-4</v>
      </c>
      <c r="L111" s="95">
        <f t="shared" si="10"/>
        <v>0.98975242425318777</v>
      </c>
      <c r="M111" s="95">
        <v>933.59</v>
      </c>
      <c r="N111" s="97">
        <v>11.592000000000001</v>
      </c>
      <c r="O111" s="105">
        <v>-0.98</v>
      </c>
      <c r="P111" s="102">
        <f t="shared" si="11"/>
        <v>90.98</v>
      </c>
      <c r="Z111" s="95">
        <v>5.43</v>
      </c>
      <c r="AA111" s="95">
        <v>48.351999999999997</v>
      </c>
      <c r="AB111" s="95">
        <v>44.204000000000001</v>
      </c>
      <c r="AC111" s="95">
        <v>934.88</v>
      </c>
      <c r="AD111" s="95">
        <v>911.84</v>
      </c>
      <c r="AE111" s="95">
        <v>94.777000000000001</v>
      </c>
      <c r="AF111" s="95">
        <v>89.099000000000004</v>
      </c>
      <c r="AG111" s="95">
        <v>0.13084999999999999</v>
      </c>
      <c r="AH111" s="95">
        <v>6.8559999999999996E-2</v>
      </c>
      <c r="AI111" s="95">
        <v>0.2462</v>
      </c>
      <c r="AJ111" s="95">
        <v>0</v>
      </c>
      <c r="AK111" s="95">
        <v>0.36199999999999999</v>
      </c>
      <c r="AL111" s="95">
        <v>11.207000000000001</v>
      </c>
      <c r="AM111" s="95">
        <v>1.46922</v>
      </c>
      <c r="AN111" s="95">
        <v>-0.3</v>
      </c>
      <c r="AO111" s="95">
        <v>0</v>
      </c>
      <c r="AP111" s="95">
        <v>533.23500000000001</v>
      </c>
      <c r="AQ111" s="95">
        <v>533.22799999999995</v>
      </c>
      <c r="AR111" s="95">
        <v>533.22799999999995</v>
      </c>
      <c r="AS111" s="95">
        <v>0</v>
      </c>
      <c r="AT111" s="95">
        <v>-2.8039999999999998</v>
      </c>
      <c r="AU111" s="95">
        <v>11.348000000000001</v>
      </c>
      <c r="AV111" s="95">
        <v>11.426</v>
      </c>
      <c r="AW111" s="95">
        <v>11.504</v>
      </c>
      <c r="AX111" s="95">
        <v>0.156</v>
      </c>
      <c r="AY111" s="95">
        <f t="shared" si="12"/>
        <v>0.98952193844138836</v>
      </c>
      <c r="AZ111" s="95">
        <f t="shared" si="13"/>
        <v>5.5898265895953747</v>
      </c>
    </row>
    <row r="112" spans="1:52" s="96" customFormat="1" ht="18" customHeight="1" x14ac:dyDescent="0.2">
      <c r="A112" s="97"/>
      <c r="B112" s="97">
        <v>7</v>
      </c>
      <c r="C112" s="95">
        <v>48.843955000000001</v>
      </c>
      <c r="D112" s="95">
        <v>48.331875000000004</v>
      </c>
      <c r="E112" s="95">
        <v>930.77251999999999</v>
      </c>
      <c r="F112" s="95">
        <v>930.77251999999999</v>
      </c>
      <c r="G112" s="95">
        <v>0.64400000000000002</v>
      </c>
      <c r="H112" s="95">
        <v>0.45500000000000002</v>
      </c>
      <c r="I112" s="95">
        <f t="shared" si="7"/>
        <v>1.0398905325017644</v>
      </c>
      <c r="J112" s="95">
        <f t="shared" si="8"/>
        <v>1.1346959534526382</v>
      </c>
      <c r="K112" s="95">
        <f t="shared" si="9"/>
        <v>7.2540567533858555E-4</v>
      </c>
      <c r="L112" s="95">
        <f t="shared" si="10"/>
        <v>0.98951600049586486</v>
      </c>
      <c r="M112" s="95">
        <v>934.32</v>
      </c>
      <c r="N112" s="97">
        <v>11.407999999999999</v>
      </c>
      <c r="O112" s="105">
        <v>-0.27</v>
      </c>
      <c r="P112" s="102">
        <f t="shared" si="11"/>
        <v>90.27</v>
      </c>
      <c r="Z112" s="95">
        <v>5.43</v>
      </c>
      <c r="AA112" s="95">
        <v>48.244</v>
      </c>
      <c r="AB112" s="95">
        <v>44.204000000000001</v>
      </c>
      <c r="AC112" s="95">
        <v>935.55</v>
      </c>
      <c r="AD112" s="95">
        <v>913.06</v>
      </c>
      <c r="AE112" s="95">
        <v>94.942999999999998</v>
      </c>
      <c r="AF112" s="95">
        <v>89.4</v>
      </c>
      <c r="AG112" s="95">
        <v>0.13067000000000001</v>
      </c>
      <c r="AH112" s="95">
        <v>6.8559999999999996E-2</v>
      </c>
      <c r="AI112" s="95">
        <v>0.24623</v>
      </c>
      <c r="AJ112" s="95">
        <v>0</v>
      </c>
      <c r="AK112" s="95">
        <v>0.35749999999999998</v>
      </c>
      <c r="AL112" s="95">
        <v>11.36</v>
      </c>
      <c r="AM112" s="95">
        <v>1.4695499999999999</v>
      </c>
      <c r="AN112" s="95">
        <v>-0.87</v>
      </c>
      <c r="AO112" s="95">
        <v>0</v>
      </c>
      <c r="AP112" s="95">
        <v>526.81899999999996</v>
      </c>
      <c r="AQ112" s="95">
        <v>526.75900000000001</v>
      </c>
      <c r="AR112" s="95">
        <v>526.75900000000001</v>
      </c>
      <c r="AS112" s="95">
        <v>0</v>
      </c>
      <c r="AT112" s="95">
        <v>-7.9989999999999997</v>
      </c>
      <c r="AU112" s="95">
        <v>11.504</v>
      </c>
      <c r="AV112" s="95">
        <v>11.582000000000001</v>
      </c>
      <c r="AW112" s="95">
        <v>11.66</v>
      </c>
      <c r="AX112" s="95">
        <v>0.156</v>
      </c>
      <c r="AY112" s="95">
        <f t="shared" si="12"/>
        <v>0.9897017191154146</v>
      </c>
      <c r="AZ112" s="95">
        <f t="shared" si="13"/>
        <v>5.5773410404624277</v>
      </c>
    </row>
    <row r="113" spans="1:52" s="96" customFormat="1" ht="18" customHeight="1" x14ac:dyDescent="0.2">
      <c r="A113" s="97"/>
      <c r="B113" s="97">
        <v>8</v>
      </c>
      <c r="C113" s="95">
        <v>48.984085</v>
      </c>
      <c r="D113" s="95">
        <v>48.442594999999997</v>
      </c>
      <c r="E113" s="95">
        <v>933.45722999999998</v>
      </c>
      <c r="F113" s="95">
        <v>933.45722999999998</v>
      </c>
      <c r="G113" s="95">
        <v>0.65400000000000003</v>
      </c>
      <c r="H113" s="95">
        <v>0.46200000000000002</v>
      </c>
      <c r="I113" s="95">
        <f t="shared" si="7"/>
        <v>1.0410998948104171</v>
      </c>
      <c r="J113" s="95">
        <f t="shared" si="8"/>
        <v>1.1386645727759559</v>
      </c>
      <c r="K113" s="95">
        <f t="shared" si="9"/>
        <v>7.6501994073863329E-4</v>
      </c>
      <c r="L113" s="95">
        <f t="shared" si="10"/>
        <v>0.98894559324727604</v>
      </c>
      <c r="M113" s="95">
        <v>935.89</v>
      </c>
      <c r="N113" s="97">
        <v>11.224</v>
      </c>
      <c r="O113" s="105">
        <v>0.48</v>
      </c>
      <c r="P113" s="102">
        <f t="shared" si="11"/>
        <v>89.52</v>
      </c>
      <c r="Z113" s="95">
        <v>5.43</v>
      </c>
      <c r="AA113" s="95">
        <v>48.119</v>
      </c>
      <c r="AB113" s="95">
        <v>44.204000000000001</v>
      </c>
      <c r="AC113" s="95">
        <v>937.04</v>
      </c>
      <c r="AD113" s="95">
        <v>915.19</v>
      </c>
      <c r="AE113" s="95">
        <v>95.31</v>
      </c>
      <c r="AF113" s="95">
        <v>89.921999999999997</v>
      </c>
      <c r="AG113" s="95">
        <v>0.13037000000000001</v>
      </c>
      <c r="AH113" s="95">
        <v>6.8559999999999996E-2</v>
      </c>
      <c r="AI113" s="95">
        <v>0.24629000000000001</v>
      </c>
      <c r="AJ113" s="95">
        <v>0</v>
      </c>
      <c r="AK113" s="95">
        <v>0.35210000000000002</v>
      </c>
      <c r="AL113" s="95">
        <v>11.55</v>
      </c>
      <c r="AM113" s="95">
        <v>1.4701200000000001</v>
      </c>
      <c r="AN113" s="95">
        <v>-1.41</v>
      </c>
      <c r="AO113" s="95">
        <v>0</v>
      </c>
      <c r="AP113" s="95">
        <v>519.43600000000004</v>
      </c>
      <c r="AQ113" s="95">
        <v>519.27800000000002</v>
      </c>
      <c r="AR113" s="95">
        <v>519.27800000000002</v>
      </c>
      <c r="AS113" s="95">
        <v>0</v>
      </c>
      <c r="AT113" s="95">
        <v>-12.808999999999999</v>
      </c>
      <c r="AU113" s="95">
        <v>11.66</v>
      </c>
      <c r="AV113" s="95">
        <v>11.738</v>
      </c>
      <c r="AW113" s="95">
        <v>11.817</v>
      </c>
      <c r="AX113" s="95">
        <v>0.157</v>
      </c>
      <c r="AY113" s="95">
        <f t="shared" si="12"/>
        <v>0.98979738763756042</v>
      </c>
      <c r="AZ113" s="95">
        <f t="shared" si="13"/>
        <v>5.5628901734104046</v>
      </c>
    </row>
    <row r="114" spans="1:52" s="96" customFormat="1" ht="18" customHeight="1" x14ac:dyDescent="0.2">
      <c r="A114" s="97"/>
      <c r="B114" s="97">
        <v>9</v>
      </c>
      <c r="C114" s="95">
        <v>49.124215</v>
      </c>
      <c r="D114" s="95">
        <v>48.512659999999997</v>
      </c>
      <c r="E114" s="95">
        <v>938.11437999999998</v>
      </c>
      <c r="F114" s="95">
        <v>938.11437999999998</v>
      </c>
      <c r="G114" s="95">
        <v>0.66600000000000004</v>
      </c>
      <c r="H114" s="95">
        <v>0.46600000000000003</v>
      </c>
      <c r="I114" s="95">
        <f t="shared" si="7"/>
        <v>1.0433952904609332</v>
      </c>
      <c r="J114" s="95">
        <f t="shared" si="8"/>
        <v>1.1458572504339684</v>
      </c>
      <c r="K114" s="95">
        <f t="shared" si="9"/>
        <v>8.6193212136757846E-4</v>
      </c>
      <c r="L114" s="95">
        <f t="shared" si="10"/>
        <v>0.98755084432392448</v>
      </c>
      <c r="M114" s="95">
        <v>939.75</v>
      </c>
      <c r="N114" s="94">
        <v>11.038</v>
      </c>
      <c r="O114" s="105">
        <v>1.22</v>
      </c>
      <c r="P114" s="102">
        <f t="shared" si="11"/>
        <v>88.78</v>
      </c>
      <c r="Z114" s="95">
        <v>5.43</v>
      </c>
      <c r="AA114" s="95">
        <v>47.997999999999998</v>
      </c>
      <c r="AB114" s="95">
        <v>44.204000000000001</v>
      </c>
      <c r="AC114" s="95">
        <v>939.94</v>
      </c>
      <c r="AD114" s="95">
        <v>918.68</v>
      </c>
      <c r="AE114" s="95">
        <v>96.028000000000006</v>
      </c>
      <c r="AF114" s="95">
        <v>90.783000000000001</v>
      </c>
      <c r="AG114" s="95">
        <v>0.12987000000000001</v>
      </c>
      <c r="AH114" s="95">
        <v>6.8559999999999996E-2</v>
      </c>
      <c r="AI114" s="95">
        <v>0.24637999999999999</v>
      </c>
      <c r="AJ114" s="95">
        <v>0</v>
      </c>
      <c r="AK114" s="95">
        <v>0.34670000000000001</v>
      </c>
      <c r="AL114" s="95">
        <v>11.754</v>
      </c>
      <c r="AM114" s="95">
        <v>1.47106</v>
      </c>
      <c r="AN114" s="95">
        <v>-1.93</v>
      </c>
      <c r="AO114" s="95">
        <v>0</v>
      </c>
      <c r="AP114" s="95">
        <v>512.49599999999998</v>
      </c>
      <c r="AQ114" s="95">
        <v>512.20399999999995</v>
      </c>
      <c r="AR114" s="95">
        <v>512.20399999999995</v>
      </c>
      <c r="AS114" s="95">
        <v>0</v>
      </c>
      <c r="AT114" s="95">
        <v>-17.3</v>
      </c>
      <c r="AU114" s="95">
        <v>11.817</v>
      </c>
      <c r="AV114" s="95">
        <v>11.895</v>
      </c>
      <c r="AW114" s="95">
        <v>11.974</v>
      </c>
      <c r="AX114" s="95">
        <v>0.157</v>
      </c>
      <c r="AY114" s="95">
        <f t="shared" si="12"/>
        <v>0.98964948453608237</v>
      </c>
      <c r="AZ114" s="95">
        <f t="shared" si="13"/>
        <v>5.5489017341040459</v>
      </c>
    </row>
    <row r="115" spans="1:52" s="96" customFormat="1" ht="18" customHeight="1" x14ac:dyDescent="0.2">
      <c r="A115" s="97"/>
      <c r="B115" s="97">
        <v>10</v>
      </c>
      <c r="C115" s="95">
        <v>49.263480000000001</v>
      </c>
      <c r="D115" s="95">
        <v>48.508335000000002</v>
      </c>
      <c r="E115" s="95">
        <v>948.63405999999998</v>
      </c>
      <c r="F115" s="95">
        <v>948.63405999999998</v>
      </c>
      <c r="G115" s="95">
        <v>0.67800000000000005</v>
      </c>
      <c r="H115" s="95">
        <v>0.46899999999999997</v>
      </c>
      <c r="I115" s="95">
        <f t="shared" si="7"/>
        <v>1.045924289472661</v>
      </c>
      <c r="J115" s="95">
        <f t="shared" si="8"/>
        <v>1.1522378870984806</v>
      </c>
      <c r="K115" s="95">
        <f t="shared" si="9"/>
        <v>1.0622866313706597E-3</v>
      </c>
      <c r="L115" s="95">
        <f t="shared" si="10"/>
        <v>0.98467130214917831</v>
      </c>
      <c r="M115" s="95">
        <v>946.75</v>
      </c>
      <c r="N115" s="97">
        <v>10.849</v>
      </c>
      <c r="O115" s="105">
        <v>2.0299999999999998</v>
      </c>
      <c r="P115" s="102">
        <f t="shared" si="11"/>
        <v>87.97</v>
      </c>
      <c r="Z115" s="95">
        <v>5.43</v>
      </c>
      <c r="AA115" s="95">
        <v>47.9</v>
      </c>
      <c r="AB115" s="95">
        <v>44.204000000000001</v>
      </c>
      <c r="AC115" s="95">
        <v>945.83</v>
      </c>
      <c r="AD115" s="95">
        <v>924.97</v>
      </c>
      <c r="AE115" s="95">
        <v>97.481999999999999</v>
      </c>
      <c r="AF115" s="95">
        <v>92.332999999999998</v>
      </c>
      <c r="AG115" s="95">
        <v>0.12898999999999999</v>
      </c>
      <c r="AH115" s="95">
        <v>6.8559999999999996E-2</v>
      </c>
      <c r="AI115" s="95">
        <v>0.24654999999999999</v>
      </c>
      <c r="AJ115" s="95">
        <v>0</v>
      </c>
      <c r="AK115" s="95">
        <v>0.34239999999999998</v>
      </c>
      <c r="AL115" s="95">
        <v>11.949</v>
      </c>
      <c r="AM115" s="95">
        <v>1.4727399999999999</v>
      </c>
      <c r="AN115" s="95">
        <v>-2.44</v>
      </c>
      <c r="AO115" s="95">
        <v>0</v>
      </c>
      <c r="AP115" s="95">
        <v>507.76900000000001</v>
      </c>
      <c r="AQ115" s="95">
        <v>507.30700000000002</v>
      </c>
      <c r="AR115" s="95">
        <v>507.30700000000002</v>
      </c>
      <c r="AS115" s="95">
        <v>0</v>
      </c>
      <c r="AT115" s="95">
        <v>-21.646999999999998</v>
      </c>
      <c r="AU115" s="95">
        <v>11.974</v>
      </c>
      <c r="AV115" s="95">
        <v>12.053000000000001</v>
      </c>
      <c r="AW115" s="95">
        <v>12.132</v>
      </c>
      <c r="AX115" s="95">
        <v>0.158</v>
      </c>
      <c r="AY115" s="95">
        <f t="shared" si="12"/>
        <v>0.98907679283074179</v>
      </c>
      <c r="AZ115" s="95">
        <f t="shared" si="13"/>
        <v>5.5375722543352595</v>
      </c>
    </row>
    <row r="116" spans="1:52" s="96" customFormat="1" ht="18" customHeight="1" x14ac:dyDescent="0.2">
      <c r="A116" s="97"/>
      <c r="B116" s="97">
        <v>11</v>
      </c>
      <c r="C116" s="95">
        <v>49.403610000000008</v>
      </c>
      <c r="D116" s="95">
        <v>48.430485000000004</v>
      </c>
      <c r="E116" s="95">
        <v>967.64618999999993</v>
      </c>
      <c r="F116" s="95">
        <v>967.64618999999993</v>
      </c>
      <c r="G116" s="95">
        <v>0.69099999999999995</v>
      </c>
      <c r="H116" s="95">
        <v>0.47</v>
      </c>
      <c r="I116" s="95">
        <f t="shared" si="7"/>
        <v>1.0491449750043096</v>
      </c>
      <c r="J116" s="95">
        <f t="shared" si="8"/>
        <v>1.1595364377175617</v>
      </c>
      <c r="K116" s="95">
        <f t="shared" si="9"/>
        <v>1.3673337581266605E-3</v>
      </c>
      <c r="L116" s="95">
        <f t="shared" si="10"/>
        <v>0.98030255278915845</v>
      </c>
      <c r="M116" s="95">
        <v>957.92</v>
      </c>
      <c r="N116" s="97">
        <v>10.648999999999999</v>
      </c>
      <c r="O116" s="105">
        <v>3.27</v>
      </c>
      <c r="P116" s="102">
        <f t="shared" si="11"/>
        <v>86.73</v>
      </c>
      <c r="Z116" s="95">
        <v>5.43</v>
      </c>
      <c r="AA116" s="95">
        <v>47.783000000000001</v>
      </c>
      <c r="AB116" s="95">
        <v>44.204999999999998</v>
      </c>
      <c r="AC116" s="95">
        <v>956.39</v>
      </c>
      <c r="AD116" s="95">
        <v>935.96</v>
      </c>
      <c r="AE116" s="95">
        <v>100.093</v>
      </c>
      <c r="AF116" s="95">
        <v>95.043999999999997</v>
      </c>
      <c r="AG116" s="95">
        <v>0.12748000000000001</v>
      </c>
      <c r="AH116" s="95">
        <v>6.8559999999999996E-2</v>
      </c>
      <c r="AI116" s="95">
        <v>0.24684</v>
      </c>
      <c r="AJ116" s="95">
        <v>0</v>
      </c>
      <c r="AK116" s="95">
        <v>0.33710000000000001</v>
      </c>
      <c r="AL116" s="95">
        <v>12.215</v>
      </c>
      <c r="AM116" s="95">
        <v>1.47566</v>
      </c>
      <c r="AN116" s="95">
        <v>-2.98</v>
      </c>
      <c r="AO116" s="95">
        <v>0</v>
      </c>
      <c r="AP116" s="95">
        <v>502.81599999999997</v>
      </c>
      <c r="AQ116" s="95">
        <v>502.137</v>
      </c>
      <c r="AR116" s="95">
        <v>502.137</v>
      </c>
      <c r="AS116" s="95">
        <v>0</v>
      </c>
      <c r="AT116" s="95">
        <v>-26.106999999999999</v>
      </c>
      <c r="AU116" s="95">
        <v>12.132</v>
      </c>
      <c r="AV116" s="95">
        <v>12.211</v>
      </c>
      <c r="AW116" s="95">
        <v>12.291</v>
      </c>
      <c r="AX116" s="95">
        <v>0.159</v>
      </c>
      <c r="AY116" s="95">
        <f t="shared" si="12"/>
        <v>0.98796650470381475</v>
      </c>
      <c r="AZ116" s="95">
        <f t="shared" si="13"/>
        <v>5.524046242774566</v>
      </c>
    </row>
    <row r="117" spans="1:52" s="96" customFormat="1" ht="18" customHeight="1" x14ac:dyDescent="0.2">
      <c r="A117" s="97"/>
      <c r="B117" s="97">
        <v>12</v>
      </c>
      <c r="C117" s="95">
        <v>49.473675</v>
      </c>
      <c r="D117" s="95">
        <v>48.349175000000002</v>
      </c>
      <c r="E117" s="95">
        <v>981.50806</v>
      </c>
      <c r="F117" s="95">
        <v>981.50806</v>
      </c>
      <c r="G117" s="95">
        <v>0.69899999999999995</v>
      </c>
      <c r="H117" s="95">
        <v>0.46400000000000002</v>
      </c>
      <c r="I117" s="95">
        <f t="shared" si="7"/>
        <v>1.0524045039821324</v>
      </c>
      <c r="J117" s="95">
        <f t="shared" si="8"/>
        <v>1.1685689416592007</v>
      </c>
      <c r="K117" s="95">
        <f t="shared" si="9"/>
        <v>1.5799016547965311E-3</v>
      </c>
      <c r="L117" s="95">
        <f t="shared" si="10"/>
        <v>0.97727074044934004</v>
      </c>
      <c r="M117" s="95">
        <v>982.18</v>
      </c>
      <c r="N117" s="97">
        <v>10.541</v>
      </c>
      <c r="O117" s="105">
        <v>5.91</v>
      </c>
      <c r="P117" s="102">
        <f t="shared" si="11"/>
        <v>84.09</v>
      </c>
      <c r="Z117" s="95">
        <v>5.43</v>
      </c>
      <c r="AA117" s="95">
        <v>47.530999999999999</v>
      </c>
      <c r="AB117" s="95">
        <v>44.204999999999998</v>
      </c>
      <c r="AC117" s="95">
        <v>977.94</v>
      </c>
      <c r="AD117" s="95">
        <v>958.51</v>
      </c>
      <c r="AE117" s="95">
        <v>105.432</v>
      </c>
      <c r="AF117" s="95">
        <v>100.617</v>
      </c>
      <c r="AG117" s="95">
        <v>0.12447999999999999</v>
      </c>
      <c r="AH117" s="95">
        <v>6.8559999999999996E-2</v>
      </c>
      <c r="AI117" s="95">
        <v>0.24746000000000001</v>
      </c>
      <c r="AJ117" s="95">
        <v>0</v>
      </c>
      <c r="AK117" s="95">
        <v>0.32550000000000001</v>
      </c>
      <c r="AL117" s="95">
        <v>12.824</v>
      </c>
      <c r="AM117" s="95">
        <v>1.4815400000000001</v>
      </c>
      <c r="AN117" s="95">
        <v>-3.97</v>
      </c>
      <c r="AO117" s="95">
        <v>0</v>
      </c>
      <c r="AP117" s="95">
        <v>491.017</v>
      </c>
      <c r="AQ117" s="95">
        <v>489.839</v>
      </c>
      <c r="AR117" s="95">
        <v>489.839</v>
      </c>
      <c r="AS117" s="95">
        <v>0</v>
      </c>
      <c r="AT117" s="95">
        <v>-33.991999999999997</v>
      </c>
      <c r="AU117" s="95">
        <v>12.291</v>
      </c>
      <c r="AV117" s="95">
        <v>12.374000000000001</v>
      </c>
      <c r="AW117" s="95">
        <v>12.456</v>
      </c>
      <c r="AX117" s="95">
        <v>0.16500000000000001</v>
      </c>
      <c r="AY117" s="95">
        <f t="shared" si="12"/>
        <v>0.98577265279880544</v>
      </c>
      <c r="AZ117" s="95">
        <f t="shared" si="13"/>
        <v>5.4949132947976871</v>
      </c>
    </row>
    <row r="118" spans="1:52" ht="18" customHeight="1" x14ac:dyDescent="0.2">
      <c r="A118" s="26" t="s">
        <v>121</v>
      </c>
      <c r="N118" s="27"/>
      <c r="O118" s="27"/>
      <c r="P118" s="103"/>
      <c r="Z118" s="17">
        <v>0</v>
      </c>
      <c r="AA118" s="17">
        <v>0</v>
      </c>
      <c r="AB118" s="17">
        <v>0</v>
      </c>
      <c r="AC118" s="17">
        <v>0</v>
      </c>
      <c r="AD118" s="17">
        <v>0</v>
      </c>
      <c r="AE118" s="17">
        <v>0</v>
      </c>
      <c r="AF118" s="17">
        <v>0</v>
      </c>
      <c r="AG118" s="17">
        <v>0</v>
      </c>
      <c r="AH118" s="17">
        <v>0</v>
      </c>
      <c r="AI118" s="17">
        <v>0</v>
      </c>
      <c r="AJ118" s="17">
        <v>0</v>
      </c>
      <c r="AK118" s="17">
        <v>0</v>
      </c>
      <c r="AL118" s="17">
        <v>0</v>
      </c>
      <c r="AM118" s="17">
        <v>0</v>
      </c>
      <c r="AN118" s="17">
        <v>0</v>
      </c>
      <c r="AO118" s="17">
        <v>0</v>
      </c>
      <c r="AP118" s="17">
        <v>0</v>
      </c>
      <c r="AQ118" s="17">
        <v>0</v>
      </c>
      <c r="AR118" s="17">
        <v>0</v>
      </c>
      <c r="AS118" s="17">
        <v>0</v>
      </c>
      <c r="AT118" s="17">
        <v>0</v>
      </c>
      <c r="AU118" s="17">
        <v>0</v>
      </c>
      <c r="AV118" s="17">
        <v>0</v>
      </c>
      <c r="AW118" s="17">
        <v>0</v>
      </c>
      <c r="AX118" s="17">
        <v>0</v>
      </c>
      <c r="AZ118" s="17">
        <f t="shared" si="13"/>
        <v>0</v>
      </c>
    </row>
    <row r="119" spans="1:52" ht="18" customHeight="1" x14ac:dyDescent="0.2">
      <c r="B119" s="27">
        <v>1</v>
      </c>
      <c r="C119" s="17">
        <v>47.313770000000005</v>
      </c>
      <c r="D119" s="17">
        <v>65.73827</v>
      </c>
      <c r="E119" s="17">
        <v>993.50706999999989</v>
      </c>
      <c r="F119" s="17">
        <v>1096.4026900000001</v>
      </c>
      <c r="G119" s="17">
        <v>0.41699999999999998</v>
      </c>
      <c r="H119" s="17">
        <v>0.56100000000000005</v>
      </c>
      <c r="I119" s="17">
        <f t="shared" si="7"/>
        <v>1.0743252094310294</v>
      </c>
      <c r="J119" s="17">
        <f t="shared" si="8"/>
        <v>1.2647623927344642</v>
      </c>
      <c r="K119" s="17">
        <f t="shared" si="9"/>
        <v>1.104943664859772E-3</v>
      </c>
      <c r="L119" s="17">
        <f t="shared" si="10"/>
        <v>1.3894109473838165</v>
      </c>
      <c r="N119" s="27">
        <v>12.343</v>
      </c>
      <c r="O119" s="27">
        <v>55.9</v>
      </c>
      <c r="P119" s="103">
        <f t="shared" si="11"/>
        <v>34.1</v>
      </c>
      <c r="Z119" s="17">
        <v>5.43</v>
      </c>
      <c r="AA119" s="17">
        <v>67.525999999999996</v>
      </c>
      <c r="AB119" s="17">
        <v>57.462000000000003</v>
      </c>
      <c r="AC119" s="17">
        <v>1050.1099999999999</v>
      </c>
      <c r="AD119" s="17">
        <v>1004.54</v>
      </c>
      <c r="AE119" s="17">
        <v>123.405</v>
      </c>
      <c r="AF119" s="17">
        <v>112.038</v>
      </c>
      <c r="AG119" s="17">
        <v>0.15439</v>
      </c>
      <c r="AH119" s="17">
        <v>6.8559999999999996E-2</v>
      </c>
      <c r="AI119" s="17">
        <v>0.24876999999999999</v>
      </c>
      <c r="AJ119" s="17">
        <v>0</v>
      </c>
      <c r="AK119" s="17">
        <v>0.48899999999999999</v>
      </c>
      <c r="AL119" s="17">
        <v>10.984999999999999</v>
      </c>
      <c r="AM119" s="17">
        <v>1.4752000000000001</v>
      </c>
      <c r="AN119" s="17">
        <v>52.33</v>
      </c>
      <c r="AO119" s="17">
        <v>0</v>
      </c>
      <c r="AP119" s="17">
        <v>754.44100000000003</v>
      </c>
      <c r="AQ119" s="17">
        <v>461.04</v>
      </c>
      <c r="AR119" s="17">
        <v>461.04</v>
      </c>
      <c r="AS119" s="17">
        <v>0</v>
      </c>
      <c r="AT119" s="17">
        <v>597.17999999999995</v>
      </c>
      <c r="AU119" s="17">
        <v>10.616</v>
      </c>
      <c r="AV119" s="17">
        <v>10.696999999999999</v>
      </c>
      <c r="AW119" s="17">
        <v>10.779</v>
      </c>
      <c r="AX119" s="17">
        <v>0.16300000000000001</v>
      </c>
      <c r="AY119" s="17">
        <f t="shared" si="12"/>
        <v>1.3945026123949362</v>
      </c>
      <c r="AZ119" s="17">
        <f t="shared" si="13"/>
        <v>7.806473988439306</v>
      </c>
    </row>
    <row r="120" spans="1:52" ht="18" customHeight="1" x14ac:dyDescent="0.2">
      <c r="B120" s="27">
        <v>2</v>
      </c>
      <c r="C120" s="17">
        <v>47.536075000000004</v>
      </c>
      <c r="D120" s="17">
        <v>65.875805</v>
      </c>
      <c r="E120" s="17">
        <v>963.92047000000002</v>
      </c>
      <c r="F120" s="17">
        <v>1062.48768</v>
      </c>
      <c r="G120" s="17">
        <v>0.42799999999999999</v>
      </c>
      <c r="H120" s="17">
        <v>0.56799999999999995</v>
      </c>
      <c r="I120" s="17">
        <f t="shared" si="7"/>
        <v>1.0733800970786214</v>
      </c>
      <c r="J120" s="17">
        <f t="shared" si="8"/>
        <v>1.2628464569734192</v>
      </c>
      <c r="K120" s="17">
        <f t="shared" si="9"/>
        <v>9.9763864854605228E-4</v>
      </c>
      <c r="L120" s="17">
        <f t="shared" si="10"/>
        <v>1.3858065690110088</v>
      </c>
      <c r="N120" s="27">
        <v>12.179</v>
      </c>
      <c r="O120" s="27">
        <v>51.24</v>
      </c>
      <c r="P120" s="103">
        <f t="shared" si="11"/>
        <v>38.76</v>
      </c>
      <c r="Z120" s="17">
        <v>5.43</v>
      </c>
      <c r="AA120" s="17">
        <v>67.323999999999998</v>
      </c>
      <c r="AB120" s="17">
        <v>57.628</v>
      </c>
      <c r="AC120" s="17">
        <v>1039.44</v>
      </c>
      <c r="AD120" s="17">
        <v>995.89</v>
      </c>
      <c r="AE120" s="17">
        <v>120.738</v>
      </c>
      <c r="AF120" s="17">
        <v>109.889</v>
      </c>
      <c r="AG120" s="17">
        <v>0.15618000000000001</v>
      </c>
      <c r="AH120" s="17">
        <v>6.8559999999999996E-2</v>
      </c>
      <c r="AI120" s="17">
        <v>0.24851999999999999</v>
      </c>
      <c r="AJ120" s="17">
        <v>0</v>
      </c>
      <c r="AK120" s="17">
        <v>0.47970000000000002</v>
      </c>
      <c r="AL120" s="17">
        <v>10.516999999999999</v>
      </c>
      <c r="AM120" s="17">
        <v>1.47285</v>
      </c>
      <c r="AN120" s="17">
        <v>49.77</v>
      </c>
      <c r="AO120" s="17">
        <v>0</v>
      </c>
      <c r="AP120" s="17">
        <v>737.06399999999996</v>
      </c>
      <c r="AQ120" s="17">
        <v>476.03899999999999</v>
      </c>
      <c r="AR120" s="17">
        <v>476.03899999999999</v>
      </c>
      <c r="AS120" s="17">
        <v>0</v>
      </c>
      <c r="AT120" s="17">
        <v>562.71799999999996</v>
      </c>
      <c r="AU120" s="17">
        <v>10.779</v>
      </c>
      <c r="AV120" s="17">
        <v>10.856</v>
      </c>
      <c r="AW120" s="17">
        <v>10.933</v>
      </c>
      <c r="AX120" s="17">
        <v>0.154</v>
      </c>
      <c r="AY120" s="17">
        <f t="shared" si="12"/>
        <v>1.3894128572902693</v>
      </c>
      <c r="AZ120" s="17">
        <f t="shared" si="13"/>
        <v>7.7831213872832361</v>
      </c>
    </row>
    <row r="121" spans="1:52" ht="18" customHeight="1" x14ac:dyDescent="0.2">
      <c r="B121" s="27">
        <v>3</v>
      </c>
      <c r="C121" s="17">
        <v>47.712535000000003</v>
      </c>
      <c r="D121" s="17">
        <v>66.012475000000009</v>
      </c>
      <c r="E121" s="17">
        <v>947.26431000000002</v>
      </c>
      <c r="F121" s="17">
        <v>1042.3249599999999</v>
      </c>
      <c r="G121" s="17">
        <v>0.438</v>
      </c>
      <c r="H121" s="17">
        <v>0.57299999999999995</v>
      </c>
      <c r="I121" s="17">
        <f t="shared" si="7"/>
        <v>1.0721673182970406</v>
      </c>
      <c r="J121" s="17">
        <f t="shared" si="8"/>
        <v>1.2634283898122731</v>
      </c>
      <c r="K121" s="17">
        <f t="shared" si="9"/>
        <v>6.9473552626824961E-4</v>
      </c>
      <c r="L121" s="17">
        <f t="shared" si="10"/>
        <v>1.383545749560362</v>
      </c>
      <c r="N121" s="27">
        <v>12.042999999999999</v>
      </c>
      <c r="O121" s="27">
        <v>49.66</v>
      </c>
      <c r="P121" s="103">
        <f t="shared" si="11"/>
        <v>40.340000000000003</v>
      </c>
      <c r="Z121" s="17">
        <v>5.43</v>
      </c>
      <c r="AA121" s="17">
        <v>67.2</v>
      </c>
      <c r="AB121" s="17">
        <v>57.77</v>
      </c>
      <c r="AC121" s="17">
        <v>1032.9000000000001</v>
      </c>
      <c r="AD121" s="17">
        <v>990.78</v>
      </c>
      <c r="AE121" s="17">
        <v>119.105</v>
      </c>
      <c r="AF121" s="17">
        <v>108.617</v>
      </c>
      <c r="AG121" s="17">
        <v>0.15737999999999999</v>
      </c>
      <c r="AH121" s="17">
        <v>6.8559999999999996E-2</v>
      </c>
      <c r="AI121" s="17">
        <v>0.24837000000000001</v>
      </c>
      <c r="AJ121" s="17">
        <v>0</v>
      </c>
      <c r="AK121" s="17">
        <v>0.4728</v>
      </c>
      <c r="AL121" s="17">
        <v>10.252000000000001</v>
      </c>
      <c r="AM121" s="17">
        <v>1.4714</v>
      </c>
      <c r="AN121" s="17">
        <v>48.03</v>
      </c>
      <c r="AO121" s="17">
        <v>0</v>
      </c>
      <c r="AP121" s="17">
        <v>724.71500000000003</v>
      </c>
      <c r="AQ121" s="17">
        <v>484.62400000000002</v>
      </c>
      <c r="AR121" s="17">
        <v>484.62400000000002</v>
      </c>
      <c r="AS121" s="17">
        <v>0</v>
      </c>
      <c r="AT121" s="17">
        <v>538.84299999999996</v>
      </c>
      <c r="AU121" s="17">
        <v>10.933</v>
      </c>
      <c r="AV121" s="17">
        <v>11.007</v>
      </c>
      <c r="AW121" s="17">
        <v>11.082000000000001</v>
      </c>
      <c r="AX121" s="17">
        <v>0.14799999999999999</v>
      </c>
      <c r="AY121" s="17">
        <f t="shared" si="12"/>
        <v>1.3853956211602689</v>
      </c>
      <c r="AZ121" s="17">
        <f t="shared" si="13"/>
        <v>7.7687861271676297</v>
      </c>
    </row>
    <row r="122" spans="1:52" ht="18" customHeight="1" x14ac:dyDescent="0.2">
      <c r="B122" s="27">
        <v>4</v>
      </c>
      <c r="C122" s="17">
        <v>47.913215000000008</v>
      </c>
      <c r="D122" s="17">
        <v>66.195855000000009</v>
      </c>
      <c r="E122" s="17">
        <v>935.86798999999996</v>
      </c>
      <c r="F122" s="17">
        <v>1029.2301500000001</v>
      </c>
      <c r="G122" s="17">
        <v>0.45800000000000002</v>
      </c>
      <c r="H122" s="17">
        <v>0.57899999999999996</v>
      </c>
      <c r="I122" s="17">
        <f t="shared" si="7"/>
        <v>1.0738952346928783</v>
      </c>
      <c r="J122" s="17">
        <f t="shared" si="8"/>
        <v>1.2711579344371255</v>
      </c>
      <c r="K122" s="17">
        <f t="shared" si="9"/>
        <v>6.631055186689036E-4</v>
      </c>
      <c r="L122" s="17">
        <f t="shared" si="10"/>
        <v>1.3815782347312739</v>
      </c>
      <c r="N122" s="27">
        <v>11.875999999999999</v>
      </c>
      <c r="O122" s="27">
        <v>48.3</v>
      </c>
      <c r="P122" s="103">
        <f t="shared" si="11"/>
        <v>41.7</v>
      </c>
      <c r="Z122" s="17">
        <v>5.43</v>
      </c>
      <c r="AA122" s="17">
        <v>67.088999999999999</v>
      </c>
      <c r="AB122" s="17">
        <v>57.896000000000001</v>
      </c>
      <c r="AC122" s="17">
        <v>1029.33</v>
      </c>
      <c r="AD122" s="17">
        <v>988.38</v>
      </c>
      <c r="AE122" s="17">
        <v>118.21299999999999</v>
      </c>
      <c r="AF122" s="17">
        <v>108.02</v>
      </c>
      <c r="AG122" s="17">
        <v>0.15809999999999999</v>
      </c>
      <c r="AH122" s="17">
        <v>6.8559999999999996E-2</v>
      </c>
      <c r="AI122" s="17">
        <v>0.24829999999999999</v>
      </c>
      <c r="AJ122" s="17">
        <v>0</v>
      </c>
      <c r="AK122" s="17">
        <v>0.4667</v>
      </c>
      <c r="AL122" s="17">
        <v>10.103999999999999</v>
      </c>
      <c r="AM122" s="17">
        <v>1.47065</v>
      </c>
      <c r="AN122" s="17">
        <v>46.76</v>
      </c>
      <c r="AO122" s="17">
        <v>0</v>
      </c>
      <c r="AP122" s="17">
        <v>714.41099999999994</v>
      </c>
      <c r="AQ122" s="17">
        <v>489.45</v>
      </c>
      <c r="AR122" s="17">
        <v>489.45</v>
      </c>
      <c r="AS122" s="17">
        <v>0</v>
      </c>
      <c r="AT122" s="17">
        <v>520.404</v>
      </c>
      <c r="AU122" s="17">
        <v>11.082000000000001</v>
      </c>
      <c r="AV122" s="17">
        <v>11.154</v>
      </c>
      <c r="AW122" s="17">
        <v>11.226000000000001</v>
      </c>
      <c r="AX122" s="17">
        <v>0.14399999999999999</v>
      </c>
      <c r="AY122" s="17">
        <f t="shared" si="12"/>
        <v>1.3827651593223134</v>
      </c>
      <c r="AZ122" s="17">
        <f t="shared" si="13"/>
        <v>7.7559537572254333</v>
      </c>
    </row>
    <row r="123" spans="1:52" ht="18" customHeight="1" x14ac:dyDescent="0.2">
      <c r="B123" s="27">
        <v>5</v>
      </c>
      <c r="C123" s="17">
        <v>48.070644999999999</v>
      </c>
      <c r="D123" s="17">
        <v>66.378370000000004</v>
      </c>
      <c r="E123" s="17">
        <v>931.70394999999996</v>
      </c>
      <c r="F123" s="17">
        <v>1024.07989</v>
      </c>
      <c r="G123" s="17">
        <v>0.46</v>
      </c>
      <c r="H123" s="17">
        <v>0.58499999999999996</v>
      </c>
      <c r="I123" s="17">
        <f t="shared" si="7"/>
        <v>1.0722715944739487</v>
      </c>
      <c r="J123" s="17">
        <f t="shared" si="8"/>
        <v>1.266245118976707</v>
      </c>
      <c r="K123" s="17">
        <f t="shared" si="9"/>
        <v>5.6541862350168587E-4</v>
      </c>
      <c r="L123" s="17">
        <f t="shared" si="10"/>
        <v>1.3808504129703274</v>
      </c>
      <c r="N123" s="27">
        <v>11.712999999999999</v>
      </c>
      <c r="O123" s="27">
        <v>46.97</v>
      </c>
      <c r="P123" s="103">
        <f t="shared" si="11"/>
        <v>43.03</v>
      </c>
      <c r="Z123" s="17">
        <v>5.43</v>
      </c>
      <c r="AA123" s="17">
        <v>66.921999999999997</v>
      </c>
      <c r="AB123" s="17">
        <v>58.01</v>
      </c>
      <c r="AC123" s="17">
        <v>1027.54</v>
      </c>
      <c r="AD123" s="17">
        <v>987.87</v>
      </c>
      <c r="AE123" s="17">
        <v>117.767</v>
      </c>
      <c r="AF123" s="17">
        <v>107.895</v>
      </c>
      <c r="AG123" s="17">
        <v>0.1585</v>
      </c>
      <c r="AH123" s="17">
        <v>6.8559999999999996E-2</v>
      </c>
      <c r="AI123" s="17">
        <v>0.24828</v>
      </c>
      <c r="AJ123" s="17">
        <v>0</v>
      </c>
      <c r="AK123" s="17">
        <v>0.45939999999999998</v>
      </c>
      <c r="AL123" s="17">
        <v>10.095000000000001</v>
      </c>
      <c r="AM123" s="17">
        <v>1.4703900000000001</v>
      </c>
      <c r="AN123" s="17">
        <v>45.97</v>
      </c>
      <c r="AO123" s="17">
        <v>0</v>
      </c>
      <c r="AP123" s="17">
        <v>703.077</v>
      </c>
      <c r="AQ123" s="17">
        <v>488.697</v>
      </c>
      <c r="AR123" s="17">
        <v>488.697</v>
      </c>
      <c r="AS123" s="17">
        <v>0</v>
      </c>
      <c r="AT123" s="17">
        <v>505.46300000000002</v>
      </c>
      <c r="AU123" s="17">
        <v>11.226000000000001</v>
      </c>
      <c r="AV123" s="17">
        <v>11.297000000000001</v>
      </c>
      <c r="AW123" s="17">
        <v>11.368</v>
      </c>
      <c r="AX123" s="17">
        <v>0.14199999999999999</v>
      </c>
      <c r="AY123" s="17">
        <f t="shared" si="12"/>
        <v>1.3814586214726585</v>
      </c>
      <c r="AZ123" s="17">
        <f t="shared" si="13"/>
        <v>7.7366473988439299</v>
      </c>
    </row>
    <row r="124" spans="1:52" ht="18" customHeight="1" x14ac:dyDescent="0.2">
      <c r="B124" s="27">
        <v>6</v>
      </c>
      <c r="C124" s="17">
        <v>48.205584999999999</v>
      </c>
      <c r="D124" s="17">
        <v>66.561750000000004</v>
      </c>
      <c r="E124" s="17">
        <v>930.55335999999988</v>
      </c>
      <c r="F124" s="17">
        <v>1022.65535</v>
      </c>
      <c r="G124" s="17">
        <v>0.46800000000000003</v>
      </c>
      <c r="H124" s="17">
        <v>0.59299999999999997</v>
      </c>
      <c r="I124" s="17">
        <f t="shared" si="7"/>
        <v>1.0717406061382926</v>
      </c>
      <c r="J124" s="17">
        <f t="shared" si="8"/>
        <v>1.2646875047342574</v>
      </c>
      <c r="K124" s="17">
        <f t="shared" si="9"/>
        <v>5.3091690441740141E-4</v>
      </c>
      <c r="L124" s="17">
        <f t="shared" si="10"/>
        <v>1.3807891761919289</v>
      </c>
      <c r="N124" s="27">
        <v>11.55</v>
      </c>
      <c r="O124" s="27">
        <v>45.47</v>
      </c>
      <c r="P124" s="103">
        <f t="shared" si="11"/>
        <v>44.53</v>
      </c>
      <c r="Z124" s="17">
        <v>5.43</v>
      </c>
      <c r="AA124" s="17">
        <v>66.774000000000001</v>
      </c>
      <c r="AB124" s="17">
        <v>58.116</v>
      </c>
      <c r="AC124" s="17">
        <v>1027.26</v>
      </c>
      <c r="AD124" s="17">
        <v>988.71</v>
      </c>
      <c r="AE124" s="17">
        <v>117.69799999999999</v>
      </c>
      <c r="AF124" s="17">
        <v>108.10299999999999</v>
      </c>
      <c r="AG124" s="17">
        <v>0.15865000000000001</v>
      </c>
      <c r="AH124" s="17">
        <v>6.8559999999999996E-2</v>
      </c>
      <c r="AI124" s="17">
        <v>0.24831</v>
      </c>
      <c r="AJ124" s="17">
        <v>0</v>
      </c>
      <c r="AK124" s="17">
        <v>0.45269999999999999</v>
      </c>
      <c r="AL124" s="17">
        <v>10.11</v>
      </c>
      <c r="AM124" s="17">
        <v>1.4704699999999999</v>
      </c>
      <c r="AN124" s="17">
        <v>45.31</v>
      </c>
      <c r="AO124" s="17">
        <v>0</v>
      </c>
      <c r="AP124" s="17">
        <v>693.16899999999998</v>
      </c>
      <c r="AQ124" s="17">
        <v>487.46</v>
      </c>
      <c r="AR124" s="17">
        <v>487.46</v>
      </c>
      <c r="AS124" s="17">
        <v>0</v>
      </c>
      <c r="AT124" s="17">
        <v>492.815</v>
      </c>
      <c r="AU124" s="17">
        <v>11.368</v>
      </c>
      <c r="AV124" s="17">
        <v>11.438000000000001</v>
      </c>
      <c r="AW124" s="17">
        <v>11.509</v>
      </c>
      <c r="AX124" s="17">
        <v>0.14099999999999999</v>
      </c>
      <c r="AY124" s="17">
        <f t="shared" si="12"/>
        <v>1.3809976836532099</v>
      </c>
      <c r="AZ124" s="17">
        <f t="shared" si="13"/>
        <v>7.7195375722543353</v>
      </c>
    </row>
    <row r="125" spans="1:52" ht="18" customHeight="1" x14ac:dyDescent="0.2">
      <c r="B125" s="27">
        <v>7</v>
      </c>
      <c r="C125" s="17">
        <v>48.331875000000004</v>
      </c>
      <c r="D125" s="17">
        <v>66.744264999999999</v>
      </c>
      <c r="E125" s="17">
        <v>930.77251999999999</v>
      </c>
      <c r="F125" s="17">
        <v>1022.7649299999999</v>
      </c>
      <c r="G125" s="17">
        <v>0.47399999999999998</v>
      </c>
      <c r="H125" s="17">
        <v>0.60099999999999998</v>
      </c>
      <c r="I125" s="17">
        <f t="shared" si="7"/>
        <v>1.0708522382675496</v>
      </c>
      <c r="J125" s="17">
        <f t="shared" si="8"/>
        <v>1.2617426075594211</v>
      </c>
      <c r="K125" s="17">
        <f t="shared" si="9"/>
        <v>4.9170667226113712E-4</v>
      </c>
      <c r="L125" s="17">
        <f t="shared" si="10"/>
        <v>1.3809574944071588</v>
      </c>
      <c r="N125" s="27">
        <v>11.388</v>
      </c>
      <c r="O125" s="27">
        <v>43.81</v>
      </c>
      <c r="P125" s="103">
        <f t="shared" si="11"/>
        <v>46.19</v>
      </c>
      <c r="Z125" s="17">
        <v>5.43</v>
      </c>
      <c r="AA125" s="17">
        <v>66.616</v>
      </c>
      <c r="AB125" s="17">
        <v>58.216000000000001</v>
      </c>
      <c r="AC125" s="17">
        <v>1028.0999999999999</v>
      </c>
      <c r="AD125" s="17">
        <v>990.63</v>
      </c>
      <c r="AE125" s="17">
        <v>117.907</v>
      </c>
      <c r="AF125" s="17">
        <v>108.58</v>
      </c>
      <c r="AG125" s="17">
        <v>0.15862000000000001</v>
      </c>
      <c r="AH125" s="17">
        <v>6.8559999999999996E-2</v>
      </c>
      <c r="AI125" s="17">
        <v>0.24836</v>
      </c>
      <c r="AJ125" s="17">
        <v>0</v>
      </c>
      <c r="AK125" s="17">
        <v>0.44590000000000002</v>
      </c>
      <c r="AL125" s="17">
        <v>10.186</v>
      </c>
      <c r="AM125" s="17">
        <v>1.4708399999999999</v>
      </c>
      <c r="AN125" s="17">
        <v>44.92</v>
      </c>
      <c r="AO125" s="17">
        <v>0</v>
      </c>
      <c r="AP125" s="17">
        <v>683.40899999999999</v>
      </c>
      <c r="AQ125" s="17">
        <v>483.95499999999998</v>
      </c>
      <c r="AR125" s="17">
        <v>483.95499999999998</v>
      </c>
      <c r="AS125" s="17">
        <v>0</v>
      </c>
      <c r="AT125" s="17">
        <v>482.53100000000001</v>
      </c>
      <c r="AU125" s="17">
        <v>11.509</v>
      </c>
      <c r="AV125" s="17">
        <v>11.579000000000001</v>
      </c>
      <c r="AW125" s="17">
        <v>11.648999999999999</v>
      </c>
      <c r="AX125" s="17">
        <v>0.14000000000000001</v>
      </c>
      <c r="AY125" s="17">
        <f t="shared" si="12"/>
        <v>1.3808141945112347</v>
      </c>
      <c r="AZ125" s="17">
        <f t="shared" si="13"/>
        <v>7.7012716763005775</v>
      </c>
    </row>
    <row r="126" spans="1:52" ht="18" customHeight="1" x14ac:dyDescent="0.2">
      <c r="B126" s="27">
        <v>8</v>
      </c>
      <c r="C126" s="17">
        <v>48.442594999999997</v>
      </c>
      <c r="D126" s="17">
        <v>66.927644999999998</v>
      </c>
      <c r="E126" s="17">
        <v>933.45722999999998</v>
      </c>
      <c r="F126" s="17">
        <v>1025.88796</v>
      </c>
      <c r="G126" s="17">
        <v>0.48</v>
      </c>
      <c r="H126" s="17">
        <v>0.61099999999999999</v>
      </c>
      <c r="I126" s="17">
        <f t="shared" si="7"/>
        <v>1.0697877643660223</v>
      </c>
      <c r="J126" s="17">
        <f t="shared" si="8"/>
        <v>1.2571889484904577</v>
      </c>
      <c r="K126" s="17">
        <f t="shared" si="9"/>
        <v>5.00863625780789E-4</v>
      </c>
      <c r="L126" s="17">
        <f t="shared" si="10"/>
        <v>1.3815867007124618</v>
      </c>
      <c r="N126" s="27">
        <v>11.224</v>
      </c>
      <c r="O126" s="27">
        <v>41.94</v>
      </c>
      <c r="P126" s="103">
        <f t="shared" si="11"/>
        <v>48.06</v>
      </c>
      <c r="Z126" s="17">
        <v>5.43</v>
      </c>
      <c r="AA126" s="17">
        <v>66.447000000000003</v>
      </c>
      <c r="AB126" s="17">
        <v>58.31</v>
      </c>
      <c r="AC126" s="17">
        <v>1029.8800000000001</v>
      </c>
      <c r="AD126" s="17">
        <v>993.49</v>
      </c>
      <c r="AE126" s="17">
        <v>118.351</v>
      </c>
      <c r="AF126" s="17">
        <v>109.29</v>
      </c>
      <c r="AG126" s="17">
        <v>0.15842000000000001</v>
      </c>
      <c r="AH126" s="17">
        <v>6.8559999999999996E-2</v>
      </c>
      <c r="AI126" s="17">
        <v>0.24845</v>
      </c>
      <c r="AJ126" s="17">
        <v>0</v>
      </c>
      <c r="AK126" s="17">
        <v>0.43890000000000001</v>
      </c>
      <c r="AL126" s="17">
        <v>10.302</v>
      </c>
      <c r="AM126" s="17">
        <v>1.4714400000000001</v>
      </c>
      <c r="AN126" s="17">
        <v>44.66</v>
      </c>
      <c r="AO126" s="17">
        <v>0</v>
      </c>
      <c r="AP126" s="17">
        <v>673.57899999999995</v>
      </c>
      <c r="AQ126" s="17">
        <v>479.12200000000001</v>
      </c>
      <c r="AR126" s="17">
        <v>479.12200000000001</v>
      </c>
      <c r="AS126" s="17">
        <v>0</v>
      </c>
      <c r="AT126" s="17">
        <v>473.447</v>
      </c>
      <c r="AU126" s="17">
        <v>11.648999999999999</v>
      </c>
      <c r="AV126" s="17">
        <v>11.718999999999999</v>
      </c>
      <c r="AW126" s="17">
        <v>11.789</v>
      </c>
      <c r="AX126" s="17">
        <v>0.14000000000000001</v>
      </c>
      <c r="AY126" s="17">
        <f t="shared" si="12"/>
        <v>1.3808890459070222</v>
      </c>
      <c r="AZ126" s="17">
        <f t="shared" si="13"/>
        <v>7.6817341040462424</v>
      </c>
    </row>
    <row r="127" spans="1:52" ht="18" customHeight="1" x14ac:dyDescent="0.2">
      <c r="B127" s="27">
        <v>9</v>
      </c>
      <c r="C127" s="17">
        <v>48.512659999999997</v>
      </c>
      <c r="D127" s="17">
        <v>67.110160000000008</v>
      </c>
      <c r="E127" s="17">
        <v>938.11437999999998</v>
      </c>
      <c r="F127" s="17">
        <v>1031.4765399999999</v>
      </c>
      <c r="G127" s="17">
        <v>0.48299999999999998</v>
      </c>
      <c r="H127" s="17">
        <v>0.62</v>
      </c>
      <c r="I127" s="17">
        <f t="shared" si="7"/>
        <v>1.068663471155463</v>
      </c>
      <c r="J127" s="17">
        <f t="shared" si="8"/>
        <v>1.2521723129271143</v>
      </c>
      <c r="K127" s="17">
        <f t="shared" si="9"/>
        <v>5.225893905688242E-4</v>
      </c>
      <c r="L127" s="17">
        <f t="shared" si="10"/>
        <v>1.3833535411168962</v>
      </c>
      <c r="N127" s="27">
        <v>11.06</v>
      </c>
      <c r="O127" s="27">
        <v>39.380000000000003</v>
      </c>
      <c r="P127" s="103">
        <f t="shared" si="11"/>
        <v>50.62</v>
      </c>
      <c r="Z127" s="17">
        <v>5.43</v>
      </c>
      <c r="AA127" s="17">
        <v>66.304000000000002</v>
      </c>
      <c r="AB127" s="17">
        <v>58.399000000000001</v>
      </c>
      <c r="AC127" s="17">
        <v>1033.51</v>
      </c>
      <c r="AD127" s="17">
        <v>998.02</v>
      </c>
      <c r="AE127" s="17">
        <v>119.259</v>
      </c>
      <c r="AF127" s="17">
        <v>110.41800000000001</v>
      </c>
      <c r="AG127" s="17">
        <v>0.15794</v>
      </c>
      <c r="AH127" s="17">
        <v>6.8559999999999996E-2</v>
      </c>
      <c r="AI127" s="17">
        <v>0.24858</v>
      </c>
      <c r="AJ127" s="17">
        <v>0</v>
      </c>
      <c r="AK127" s="17">
        <v>0.43259999999999998</v>
      </c>
      <c r="AL127" s="17">
        <v>10.45</v>
      </c>
      <c r="AM127" s="17">
        <v>1.4724699999999999</v>
      </c>
      <c r="AN127" s="17">
        <v>44.6</v>
      </c>
      <c r="AO127" s="17">
        <v>0</v>
      </c>
      <c r="AP127" s="17">
        <v>665.34500000000003</v>
      </c>
      <c r="AQ127" s="17">
        <v>473.75900000000001</v>
      </c>
      <c r="AR127" s="17">
        <v>473.75900000000001</v>
      </c>
      <c r="AS127" s="17">
        <v>0</v>
      </c>
      <c r="AT127" s="17">
        <v>467.15800000000002</v>
      </c>
      <c r="AU127" s="17">
        <v>11.789</v>
      </c>
      <c r="AV127" s="17">
        <v>11.859</v>
      </c>
      <c r="AW127" s="17">
        <v>11.929</v>
      </c>
      <c r="AX127" s="17">
        <v>0.14000000000000001</v>
      </c>
      <c r="AY127" s="17">
        <f t="shared" si="12"/>
        <v>1.3813908912871371</v>
      </c>
      <c r="AZ127" s="17">
        <f t="shared" si="13"/>
        <v>7.665202312138728</v>
      </c>
    </row>
    <row r="128" spans="1:52" ht="18" customHeight="1" x14ac:dyDescent="0.2">
      <c r="B128" s="27">
        <v>10</v>
      </c>
      <c r="C128" s="17">
        <v>48.508335000000002</v>
      </c>
      <c r="D128" s="17">
        <v>67.293540000000007</v>
      </c>
      <c r="E128" s="17">
        <v>948.63405999999998</v>
      </c>
      <c r="F128" s="17">
        <v>1044.0782399999998</v>
      </c>
      <c r="G128" s="17">
        <v>0.48399999999999999</v>
      </c>
      <c r="H128" s="17">
        <v>0.63100000000000001</v>
      </c>
      <c r="I128" s="17">
        <f t="shared" si="7"/>
        <v>1.0671942024584566</v>
      </c>
      <c r="J128" s="17">
        <f t="shared" si="8"/>
        <v>1.2453428999156158</v>
      </c>
      <c r="K128" s="17">
        <f t="shared" si="9"/>
        <v>5.6729315627774939E-4</v>
      </c>
      <c r="L128" s="17">
        <f t="shared" si="10"/>
        <v>1.3872572620767132</v>
      </c>
      <c r="N128" s="27">
        <v>10.891</v>
      </c>
      <c r="O128" s="27">
        <v>37.18</v>
      </c>
      <c r="P128" s="103">
        <f t="shared" si="11"/>
        <v>52.82</v>
      </c>
      <c r="Z128" s="17">
        <v>5.43</v>
      </c>
      <c r="AA128" s="17">
        <v>66.233000000000004</v>
      </c>
      <c r="AB128" s="17">
        <v>58.485999999999997</v>
      </c>
      <c r="AC128" s="17">
        <v>1040.49</v>
      </c>
      <c r="AD128" s="17">
        <v>1005.5</v>
      </c>
      <c r="AE128" s="17">
        <v>121.001</v>
      </c>
      <c r="AF128" s="17">
        <v>112.277</v>
      </c>
      <c r="AG128" s="17">
        <v>0.157</v>
      </c>
      <c r="AH128" s="17">
        <v>6.8559999999999996E-2</v>
      </c>
      <c r="AI128" s="17">
        <v>0.24879999999999999</v>
      </c>
      <c r="AJ128" s="17">
        <v>0</v>
      </c>
      <c r="AK128" s="17">
        <v>0.42820000000000003</v>
      </c>
      <c r="AL128" s="17">
        <v>10.56</v>
      </c>
      <c r="AM128" s="17">
        <v>1.4742200000000001</v>
      </c>
      <c r="AN128" s="17">
        <v>44.47</v>
      </c>
      <c r="AO128" s="17">
        <v>0</v>
      </c>
      <c r="AP128" s="17">
        <v>660.95299999999997</v>
      </c>
      <c r="AQ128" s="17">
        <v>471.63600000000002</v>
      </c>
      <c r="AR128" s="17">
        <v>471.63600000000002</v>
      </c>
      <c r="AS128" s="17">
        <v>0</v>
      </c>
      <c r="AT128" s="17">
        <v>463.053</v>
      </c>
      <c r="AU128" s="17">
        <v>11.929</v>
      </c>
      <c r="AV128" s="17">
        <v>11.999000000000001</v>
      </c>
      <c r="AW128" s="17">
        <v>12.069000000000001</v>
      </c>
      <c r="AX128" s="17">
        <v>0.14000000000000001</v>
      </c>
      <c r="AY128" s="17">
        <f t="shared" si="12"/>
        <v>1.3827348643006265</v>
      </c>
      <c r="AZ128" s="17">
        <f t="shared" si="13"/>
        <v>7.6569942196531793</v>
      </c>
    </row>
    <row r="129" spans="1:52" ht="18" customHeight="1" x14ac:dyDescent="0.2">
      <c r="B129" s="27">
        <v>11</v>
      </c>
      <c r="C129" s="17">
        <v>48.430485000000004</v>
      </c>
      <c r="D129" s="17">
        <v>67.476055000000002</v>
      </c>
      <c r="E129" s="17">
        <v>967.64618999999993</v>
      </c>
      <c r="F129" s="17">
        <v>1066.5969299999999</v>
      </c>
      <c r="G129" s="17">
        <v>0.48399999999999999</v>
      </c>
      <c r="H129" s="17">
        <v>0.64400000000000002</v>
      </c>
      <c r="I129" s="17">
        <f t="shared" si="7"/>
        <v>1.0655195213248536</v>
      </c>
      <c r="J129" s="17">
        <f t="shared" si="8"/>
        <v>1.2373789365840289</v>
      </c>
      <c r="K129" s="17">
        <f t="shared" si="9"/>
        <v>6.3016506846329604E-4</v>
      </c>
      <c r="L129" s="17">
        <f t="shared" si="10"/>
        <v>1.3932558181071282</v>
      </c>
      <c r="N129" s="27">
        <v>10.706</v>
      </c>
      <c r="O129" s="27">
        <v>33.43</v>
      </c>
      <c r="P129" s="103">
        <f t="shared" si="11"/>
        <v>56.57</v>
      </c>
      <c r="Z129" s="17">
        <v>5.43</v>
      </c>
      <c r="AA129" s="17">
        <v>66.17</v>
      </c>
      <c r="AB129" s="17">
        <v>58.570999999999998</v>
      </c>
      <c r="AC129" s="17">
        <v>1053.4100000000001</v>
      </c>
      <c r="AD129" s="17">
        <v>1018.71</v>
      </c>
      <c r="AE129" s="17">
        <v>124.232</v>
      </c>
      <c r="AF129" s="17">
        <v>115.56699999999999</v>
      </c>
      <c r="AG129" s="17">
        <v>0.15518000000000001</v>
      </c>
      <c r="AH129" s="17">
        <v>6.8559999999999996E-2</v>
      </c>
      <c r="AI129" s="17">
        <v>0.24918999999999999</v>
      </c>
      <c r="AJ129" s="17">
        <v>0</v>
      </c>
      <c r="AK129" s="17">
        <v>0.42409999999999998</v>
      </c>
      <c r="AL129" s="17">
        <v>10.811999999999999</v>
      </c>
      <c r="AM129" s="17">
        <v>1.4773700000000001</v>
      </c>
      <c r="AN129" s="17">
        <v>44.97</v>
      </c>
      <c r="AO129" s="17">
        <v>0</v>
      </c>
      <c r="AP129" s="17">
        <v>658.69799999999998</v>
      </c>
      <c r="AQ129" s="17">
        <v>466.01299999999998</v>
      </c>
      <c r="AR129" s="17">
        <v>466.01299999999998</v>
      </c>
      <c r="AS129" s="17">
        <v>0</v>
      </c>
      <c r="AT129" s="17">
        <v>465.52600000000001</v>
      </c>
      <c r="AU129" s="17">
        <v>12.069000000000001</v>
      </c>
      <c r="AV129" s="17">
        <v>12.14</v>
      </c>
      <c r="AW129" s="17">
        <v>12.211</v>
      </c>
      <c r="AX129" s="17">
        <v>0.14199999999999999</v>
      </c>
      <c r="AY129" s="17">
        <f t="shared" si="12"/>
        <v>1.3848021262792207</v>
      </c>
      <c r="AZ129" s="17">
        <f t="shared" si="13"/>
        <v>7.6497109826589593</v>
      </c>
    </row>
    <row r="130" spans="1:52" ht="18" customHeight="1" x14ac:dyDescent="0.2">
      <c r="B130" s="27">
        <v>12</v>
      </c>
      <c r="C130" s="17">
        <v>48.349175000000002</v>
      </c>
      <c r="D130" s="17">
        <v>67.567745000000002</v>
      </c>
      <c r="E130" s="17">
        <v>981.50806</v>
      </c>
      <c r="F130" s="17">
        <v>1083.0339299999998</v>
      </c>
      <c r="G130" s="17">
        <v>0.48299999999999998</v>
      </c>
      <c r="H130" s="17">
        <v>0.65</v>
      </c>
      <c r="I130" s="17">
        <f t="shared" si="7"/>
        <v>1.0649356120243156</v>
      </c>
      <c r="J130" s="17">
        <f t="shared" si="8"/>
        <v>1.2341371051785632</v>
      </c>
      <c r="K130" s="17">
        <f t="shared" si="9"/>
        <v>6.7843903784068488E-4</v>
      </c>
      <c r="L130" s="17">
        <f t="shared" si="10"/>
        <v>1.3974953036944271</v>
      </c>
      <c r="N130" s="27">
        <v>10.598000000000001</v>
      </c>
      <c r="O130" s="27">
        <v>30.97</v>
      </c>
      <c r="P130" s="103">
        <f t="shared" si="11"/>
        <v>59.03</v>
      </c>
      <c r="Z130" s="17">
        <v>5.43</v>
      </c>
      <c r="AA130" s="17">
        <v>65.960999999999999</v>
      </c>
      <c r="AB130" s="17">
        <v>58.656999999999996</v>
      </c>
      <c r="AC130" s="17">
        <v>1078.68</v>
      </c>
      <c r="AD130" s="17">
        <v>1044.58</v>
      </c>
      <c r="AE130" s="17">
        <v>130.56299999999999</v>
      </c>
      <c r="AF130" s="17">
        <v>122.02200000000001</v>
      </c>
      <c r="AG130" s="17">
        <v>0.15156</v>
      </c>
      <c r="AH130" s="17">
        <v>6.8559999999999996E-2</v>
      </c>
      <c r="AI130" s="17">
        <v>0.24995999999999999</v>
      </c>
      <c r="AJ130" s="17">
        <v>0</v>
      </c>
      <c r="AK130" s="17">
        <v>0.41599999999999998</v>
      </c>
      <c r="AL130" s="17">
        <v>11.391</v>
      </c>
      <c r="AM130" s="17">
        <v>1.48353</v>
      </c>
      <c r="AN130" s="17">
        <v>46.17</v>
      </c>
      <c r="AO130" s="17">
        <v>0</v>
      </c>
      <c r="AP130" s="17">
        <v>653.96199999999999</v>
      </c>
      <c r="AQ130" s="17">
        <v>452.91500000000002</v>
      </c>
      <c r="AR130" s="17">
        <v>452.91500000000002</v>
      </c>
      <c r="AS130" s="17">
        <v>0</v>
      </c>
      <c r="AT130" s="17">
        <v>471.73599999999999</v>
      </c>
      <c r="AU130" s="17">
        <v>12.211</v>
      </c>
      <c r="AV130" s="17">
        <v>12.284000000000001</v>
      </c>
      <c r="AW130" s="17">
        <v>12.358000000000001</v>
      </c>
      <c r="AX130" s="17">
        <v>0.14799999999999999</v>
      </c>
      <c r="AY130" s="17">
        <f t="shared" si="12"/>
        <v>1.3877469440996402</v>
      </c>
      <c r="AZ130" s="17">
        <f t="shared" si="13"/>
        <v>7.6255491329479765</v>
      </c>
    </row>
    <row r="131" spans="1:52" s="96" customFormat="1" ht="18" customHeight="1" x14ac:dyDescent="0.2">
      <c r="A131" s="94" t="s">
        <v>122</v>
      </c>
      <c r="B131" s="97"/>
      <c r="C131" s="95"/>
      <c r="D131" s="95"/>
      <c r="E131" s="95"/>
      <c r="F131" s="95"/>
      <c r="G131" s="95"/>
      <c r="H131" s="95"/>
      <c r="I131" s="95"/>
      <c r="J131" s="95"/>
      <c r="K131" s="95"/>
      <c r="L131" s="95"/>
      <c r="M131" s="95"/>
      <c r="N131" s="97"/>
      <c r="O131" s="97"/>
      <c r="P131" s="102"/>
      <c r="Z131" s="95">
        <v>0</v>
      </c>
      <c r="AA131" s="95">
        <v>0</v>
      </c>
      <c r="AB131" s="95">
        <v>0</v>
      </c>
      <c r="AC131" s="95">
        <v>0</v>
      </c>
      <c r="AD131" s="95">
        <v>0</v>
      </c>
      <c r="AE131" s="95">
        <v>0</v>
      </c>
      <c r="AF131" s="95">
        <v>0</v>
      </c>
      <c r="AG131" s="95">
        <v>0</v>
      </c>
      <c r="AH131" s="95">
        <v>0</v>
      </c>
      <c r="AI131" s="95">
        <v>0</v>
      </c>
      <c r="AJ131" s="95">
        <v>0</v>
      </c>
      <c r="AK131" s="95">
        <v>0</v>
      </c>
      <c r="AL131" s="95">
        <v>0</v>
      </c>
      <c r="AM131" s="95">
        <v>0</v>
      </c>
      <c r="AN131" s="95">
        <v>0</v>
      </c>
      <c r="AO131" s="95">
        <v>0</v>
      </c>
      <c r="AP131" s="95">
        <v>0</v>
      </c>
      <c r="AQ131" s="95">
        <v>0</v>
      </c>
      <c r="AR131" s="95">
        <v>0</v>
      </c>
      <c r="AS131" s="95">
        <v>0</v>
      </c>
      <c r="AT131" s="95">
        <v>0</v>
      </c>
      <c r="AU131" s="95">
        <v>0</v>
      </c>
      <c r="AV131" s="95">
        <v>0</v>
      </c>
      <c r="AW131" s="95">
        <v>0</v>
      </c>
      <c r="AX131" s="95">
        <v>0</v>
      </c>
      <c r="AY131" s="95"/>
      <c r="AZ131" s="95">
        <f t="shared" si="13"/>
        <v>0</v>
      </c>
    </row>
    <row r="132" spans="1:52" s="96" customFormat="1" ht="18" customHeight="1" x14ac:dyDescent="0.2">
      <c r="A132" s="97"/>
      <c r="B132" s="97">
        <v>1</v>
      </c>
      <c r="C132" s="95">
        <v>65.73827</v>
      </c>
      <c r="D132" s="95">
        <v>64.773795000000007</v>
      </c>
      <c r="E132" s="95">
        <v>1096.4026900000001</v>
      </c>
      <c r="F132" s="95">
        <v>1096.4026900000001</v>
      </c>
      <c r="G132" s="95">
        <v>0.56999999999999995</v>
      </c>
      <c r="H132" s="95">
        <v>0.36499999999999999</v>
      </c>
      <c r="I132" s="95">
        <f t="shared" ref="I132:I194" si="14">F132/E132*((1+0.2*G132^2)/(1+0.2*H132^2))</f>
        <v>1.0373400737353224</v>
      </c>
      <c r="J132" s="95">
        <f t="shared" ref="J132:J194" si="15">D132/C132*((1+0.2*G132^2)^(1.4/0.4)/(1+0.2*H132^2)^(1.4/0.4))</f>
        <v>1.1202246273953256</v>
      </c>
      <c r="K132" s="95">
        <f t="shared" ref="K132:K194" si="16">0.24 * LN(I132) - 0.06855 * LN(J132)</f>
        <v>1.015927307256948E-3</v>
      </c>
      <c r="L132" s="95">
        <f t="shared" ref="L132:L194" si="17">D132/C132</f>
        <v>0.98532856127792845</v>
      </c>
      <c r="M132" s="95"/>
      <c r="N132" s="97">
        <v>12.24</v>
      </c>
      <c r="O132" s="97">
        <v>31.7</v>
      </c>
      <c r="P132" s="102">
        <f t="shared" ref="P132:P194" si="18">90-O132</f>
        <v>58.3</v>
      </c>
      <c r="Z132" s="95">
        <v>5.43</v>
      </c>
      <c r="AA132" s="95">
        <v>66.293999999999997</v>
      </c>
      <c r="AB132" s="95">
        <v>60.468000000000004</v>
      </c>
      <c r="AC132" s="95">
        <v>1050.1099999999999</v>
      </c>
      <c r="AD132" s="95">
        <v>1023.92</v>
      </c>
      <c r="AE132" s="95">
        <v>123.405</v>
      </c>
      <c r="AF132" s="95">
        <v>116.86499999999999</v>
      </c>
      <c r="AG132" s="95">
        <v>0.15939999999999999</v>
      </c>
      <c r="AH132" s="95">
        <v>6.8559999999999996E-2</v>
      </c>
      <c r="AI132" s="95">
        <v>0.24934000000000001</v>
      </c>
      <c r="AJ132" s="95">
        <v>0</v>
      </c>
      <c r="AK132" s="95">
        <v>0.36759999999999998</v>
      </c>
      <c r="AL132" s="95">
        <v>9.5459999999999994</v>
      </c>
      <c r="AM132" s="95">
        <v>1.4764600000000001</v>
      </c>
      <c r="AN132" s="95">
        <v>26.11</v>
      </c>
      <c r="AO132" s="95">
        <v>0</v>
      </c>
      <c r="AP132" s="95">
        <v>572.28499999999997</v>
      </c>
      <c r="AQ132" s="95">
        <v>513.90200000000004</v>
      </c>
      <c r="AR132" s="95">
        <v>513.90200000000004</v>
      </c>
      <c r="AS132" s="95">
        <v>0</v>
      </c>
      <c r="AT132" s="95">
        <v>251.82400000000001</v>
      </c>
      <c r="AU132" s="95">
        <v>10.659000000000001</v>
      </c>
      <c r="AV132" s="95">
        <v>10.728999999999999</v>
      </c>
      <c r="AW132" s="95">
        <v>10.8</v>
      </c>
      <c r="AX132" s="95">
        <v>0.14199999999999999</v>
      </c>
      <c r="AY132" s="95">
        <f t="shared" si="12"/>
        <v>0.9817551757841424</v>
      </c>
      <c r="AZ132" s="95">
        <f t="shared" si="13"/>
        <v>7.6640462427745657</v>
      </c>
    </row>
    <row r="133" spans="1:52" s="96" customFormat="1" ht="18" customHeight="1" x14ac:dyDescent="0.2">
      <c r="A133" s="97"/>
      <c r="B133" s="97">
        <v>2</v>
      </c>
      <c r="C133" s="95">
        <v>65.875805</v>
      </c>
      <c r="D133" s="95">
        <v>65.061840000000004</v>
      </c>
      <c r="E133" s="95">
        <v>1062.48768</v>
      </c>
      <c r="F133" s="95">
        <v>1062.48768</v>
      </c>
      <c r="G133" s="95">
        <v>0.57699999999999996</v>
      </c>
      <c r="H133" s="95">
        <v>0.378</v>
      </c>
      <c r="I133" s="95">
        <f t="shared" si="14"/>
        <v>1.0369530014676589</v>
      </c>
      <c r="J133" s="95">
        <f t="shared" si="15"/>
        <v>1.1213912460299289</v>
      </c>
      <c r="K133" s="95">
        <f t="shared" si="16"/>
        <v>8.550053365675124E-4</v>
      </c>
      <c r="L133" s="95">
        <f t="shared" si="17"/>
        <v>0.98764394605879968</v>
      </c>
      <c r="M133" s="95"/>
      <c r="N133" s="97">
        <v>12.103999999999999</v>
      </c>
      <c r="O133" s="97">
        <v>25.48</v>
      </c>
      <c r="P133" s="102">
        <f t="shared" si="18"/>
        <v>64.52</v>
      </c>
      <c r="Z133" s="95">
        <v>5.43</v>
      </c>
      <c r="AA133" s="95">
        <v>66.331000000000003</v>
      </c>
      <c r="AB133" s="95">
        <v>60.491999999999997</v>
      </c>
      <c r="AC133" s="95">
        <v>1039.44</v>
      </c>
      <c r="AD133" s="95">
        <v>1013.44</v>
      </c>
      <c r="AE133" s="95">
        <v>120.738</v>
      </c>
      <c r="AF133" s="95">
        <v>114.253</v>
      </c>
      <c r="AG133" s="95">
        <v>0.16111</v>
      </c>
      <c r="AH133" s="95">
        <v>6.8559999999999996E-2</v>
      </c>
      <c r="AI133" s="95">
        <v>0.24903</v>
      </c>
      <c r="AJ133" s="95">
        <v>0</v>
      </c>
      <c r="AK133" s="95">
        <v>0.36780000000000002</v>
      </c>
      <c r="AL133" s="95">
        <v>9.1829999999999998</v>
      </c>
      <c r="AM133" s="95">
        <v>1.47387</v>
      </c>
      <c r="AN133" s="95">
        <v>21.96</v>
      </c>
      <c r="AO133" s="95">
        <v>0</v>
      </c>
      <c r="AP133" s="95">
        <v>569.87</v>
      </c>
      <c r="AQ133" s="95">
        <v>528.53800000000001</v>
      </c>
      <c r="AR133" s="95">
        <v>528.53800000000001</v>
      </c>
      <c r="AS133" s="95">
        <v>0</v>
      </c>
      <c r="AT133" s="95">
        <v>213.07300000000001</v>
      </c>
      <c r="AU133" s="95">
        <v>10.8</v>
      </c>
      <c r="AV133" s="95">
        <v>10.867000000000001</v>
      </c>
      <c r="AW133" s="95">
        <v>10.935</v>
      </c>
      <c r="AX133" s="95">
        <v>0.13400000000000001</v>
      </c>
      <c r="AY133" s="95">
        <f t="shared" si="12"/>
        <v>0.98525043075277774</v>
      </c>
      <c r="AZ133" s="95">
        <f t="shared" si="13"/>
        <v>7.6683236994219657</v>
      </c>
    </row>
    <row r="134" spans="1:52" s="96" customFormat="1" ht="18" customHeight="1" x14ac:dyDescent="0.2">
      <c r="A134" s="97"/>
      <c r="B134" s="97">
        <v>3</v>
      </c>
      <c r="C134" s="95">
        <v>66.012475000000009</v>
      </c>
      <c r="D134" s="95">
        <v>65.290199999999999</v>
      </c>
      <c r="E134" s="95">
        <v>1042.3249599999999</v>
      </c>
      <c r="F134" s="95">
        <v>1042.3249599999999</v>
      </c>
      <c r="G134" s="95">
        <v>0.58199999999999996</v>
      </c>
      <c r="H134" s="95">
        <v>0.38700000000000001</v>
      </c>
      <c r="I134" s="95">
        <f t="shared" si="14"/>
        <v>1.0366919370558176</v>
      </c>
      <c r="J134" s="95">
        <f t="shared" si="15"/>
        <v>1.1220081349307423</v>
      </c>
      <c r="K134" s="95">
        <f t="shared" si="16"/>
        <v>7.5687537495030231E-4</v>
      </c>
      <c r="L134" s="95">
        <f t="shared" si="17"/>
        <v>0.98905850750180158</v>
      </c>
      <c r="M134" s="95"/>
      <c r="N134" s="97">
        <v>11.98</v>
      </c>
      <c r="O134" s="97">
        <v>21.97</v>
      </c>
      <c r="P134" s="102">
        <f t="shared" si="18"/>
        <v>68.03</v>
      </c>
      <c r="Z134" s="95">
        <v>5.43</v>
      </c>
      <c r="AA134" s="95">
        <v>66.38</v>
      </c>
      <c r="AB134" s="95">
        <v>60.509</v>
      </c>
      <c r="AC134" s="95">
        <v>1032.9000000000001</v>
      </c>
      <c r="AD134" s="95">
        <v>1006.92</v>
      </c>
      <c r="AE134" s="95">
        <v>119.105</v>
      </c>
      <c r="AF134" s="95">
        <v>112.63</v>
      </c>
      <c r="AG134" s="95">
        <v>0.16220000000000001</v>
      </c>
      <c r="AH134" s="95">
        <v>6.8559999999999996E-2</v>
      </c>
      <c r="AI134" s="95">
        <v>0.24884000000000001</v>
      </c>
      <c r="AJ134" s="95">
        <v>0</v>
      </c>
      <c r="AK134" s="95">
        <v>0.36870000000000003</v>
      </c>
      <c r="AL134" s="95">
        <v>9.0069999999999997</v>
      </c>
      <c r="AM134" s="95">
        <v>1.47224</v>
      </c>
      <c r="AN134" s="95">
        <v>19.97</v>
      </c>
      <c r="AO134" s="95">
        <v>0</v>
      </c>
      <c r="AP134" s="95">
        <v>569.44100000000003</v>
      </c>
      <c r="AQ134" s="95">
        <v>535.20799999999997</v>
      </c>
      <c r="AR134" s="95">
        <v>535.20799999999997</v>
      </c>
      <c r="AS134" s="95">
        <v>0</v>
      </c>
      <c r="AT134" s="95">
        <v>194.46100000000001</v>
      </c>
      <c r="AU134" s="95">
        <v>10.935</v>
      </c>
      <c r="AV134" s="95">
        <v>11</v>
      </c>
      <c r="AW134" s="95">
        <v>11.065</v>
      </c>
      <c r="AX134" s="95">
        <v>0.13</v>
      </c>
      <c r="AY134" s="95">
        <f t="shared" si="12"/>
        <v>0.98779761904761898</v>
      </c>
      <c r="AZ134" s="95">
        <f t="shared" si="13"/>
        <v>7.6739884393063571</v>
      </c>
    </row>
    <row r="135" spans="1:52" s="96" customFormat="1" ht="18" customHeight="1" x14ac:dyDescent="0.2">
      <c r="A135" s="97"/>
      <c r="B135" s="97">
        <v>4</v>
      </c>
      <c r="C135" s="95">
        <v>66.195855000000009</v>
      </c>
      <c r="D135" s="95">
        <v>65.552295000000001</v>
      </c>
      <c r="E135" s="95">
        <v>1029.2301500000001</v>
      </c>
      <c r="F135" s="95">
        <v>1029.2301500000001</v>
      </c>
      <c r="G135" s="95">
        <v>0.58899999999999997</v>
      </c>
      <c r="H135" s="95">
        <v>0.39700000000000002</v>
      </c>
      <c r="I135" s="95">
        <f t="shared" si="14"/>
        <v>1.0367053803419375</v>
      </c>
      <c r="J135" s="95">
        <f t="shared" si="15"/>
        <v>1.1234424725769894</v>
      </c>
      <c r="K135" s="95">
        <f t="shared" si="16"/>
        <v>6.7241149052662402E-4</v>
      </c>
      <c r="L135" s="95">
        <f t="shared" si="17"/>
        <v>0.99027794111882073</v>
      </c>
      <c r="M135" s="95"/>
      <c r="N135" s="97">
        <v>11.823</v>
      </c>
      <c r="O135" s="97">
        <v>19.760000000000002</v>
      </c>
      <c r="P135" s="102">
        <f t="shared" si="18"/>
        <v>70.239999999999995</v>
      </c>
      <c r="Z135" s="95">
        <v>5.43</v>
      </c>
      <c r="AA135" s="95">
        <v>66.373000000000005</v>
      </c>
      <c r="AB135" s="95">
        <v>60.524000000000001</v>
      </c>
      <c r="AC135" s="95">
        <v>1029.33</v>
      </c>
      <c r="AD135" s="95">
        <v>1003.52</v>
      </c>
      <c r="AE135" s="95">
        <v>118.21299999999999</v>
      </c>
      <c r="AF135" s="95">
        <v>111.78400000000001</v>
      </c>
      <c r="AG135" s="95">
        <v>0.16278999999999999</v>
      </c>
      <c r="AH135" s="95">
        <v>6.8559999999999996E-2</v>
      </c>
      <c r="AI135" s="95">
        <v>0.24873999999999999</v>
      </c>
      <c r="AJ135" s="95">
        <v>0</v>
      </c>
      <c r="AK135" s="95">
        <v>0.3679</v>
      </c>
      <c r="AL135" s="95">
        <v>8.9689999999999994</v>
      </c>
      <c r="AM135" s="95">
        <v>1.4713799999999999</v>
      </c>
      <c r="AN135" s="95">
        <v>19.28</v>
      </c>
      <c r="AO135" s="95">
        <v>0</v>
      </c>
      <c r="AP135" s="95">
        <v>567.37199999999996</v>
      </c>
      <c r="AQ135" s="95">
        <v>535.55200000000002</v>
      </c>
      <c r="AR135" s="95">
        <v>535.55200000000002</v>
      </c>
      <c r="AS135" s="95">
        <v>0</v>
      </c>
      <c r="AT135" s="95">
        <v>187.33500000000001</v>
      </c>
      <c r="AU135" s="95">
        <v>11.065</v>
      </c>
      <c r="AV135" s="95">
        <v>11.129</v>
      </c>
      <c r="AW135" s="95">
        <v>11.193</v>
      </c>
      <c r="AX135" s="95">
        <v>0.128</v>
      </c>
      <c r="AY135" s="95">
        <f t="shared" si="12"/>
        <v>0.98932760959322696</v>
      </c>
      <c r="AZ135" s="95">
        <f t="shared" si="13"/>
        <v>7.6731791907514451</v>
      </c>
    </row>
    <row r="136" spans="1:52" s="96" customFormat="1" ht="18" customHeight="1" x14ac:dyDescent="0.2">
      <c r="A136" s="97"/>
      <c r="B136" s="97">
        <v>5</v>
      </c>
      <c r="C136" s="95">
        <v>66.378370000000004</v>
      </c>
      <c r="D136" s="95">
        <v>65.758165000000005</v>
      </c>
      <c r="E136" s="95">
        <v>1024.07989</v>
      </c>
      <c r="F136" s="95">
        <v>1024.07989</v>
      </c>
      <c r="G136" s="95">
        <v>0.59599999999999997</v>
      </c>
      <c r="H136" s="95">
        <v>0.40500000000000003</v>
      </c>
      <c r="I136" s="95">
        <f t="shared" si="14"/>
        <v>1.0370236395060055</v>
      </c>
      <c r="J136" s="95">
        <f t="shared" si="15"/>
        <v>1.125079987461657</v>
      </c>
      <c r="K136" s="95">
        <f t="shared" si="16"/>
        <v>6.4623318586450214E-4</v>
      </c>
      <c r="L136" s="95">
        <f t="shared" si="17"/>
        <v>0.99065651958612422</v>
      </c>
      <c r="M136" s="95"/>
      <c r="N136" s="97">
        <v>11.669</v>
      </c>
      <c r="O136" s="97">
        <v>19.190000000000001</v>
      </c>
      <c r="P136" s="102">
        <f t="shared" si="18"/>
        <v>70.81</v>
      </c>
      <c r="Z136" s="95">
        <v>5.43</v>
      </c>
      <c r="AA136" s="95">
        <v>66.259</v>
      </c>
      <c r="AB136" s="95">
        <v>60.537999999999997</v>
      </c>
      <c r="AC136" s="95">
        <v>1027.54</v>
      </c>
      <c r="AD136" s="95">
        <v>1002.31</v>
      </c>
      <c r="AE136" s="95">
        <v>117.767</v>
      </c>
      <c r="AF136" s="95">
        <v>111.483</v>
      </c>
      <c r="AG136" s="95">
        <v>0.16302</v>
      </c>
      <c r="AH136" s="95">
        <v>6.8559999999999996E-2</v>
      </c>
      <c r="AI136" s="95">
        <v>0.24870999999999999</v>
      </c>
      <c r="AJ136" s="95">
        <v>0</v>
      </c>
      <c r="AK136" s="95">
        <v>0.36399999999999999</v>
      </c>
      <c r="AL136" s="95">
        <v>9.0519999999999996</v>
      </c>
      <c r="AM136" s="95">
        <v>1.4710700000000001</v>
      </c>
      <c r="AN136" s="95">
        <v>19.16</v>
      </c>
      <c r="AO136" s="95">
        <v>0</v>
      </c>
      <c r="AP136" s="95">
        <v>560.93299999999999</v>
      </c>
      <c r="AQ136" s="95">
        <v>529.85299999999995</v>
      </c>
      <c r="AR136" s="95">
        <v>529.85299999999995</v>
      </c>
      <c r="AS136" s="95">
        <v>0</v>
      </c>
      <c r="AT136" s="95">
        <v>184.12299999999999</v>
      </c>
      <c r="AU136" s="95">
        <v>11.193</v>
      </c>
      <c r="AV136" s="95">
        <v>11.257</v>
      </c>
      <c r="AW136" s="95">
        <v>11.321</v>
      </c>
      <c r="AX136" s="95">
        <v>0.128</v>
      </c>
      <c r="AY136" s="95">
        <f t="shared" si="12"/>
        <v>0.99009294402438663</v>
      </c>
      <c r="AZ136" s="95">
        <f t="shared" si="13"/>
        <v>7.66</v>
      </c>
    </row>
    <row r="137" spans="1:52" s="96" customFormat="1" ht="18" customHeight="1" x14ac:dyDescent="0.2">
      <c r="A137" s="97"/>
      <c r="B137" s="97">
        <v>6</v>
      </c>
      <c r="C137" s="95">
        <v>66.561750000000004</v>
      </c>
      <c r="D137" s="95">
        <v>65.937219999999996</v>
      </c>
      <c r="E137" s="95">
        <v>1022.65535</v>
      </c>
      <c r="F137" s="95">
        <v>1022.65535</v>
      </c>
      <c r="G137" s="95">
        <v>0.60299999999999998</v>
      </c>
      <c r="H137" s="95">
        <v>0.41099999999999998</v>
      </c>
      <c r="I137" s="95">
        <f t="shared" si="14"/>
        <v>1.0376651142472482</v>
      </c>
      <c r="J137" s="95">
        <f t="shared" si="15"/>
        <v>1.1274730193786122</v>
      </c>
      <c r="K137" s="95">
        <f t="shared" si="16"/>
        <v>6.4899458834009015E-4</v>
      </c>
      <c r="L137" s="95">
        <f t="shared" si="17"/>
        <v>0.99061728395061721</v>
      </c>
      <c r="M137" s="95"/>
      <c r="N137" s="97">
        <v>11.516</v>
      </c>
      <c r="O137" s="97">
        <v>19.190000000000001</v>
      </c>
      <c r="P137" s="102">
        <f t="shared" si="18"/>
        <v>70.81</v>
      </c>
      <c r="Z137" s="95">
        <v>5.43</v>
      </c>
      <c r="AA137" s="95">
        <v>66.135999999999996</v>
      </c>
      <c r="AB137" s="95">
        <v>60.551000000000002</v>
      </c>
      <c r="AC137" s="95">
        <v>1027.26</v>
      </c>
      <c r="AD137" s="95">
        <v>1002.61</v>
      </c>
      <c r="AE137" s="95">
        <v>117.69799999999999</v>
      </c>
      <c r="AF137" s="95">
        <v>111.559</v>
      </c>
      <c r="AG137" s="95">
        <v>0.16300999999999999</v>
      </c>
      <c r="AH137" s="95">
        <v>6.8559999999999996E-2</v>
      </c>
      <c r="AI137" s="95">
        <v>0.24870999999999999</v>
      </c>
      <c r="AJ137" s="95">
        <v>0</v>
      </c>
      <c r="AK137" s="95">
        <v>0.35970000000000002</v>
      </c>
      <c r="AL137" s="95">
        <v>9.1609999999999996</v>
      </c>
      <c r="AM137" s="95">
        <v>1.47113</v>
      </c>
      <c r="AN137" s="95">
        <v>19.2</v>
      </c>
      <c r="AO137" s="95">
        <v>0</v>
      </c>
      <c r="AP137" s="95">
        <v>554.45799999999997</v>
      </c>
      <c r="AQ137" s="95">
        <v>523.62400000000002</v>
      </c>
      <c r="AR137" s="95">
        <v>523.62400000000002</v>
      </c>
      <c r="AS137" s="95">
        <v>0</v>
      </c>
      <c r="AT137" s="95">
        <v>182.32300000000001</v>
      </c>
      <c r="AU137" s="95">
        <v>11.321</v>
      </c>
      <c r="AV137" s="95">
        <v>11.385</v>
      </c>
      <c r="AW137" s="95">
        <v>11.449</v>
      </c>
      <c r="AX137" s="95">
        <v>0.128</v>
      </c>
      <c r="AY137" s="95">
        <f t="shared" si="12"/>
        <v>0.99044538293347706</v>
      </c>
      <c r="AZ137" s="95">
        <f t="shared" si="13"/>
        <v>7.6457803468208088</v>
      </c>
    </row>
    <row r="138" spans="1:52" s="96" customFormat="1" ht="18" customHeight="1" x14ac:dyDescent="0.2">
      <c r="A138" s="97"/>
      <c r="B138" s="97">
        <v>7</v>
      </c>
      <c r="C138" s="95">
        <v>66.744264999999999</v>
      </c>
      <c r="D138" s="95">
        <v>66.104165000000009</v>
      </c>
      <c r="E138" s="95">
        <v>1022.7649299999999</v>
      </c>
      <c r="F138" s="95">
        <v>1022.7649299999999</v>
      </c>
      <c r="G138" s="95">
        <v>0.61199999999999999</v>
      </c>
      <c r="H138" s="95">
        <v>0.41599999999999998</v>
      </c>
      <c r="I138" s="95">
        <f t="shared" si="14"/>
        <v>1.0389495106954187</v>
      </c>
      <c r="J138" s="95">
        <f t="shared" si="15"/>
        <v>1.1321277064315807</v>
      </c>
      <c r="K138" s="95">
        <f t="shared" si="16"/>
        <v>6.6345609565726313E-4</v>
      </c>
      <c r="L138" s="95">
        <f t="shared" si="17"/>
        <v>0.99040966291261145</v>
      </c>
      <c r="M138" s="95"/>
      <c r="N138" s="97">
        <v>11.363</v>
      </c>
      <c r="O138" s="97">
        <v>19.2</v>
      </c>
      <c r="P138" s="102">
        <f t="shared" si="18"/>
        <v>70.8</v>
      </c>
      <c r="Z138" s="95">
        <v>5.43</v>
      </c>
      <c r="AA138" s="95">
        <v>65.991</v>
      </c>
      <c r="AB138" s="95">
        <v>60.564</v>
      </c>
      <c r="AC138" s="95">
        <v>1028.0999999999999</v>
      </c>
      <c r="AD138" s="95">
        <v>1004.1</v>
      </c>
      <c r="AE138" s="95">
        <v>117.907</v>
      </c>
      <c r="AF138" s="95">
        <v>111.928</v>
      </c>
      <c r="AG138" s="95">
        <v>0.1628</v>
      </c>
      <c r="AH138" s="95">
        <v>6.8559999999999996E-2</v>
      </c>
      <c r="AI138" s="95">
        <v>0.24876000000000001</v>
      </c>
      <c r="AJ138" s="95">
        <v>0</v>
      </c>
      <c r="AK138" s="95">
        <v>0.35470000000000002</v>
      </c>
      <c r="AL138" s="95">
        <v>9.2940000000000005</v>
      </c>
      <c r="AM138" s="95">
        <v>1.4714799999999999</v>
      </c>
      <c r="AN138" s="95">
        <v>19.190000000000001</v>
      </c>
      <c r="AO138" s="95">
        <v>0</v>
      </c>
      <c r="AP138" s="95">
        <v>547.149</v>
      </c>
      <c r="AQ138" s="95">
        <v>516.74599999999998</v>
      </c>
      <c r="AR138" s="95">
        <v>516.74599999999998</v>
      </c>
      <c r="AS138" s="95">
        <v>0</v>
      </c>
      <c r="AT138" s="95">
        <v>179.84899999999999</v>
      </c>
      <c r="AU138" s="95">
        <v>11.449</v>
      </c>
      <c r="AV138" s="95">
        <v>11.513999999999999</v>
      </c>
      <c r="AW138" s="95">
        <v>11.577999999999999</v>
      </c>
      <c r="AX138" s="95">
        <v>0.128</v>
      </c>
      <c r="AY138" s="95">
        <f t="shared" si="12"/>
        <v>0.99061786958088149</v>
      </c>
      <c r="AZ138" s="95">
        <f t="shared" si="13"/>
        <v>7.6290173410404618</v>
      </c>
    </row>
    <row r="139" spans="1:52" s="96" customFormat="1" ht="18" customHeight="1" x14ac:dyDescent="0.2">
      <c r="A139" s="97"/>
      <c r="B139" s="97">
        <v>8</v>
      </c>
      <c r="C139" s="95">
        <v>66.927644999999998</v>
      </c>
      <c r="D139" s="95">
        <v>66.252944999999997</v>
      </c>
      <c r="E139" s="95">
        <v>1025.88796</v>
      </c>
      <c r="F139" s="95">
        <v>1025.88796</v>
      </c>
      <c r="G139" s="95">
        <v>0.62</v>
      </c>
      <c r="H139" s="95">
        <v>0.42099999999999999</v>
      </c>
      <c r="I139" s="95">
        <f t="shared" si="14"/>
        <v>1.0400133970970253</v>
      </c>
      <c r="J139" s="95">
        <f t="shared" si="15"/>
        <v>1.1356275303936594</v>
      </c>
      <c r="K139" s="95">
        <f t="shared" si="16"/>
        <v>6.9750440253319931E-4</v>
      </c>
      <c r="L139" s="95">
        <f t="shared" si="17"/>
        <v>0.98991896397968282</v>
      </c>
      <c r="M139" s="95"/>
      <c r="N139" s="97">
        <v>11.21</v>
      </c>
      <c r="O139" s="97">
        <v>19.14</v>
      </c>
      <c r="P139" s="102">
        <f t="shared" si="18"/>
        <v>70.86</v>
      </c>
      <c r="Z139" s="95">
        <v>5.43</v>
      </c>
      <c r="AA139" s="95">
        <v>65.825999999999993</v>
      </c>
      <c r="AB139" s="95">
        <v>60.576999999999998</v>
      </c>
      <c r="AC139" s="95">
        <v>1029.8800000000001</v>
      </c>
      <c r="AD139" s="95">
        <v>1006.59</v>
      </c>
      <c r="AE139" s="95">
        <v>118.351</v>
      </c>
      <c r="AF139" s="95">
        <v>112.54900000000001</v>
      </c>
      <c r="AG139" s="95">
        <v>0.16242999999999999</v>
      </c>
      <c r="AH139" s="95">
        <v>6.8559999999999996E-2</v>
      </c>
      <c r="AI139" s="95">
        <v>0.24883</v>
      </c>
      <c r="AJ139" s="95">
        <v>0</v>
      </c>
      <c r="AK139" s="95">
        <v>0.34899999999999998</v>
      </c>
      <c r="AL139" s="95">
        <v>9.4559999999999995</v>
      </c>
      <c r="AM139" s="95">
        <v>1.4720800000000001</v>
      </c>
      <c r="AN139" s="95">
        <v>19.190000000000001</v>
      </c>
      <c r="AO139" s="95">
        <v>0</v>
      </c>
      <c r="AP139" s="95">
        <v>539.00400000000002</v>
      </c>
      <c r="AQ139" s="95">
        <v>509.05399999999997</v>
      </c>
      <c r="AR139" s="95">
        <v>509.05399999999997</v>
      </c>
      <c r="AS139" s="95">
        <v>0</v>
      </c>
      <c r="AT139" s="95">
        <v>177.172</v>
      </c>
      <c r="AU139" s="95">
        <v>11.577999999999999</v>
      </c>
      <c r="AV139" s="95">
        <v>11.641999999999999</v>
      </c>
      <c r="AW139" s="95">
        <v>11.707000000000001</v>
      </c>
      <c r="AX139" s="95">
        <v>0.129</v>
      </c>
      <c r="AY139" s="95">
        <f t="shared" si="12"/>
        <v>0.99065420560747652</v>
      </c>
      <c r="AZ139" s="95">
        <f t="shared" si="13"/>
        <v>7.609942196531791</v>
      </c>
    </row>
    <row r="140" spans="1:52" s="96" customFormat="1" ht="18" customHeight="1" x14ac:dyDescent="0.2">
      <c r="A140" s="97"/>
      <c r="B140" s="97">
        <v>9</v>
      </c>
      <c r="C140" s="95">
        <v>67.110160000000008</v>
      </c>
      <c r="D140" s="95">
        <v>66.351555000000005</v>
      </c>
      <c r="E140" s="95">
        <v>1031.4765399999999</v>
      </c>
      <c r="F140" s="95">
        <v>1031.4765399999999</v>
      </c>
      <c r="G140" s="95">
        <v>0.63</v>
      </c>
      <c r="H140" s="95">
        <v>0.42299999999999999</v>
      </c>
      <c r="I140" s="95">
        <f t="shared" si="14"/>
        <v>1.0420880456171537</v>
      </c>
      <c r="J140" s="95">
        <f t="shared" si="15"/>
        <v>1.1421635062277582</v>
      </c>
      <c r="K140" s="95">
        <f t="shared" si="16"/>
        <v>7.823856221461957E-4</v>
      </c>
      <c r="L140" s="95">
        <f t="shared" si="17"/>
        <v>0.98869612291194053</v>
      </c>
      <c r="M140" s="95"/>
      <c r="N140" s="97">
        <v>11.055</v>
      </c>
      <c r="O140" s="97">
        <v>19.43</v>
      </c>
      <c r="P140" s="102">
        <f t="shared" si="18"/>
        <v>70.569999999999993</v>
      </c>
      <c r="Z140" s="95">
        <v>5.43</v>
      </c>
      <c r="AA140" s="95">
        <v>65.667000000000002</v>
      </c>
      <c r="AB140" s="95">
        <v>60.588999999999999</v>
      </c>
      <c r="AC140" s="95">
        <v>1033.51</v>
      </c>
      <c r="AD140" s="95">
        <v>1010.89</v>
      </c>
      <c r="AE140" s="95">
        <v>119.259</v>
      </c>
      <c r="AF140" s="95">
        <v>113.619</v>
      </c>
      <c r="AG140" s="95">
        <v>0.16177</v>
      </c>
      <c r="AH140" s="95">
        <v>6.8559999999999996E-2</v>
      </c>
      <c r="AI140" s="95">
        <v>0.24895999999999999</v>
      </c>
      <c r="AJ140" s="95">
        <v>0</v>
      </c>
      <c r="AK140" s="95">
        <v>0.34339999999999998</v>
      </c>
      <c r="AL140" s="95">
        <v>9.6549999999999994</v>
      </c>
      <c r="AM140" s="95">
        <v>1.4731300000000001</v>
      </c>
      <c r="AN140" s="95">
        <v>19.61</v>
      </c>
      <c r="AO140" s="95">
        <v>0</v>
      </c>
      <c r="AP140" s="95">
        <v>531.44500000000005</v>
      </c>
      <c r="AQ140" s="95">
        <v>500.62700000000001</v>
      </c>
      <c r="AR140" s="95">
        <v>500.62700000000001</v>
      </c>
      <c r="AS140" s="95">
        <v>0</v>
      </c>
      <c r="AT140" s="95">
        <v>178.345</v>
      </c>
      <c r="AU140" s="95">
        <v>11.707000000000001</v>
      </c>
      <c r="AV140" s="95">
        <v>11.772</v>
      </c>
      <c r="AW140" s="95">
        <v>11.837999999999999</v>
      </c>
      <c r="AX140" s="95">
        <v>0.13100000000000001</v>
      </c>
      <c r="AY140" s="95">
        <f t="shared" si="12"/>
        <v>0.99039273648648651</v>
      </c>
      <c r="AZ140" s="95">
        <f t="shared" si="13"/>
        <v>7.5915606936416182</v>
      </c>
    </row>
    <row r="141" spans="1:52" s="96" customFormat="1" ht="18" customHeight="1" x14ac:dyDescent="0.2">
      <c r="A141" s="97"/>
      <c r="B141" s="97">
        <v>10</v>
      </c>
      <c r="C141" s="95">
        <v>67.293540000000007</v>
      </c>
      <c r="D141" s="95">
        <v>66.358474999999999</v>
      </c>
      <c r="E141" s="95">
        <v>1044.0782399999998</v>
      </c>
      <c r="F141" s="95">
        <v>1044.0782399999998</v>
      </c>
      <c r="G141" s="95">
        <v>0.64</v>
      </c>
      <c r="H141" s="95">
        <v>0.42299999999999999</v>
      </c>
      <c r="I141" s="95">
        <f t="shared" si="14"/>
        <v>1.0445402900870044</v>
      </c>
      <c r="J141" s="95">
        <f t="shared" si="15"/>
        <v>1.1485798915062149</v>
      </c>
      <c r="K141" s="95">
        <f t="shared" si="16"/>
        <v>9.6247193507449126E-4</v>
      </c>
      <c r="L141" s="95">
        <f t="shared" si="17"/>
        <v>0.98610468404545204</v>
      </c>
      <c r="M141" s="95"/>
      <c r="N141" s="97">
        <v>10.898999999999999</v>
      </c>
      <c r="O141" s="97">
        <v>20.99</v>
      </c>
      <c r="P141" s="102">
        <f t="shared" si="18"/>
        <v>69.010000000000005</v>
      </c>
      <c r="Z141" s="95">
        <v>5.43</v>
      </c>
      <c r="AA141" s="95">
        <v>65.543999999999997</v>
      </c>
      <c r="AB141" s="95">
        <v>60.601999999999997</v>
      </c>
      <c r="AC141" s="95">
        <v>1040.49</v>
      </c>
      <c r="AD141" s="95">
        <v>1018.31</v>
      </c>
      <c r="AE141" s="95">
        <v>121.001</v>
      </c>
      <c r="AF141" s="95">
        <v>115.468</v>
      </c>
      <c r="AG141" s="95">
        <v>0.16063</v>
      </c>
      <c r="AH141" s="95">
        <v>6.8559999999999996E-2</v>
      </c>
      <c r="AI141" s="95">
        <v>0.24918000000000001</v>
      </c>
      <c r="AJ141" s="95">
        <v>0</v>
      </c>
      <c r="AK141" s="95">
        <v>0.33900000000000002</v>
      </c>
      <c r="AL141" s="95">
        <v>9.9049999999999994</v>
      </c>
      <c r="AM141" s="95">
        <v>1.4749399999999999</v>
      </c>
      <c r="AN141" s="95">
        <v>20.99</v>
      </c>
      <c r="AO141" s="95">
        <v>0</v>
      </c>
      <c r="AP141" s="95">
        <v>526.37599999999998</v>
      </c>
      <c r="AQ141" s="95">
        <v>491.44299999999998</v>
      </c>
      <c r="AR141" s="95">
        <v>491.44299999999998</v>
      </c>
      <c r="AS141" s="95">
        <v>0</v>
      </c>
      <c r="AT141" s="95">
        <v>188.56100000000001</v>
      </c>
      <c r="AU141" s="95">
        <v>11.837999999999999</v>
      </c>
      <c r="AV141" s="95">
        <v>11.904</v>
      </c>
      <c r="AW141" s="95">
        <v>11.97</v>
      </c>
      <c r="AX141" s="95">
        <v>0.13200000000000001</v>
      </c>
      <c r="AY141" s="95">
        <f t="shared" si="12"/>
        <v>0.9895973306357857</v>
      </c>
      <c r="AZ141" s="95">
        <f t="shared" si="13"/>
        <v>7.5773410404624268</v>
      </c>
    </row>
    <row r="142" spans="1:52" s="96" customFormat="1" ht="18" customHeight="1" x14ac:dyDescent="0.2">
      <c r="A142" s="97"/>
      <c r="B142" s="97">
        <v>11</v>
      </c>
      <c r="C142" s="95">
        <v>67.476055000000002</v>
      </c>
      <c r="D142" s="95">
        <v>66.273705000000007</v>
      </c>
      <c r="E142" s="95">
        <v>1066.5969299999999</v>
      </c>
      <c r="F142" s="95">
        <v>1066.5969299999999</v>
      </c>
      <c r="G142" s="95">
        <v>0.65200000000000002</v>
      </c>
      <c r="H142" s="95">
        <v>0.42</v>
      </c>
      <c r="I142" s="95">
        <f t="shared" si="14"/>
        <v>1.0480457460783557</v>
      </c>
      <c r="J142" s="95">
        <f t="shared" si="15"/>
        <v>1.157503745968143</v>
      </c>
      <c r="K142" s="95">
        <f t="shared" si="16"/>
        <v>1.2360198897764553E-3</v>
      </c>
      <c r="L142" s="95">
        <f t="shared" si="17"/>
        <v>0.9821810863127669</v>
      </c>
      <c r="M142" s="95"/>
      <c r="N142" s="97">
        <v>10.731</v>
      </c>
      <c r="O142" s="97">
        <v>25.45</v>
      </c>
      <c r="P142" s="102">
        <f t="shared" si="18"/>
        <v>64.55</v>
      </c>
      <c r="Z142" s="95">
        <v>5.43</v>
      </c>
      <c r="AA142" s="95">
        <v>65.400999999999996</v>
      </c>
      <c r="AB142" s="95">
        <v>60.616999999999997</v>
      </c>
      <c r="AC142" s="95">
        <v>1053.4100000000001</v>
      </c>
      <c r="AD142" s="95">
        <v>1031.69</v>
      </c>
      <c r="AE142" s="95">
        <v>124.232</v>
      </c>
      <c r="AF142" s="95">
        <v>118.803</v>
      </c>
      <c r="AG142" s="95">
        <v>0.15859000000000001</v>
      </c>
      <c r="AH142" s="95">
        <v>6.8559999999999996E-2</v>
      </c>
      <c r="AI142" s="95">
        <v>0.24956999999999999</v>
      </c>
      <c r="AJ142" s="95">
        <v>0</v>
      </c>
      <c r="AK142" s="95">
        <v>0.3337</v>
      </c>
      <c r="AL142" s="95">
        <v>10.324</v>
      </c>
      <c r="AM142" s="95">
        <v>1.47818</v>
      </c>
      <c r="AN142" s="95">
        <v>23.66</v>
      </c>
      <c r="AO142" s="95">
        <v>0</v>
      </c>
      <c r="AP142" s="95">
        <v>521.37800000000004</v>
      </c>
      <c r="AQ142" s="95">
        <v>477.55799999999999</v>
      </c>
      <c r="AR142" s="95">
        <v>477.55799999999999</v>
      </c>
      <c r="AS142" s="95">
        <v>0</v>
      </c>
      <c r="AT142" s="95">
        <v>209.22200000000001</v>
      </c>
      <c r="AU142" s="95">
        <v>11.97</v>
      </c>
      <c r="AV142" s="95">
        <v>12.038</v>
      </c>
      <c r="AW142" s="95">
        <v>12.106</v>
      </c>
      <c r="AX142" s="95">
        <v>0.13600000000000001</v>
      </c>
      <c r="AY142" s="95">
        <f t="shared" si="12"/>
        <v>0.9883784192232129</v>
      </c>
      <c r="AZ142" s="95">
        <f t="shared" si="13"/>
        <v>7.5608092485549125</v>
      </c>
    </row>
    <row r="143" spans="1:52" s="96" customFormat="1" ht="18" customHeight="1" x14ac:dyDescent="0.2">
      <c r="A143" s="97"/>
      <c r="B143" s="97">
        <v>12</v>
      </c>
      <c r="C143" s="95">
        <v>67.567745000000002</v>
      </c>
      <c r="D143" s="95">
        <v>66.179420000000007</v>
      </c>
      <c r="E143" s="95">
        <v>1082.8695599999999</v>
      </c>
      <c r="F143" s="95">
        <v>1082.8695599999999</v>
      </c>
      <c r="G143" s="95">
        <v>0.65900000000000003</v>
      </c>
      <c r="H143" s="95">
        <v>0.41599999999999998</v>
      </c>
      <c r="I143" s="95">
        <f t="shared" si="14"/>
        <v>1.0504972302638904</v>
      </c>
      <c r="J143" s="95">
        <f t="shared" si="15"/>
        <v>1.1637661542991911</v>
      </c>
      <c r="K143" s="95">
        <f t="shared" si="16"/>
        <v>1.4268740521852803E-3</v>
      </c>
      <c r="L143" s="95">
        <f t="shared" si="17"/>
        <v>0.97945284395683185</v>
      </c>
      <c r="M143" s="95"/>
      <c r="N143" s="97">
        <v>10.641999999999999</v>
      </c>
      <c r="O143" s="97">
        <v>29.6</v>
      </c>
      <c r="P143" s="102">
        <f t="shared" si="18"/>
        <v>60.4</v>
      </c>
      <c r="Z143" s="95">
        <v>5.43</v>
      </c>
      <c r="AA143" s="95">
        <v>65.069000000000003</v>
      </c>
      <c r="AB143" s="95">
        <v>60.637999999999998</v>
      </c>
      <c r="AC143" s="95">
        <v>1078.68</v>
      </c>
      <c r="AD143" s="95">
        <v>1058.07</v>
      </c>
      <c r="AE143" s="95">
        <v>130.56299999999999</v>
      </c>
      <c r="AF143" s="95">
        <v>125.39700000000001</v>
      </c>
      <c r="AG143" s="95">
        <v>0.15468000000000001</v>
      </c>
      <c r="AH143" s="95">
        <v>6.8559999999999996E-2</v>
      </c>
      <c r="AI143" s="95">
        <v>0.25036999999999998</v>
      </c>
      <c r="AJ143" s="95">
        <v>0</v>
      </c>
      <c r="AK143" s="95">
        <v>0.3216</v>
      </c>
      <c r="AL143" s="95">
        <v>11.321</v>
      </c>
      <c r="AM143" s="95">
        <v>1.4844599999999999</v>
      </c>
      <c r="AN143" s="95">
        <v>28.6</v>
      </c>
      <c r="AO143" s="95">
        <v>0</v>
      </c>
      <c r="AP143" s="95">
        <v>508.596</v>
      </c>
      <c r="AQ143" s="95">
        <v>446.51799999999997</v>
      </c>
      <c r="AR143" s="95">
        <v>446.51799999999997</v>
      </c>
      <c r="AS143" s="95">
        <v>0</v>
      </c>
      <c r="AT143" s="95">
        <v>243.499</v>
      </c>
      <c r="AU143" s="95">
        <v>12.106</v>
      </c>
      <c r="AV143" s="95">
        <v>12.18</v>
      </c>
      <c r="AW143" s="95">
        <v>12.254</v>
      </c>
      <c r="AX143" s="95">
        <v>0.14799999999999999</v>
      </c>
      <c r="AY143" s="95">
        <f t="shared" si="12"/>
        <v>0.98647685753702952</v>
      </c>
      <c r="AZ143" s="95">
        <f t="shared" si="13"/>
        <v>7.5224277456647402</v>
      </c>
    </row>
    <row r="144" spans="1:52" ht="18" customHeight="1" x14ac:dyDescent="0.2">
      <c r="A144" s="26" t="s">
        <v>124</v>
      </c>
      <c r="N144" s="27"/>
      <c r="O144" s="27"/>
      <c r="P144" s="103"/>
      <c r="Z144" s="17">
        <v>0</v>
      </c>
      <c r="AA144" s="17">
        <v>0</v>
      </c>
      <c r="AB144" s="17">
        <v>0</v>
      </c>
      <c r="AC144" s="17">
        <v>0</v>
      </c>
      <c r="AD144" s="17">
        <v>0</v>
      </c>
      <c r="AE144" s="17">
        <v>0</v>
      </c>
      <c r="AF144" s="17">
        <v>0</v>
      </c>
      <c r="AG144" s="17">
        <v>0</v>
      </c>
      <c r="AH144" s="17">
        <v>0</v>
      </c>
      <c r="AI144" s="17">
        <v>0</v>
      </c>
      <c r="AJ144" s="17">
        <v>0</v>
      </c>
      <c r="AK144" s="17">
        <v>0</v>
      </c>
      <c r="AL144" s="17">
        <v>0</v>
      </c>
      <c r="AM144" s="17">
        <v>0</v>
      </c>
      <c r="AN144" s="17">
        <v>0</v>
      </c>
      <c r="AO144" s="17">
        <v>0</v>
      </c>
      <c r="AP144" s="17">
        <v>0</v>
      </c>
      <c r="AQ144" s="17">
        <v>0</v>
      </c>
      <c r="AR144" s="17">
        <v>0</v>
      </c>
      <c r="AS144" s="17">
        <v>0</v>
      </c>
      <c r="AT144" s="17">
        <v>0</v>
      </c>
      <c r="AU144" s="17">
        <v>0</v>
      </c>
      <c r="AV144" s="17">
        <v>0</v>
      </c>
      <c r="AW144" s="17">
        <v>0</v>
      </c>
      <c r="AX144" s="17">
        <v>0</v>
      </c>
      <c r="AZ144" s="17">
        <f t="shared" ref="AZ144:AZ207" si="19">AA144/8.65</f>
        <v>0</v>
      </c>
    </row>
    <row r="145" spans="1:52" ht="18" customHeight="1" x14ac:dyDescent="0.2">
      <c r="B145" s="27">
        <v>1</v>
      </c>
      <c r="C145" s="17">
        <v>64.829155</v>
      </c>
      <c r="D145" s="17">
        <v>84.830550000000002</v>
      </c>
      <c r="E145" s="17">
        <v>1089.3895699999998</v>
      </c>
      <c r="F145" s="17">
        <v>1180.7244999999998</v>
      </c>
      <c r="G145" s="17">
        <v>0.39900000000000002</v>
      </c>
      <c r="H145" s="17">
        <v>0.51800000000000002</v>
      </c>
      <c r="I145" s="17">
        <f t="shared" si="14"/>
        <v>1.0613908369712657</v>
      </c>
      <c r="J145" s="17">
        <f t="shared" si="15"/>
        <v>1.2160930990314147</v>
      </c>
      <c r="K145" s="17">
        <f t="shared" si="16"/>
        <v>8.8788690251321613E-4</v>
      </c>
      <c r="L145" s="17">
        <f t="shared" si="17"/>
        <v>1.3085246907814856</v>
      </c>
      <c r="N145" s="27">
        <v>12.099</v>
      </c>
      <c r="O145" s="27">
        <v>54.78</v>
      </c>
      <c r="P145" s="103">
        <f t="shared" si="18"/>
        <v>35.22</v>
      </c>
      <c r="Z145" s="17">
        <v>5.43</v>
      </c>
      <c r="AA145" s="17">
        <v>86.893000000000001</v>
      </c>
      <c r="AB145" s="17">
        <v>69.777000000000001</v>
      </c>
      <c r="AC145" s="17">
        <v>1149.76</v>
      </c>
      <c r="AD145" s="17">
        <v>1083.19</v>
      </c>
      <c r="AE145" s="17">
        <v>148.48400000000001</v>
      </c>
      <c r="AF145" s="17">
        <v>131.697</v>
      </c>
      <c r="AG145" s="17">
        <v>0.17387</v>
      </c>
      <c r="AH145" s="17">
        <v>6.8559999999999996E-2</v>
      </c>
      <c r="AI145" s="17">
        <v>0.25113000000000002</v>
      </c>
      <c r="AJ145" s="17">
        <v>0</v>
      </c>
      <c r="AK145" s="17">
        <v>0.57330000000000003</v>
      </c>
      <c r="AL145" s="17">
        <v>11.282999999999999</v>
      </c>
      <c r="AM145" s="17">
        <v>1.48072</v>
      </c>
      <c r="AN145" s="17">
        <v>64.23</v>
      </c>
      <c r="AO145" s="17">
        <v>0</v>
      </c>
      <c r="AP145" s="17">
        <v>916.85299999999995</v>
      </c>
      <c r="AQ145" s="17">
        <v>398.56799999999998</v>
      </c>
      <c r="AR145" s="17">
        <v>398.56799999999998</v>
      </c>
      <c r="AS145" s="17">
        <v>0</v>
      </c>
      <c r="AT145" s="17">
        <v>825.69</v>
      </c>
      <c r="AU145" s="17">
        <v>10.701000000000001</v>
      </c>
      <c r="AV145" s="17">
        <v>10.785</v>
      </c>
      <c r="AW145" s="17">
        <v>10.868</v>
      </c>
      <c r="AX145" s="17">
        <v>0.16700000000000001</v>
      </c>
      <c r="AY145" s="17">
        <f t="shared" ref="AY145:AY207" si="20">AA145/AA132</f>
        <v>1.3107219356201165</v>
      </c>
      <c r="AZ145" s="17">
        <f t="shared" si="19"/>
        <v>10.045433526011561</v>
      </c>
    </row>
    <row r="146" spans="1:52" ht="18" customHeight="1" x14ac:dyDescent="0.2">
      <c r="B146" s="27">
        <v>2</v>
      </c>
      <c r="C146" s="17">
        <v>65.061840000000004</v>
      </c>
      <c r="D146" s="17">
        <v>84.986249999999998</v>
      </c>
      <c r="E146" s="17">
        <v>1062.48768</v>
      </c>
      <c r="F146" s="17">
        <v>1150.6447899999998</v>
      </c>
      <c r="G146" s="17">
        <v>0.40699999999999997</v>
      </c>
      <c r="H146" s="17">
        <v>0.52400000000000002</v>
      </c>
      <c r="I146" s="17">
        <f t="shared" si="14"/>
        <v>1.0606075421223946</v>
      </c>
      <c r="J146" s="17">
        <f t="shared" si="15"/>
        <v>1.2142357365055003</v>
      </c>
      <c r="K146" s="17">
        <f t="shared" si="16"/>
        <v>8.1548191207393879E-4</v>
      </c>
      <c r="L146" s="17">
        <f t="shared" si="17"/>
        <v>1.3062380344607529</v>
      </c>
      <c r="N146" s="27">
        <v>11.992000000000001</v>
      </c>
      <c r="O146" s="27">
        <v>52.18</v>
      </c>
      <c r="P146" s="103">
        <f t="shared" si="18"/>
        <v>37.82</v>
      </c>
      <c r="Z146" s="17">
        <v>5.43</v>
      </c>
      <c r="AA146" s="17">
        <v>86.671999999999997</v>
      </c>
      <c r="AB146" s="17">
        <v>70.081999999999994</v>
      </c>
      <c r="AC146" s="17">
        <v>1130.1600000000001</v>
      </c>
      <c r="AD146" s="17">
        <v>1066.58</v>
      </c>
      <c r="AE146" s="17">
        <v>143.52600000000001</v>
      </c>
      <c r="AF146" s="17">
        <v>127.529</v>
      </c>
      <c r="AG146" s="17">
        <v>0.17735000000000001</v>
      </c>
      <c r="AH146" s="17">
        <v>6.8559999999999996E-2</v>
      </c>
      <c r="AI146" s="17">
        <v>0.25062000000000001</v>
      </c>
      <c r="AJ146" s="17">
        <v>0</v>
      </c>
      <c r="AK146" s="17">
        <v>0.56379999999999997</v>
      </c>
      <c r="AL146" s="17">
        <v>8.4589999999999996</v>
      </c>
      <c r="AM146" s="17">
        <v>1.47655</v>
      </c>
      <c r="AN146" s="17">
        <v>54.38</v>
      </c>
      <c r="AO146" s="17">
        <v>0</v>
      </c>
      <c r="AP146" s="17">
        <v>894.98199999999997</v>
      </c>
      <c r="AQ146" s="17">
        <v>521.22799999999995</v>
      </c>
      <c r="AR146" s="17">
        <v>521.22799999999995</v>
      </c>
      <c r="AS146" s="17">
        <v>0</v>
      </c>
      <c r="AT146" s="17">
        <v>727.54</v>
      </c>
      <c r="AU146" s="17">
        <v>10.868</v>
      </c>
      <c r="AV146" s="17">
        <v>10.929</v>
      </c>
      <c r="AW146" s="17">
        <v>10.991</v>
      </c>
      <c r="AX146" s="17">
        <v>0.123</v>
      </c>
      <c r="AY146" s="17">
        <f t="shared" si="20"/>
        <v>1.3066590282070223</v>
      </c>
      <c r="AZ146" s="17">
        <f t="shared" si="19"/>
        <v>10.019884393063583</v>
      </c>
    </row>
    <row r="147" spans="1:52" ht="18" customHeight="1" x14ac:dyDescent="0.2">
      <c r="B147" s="27">
        <v>3</v>
      </c>
      <c r="C147" s="17">
        <v>65.290199999999999</v>
      </c>
      <c r="D147" s="17">
        <v>85.141950000000008</v>
      </c>
      <c r="E147" s="17">
        <v>1042.3249599999999</v>
      </c>
      <c r="F147" s="17">
        <v>1127.6329900000001</v>
      </c>
      <c r="G147" s="17">
        <v>0.41399999999999998</v>
      </c>
      <c r="H147" s="17">
        <v>0.52800000000000002</v>
      </c>
      <c r="I147" s="17">
        <f t="shared" si="14"/>
        <v>1.0598356865206358</v>
      </c>
      <c r="J147" s="17">
        <f t="shared" si="15"/>
        <v>1.2135404470309599</v>
      </c>
      <c r="K147" s="17">
        <f t="shared" si="16"/>
        <v>6.8002266889926298E-4</v>
      </c>
      <c r="L147" s="17">
        <f t="shared" si="17"/>
        <v>1.3040540540540542</v>
      </c>
      <c r="N147" s="27">
        <v>11.878</v>
      </c>
      <c r="O147" s="27">
        <v>50.84</v>
      </c>
      <c r="P147" s="103">
        <f t="shared" si="18"/>
        <v>39.159999999999997</v>
      </c>
      <c r="Z147" s="17">
        <v>5.43</v>
      </c>
      <c r="AA147" s="17">
        <v>86.533000000000001</v>
      </c>
      <c r="AB147" s="17">
        <v>70.277000000000001</v>
      </c>
      <c r="AC147" s="17">
        <v>1116.0999999999999</v>
      </c>
      <c r="AD147" s="17">
        <v>1054.47</v>
      </c>
      <c r="AE147" s="17">
        <v>139.977</v>
      </c>
      <c r="AF147" s="17">
        <v>124.497</v>
      </c>
      <c r="AG147" s="17">
        <v>0.17988999999999999</v>
      </c>
      <c r="AH147" s="17">
        <v>6.8559999999999996E-2</v>
      </c>
      <c r="AI147" s="17">
        <v>0.25025999999999998</v>
      </c>
      <c r="AJ147" s="17">
        <v>0</v>
      </c>
      <c r="AK147" s="17">
        <v>0.55759999999999998</v>
      </c>
      <c r="AL147" s="17">
        <v>7.4749999999999996</v>
      </c>
      <c r="AM147" s="17">
        <v>1.4735</v>
      </c>
      <c r="AN147" s="17">
        <v>48.66</v>
      </c>
      <c r="AO147" s="17">
        <v>0</v>
      </c>
      <c r="AP147" s="17">
        <v>880.4</v>
      </c>
      <c r="AQ147" s="17">
        <v>581.49400000000003</v>
      </c>
      <c r="AR147" s="17">
        <v>581.49400000000003</v>
      </c>
      <c r="AS147" s="17">
        <v>0</v>
      </c>
      <c r="AT147" s="17">
        <v>661.03700000000003</v>
      </c>
      <c r="AU147" s="17">
        <v>10.991</v>
      </c>
      <c r="AV147" s="17">
        <v>11.045</v>
      </c>
      <c r="AW147" s="17">
        <v>11.099</v>
      </c>
      <c r="AX147" s="17">
        <v>0.108</v>
      </c>
      <c r="AY147" s="17">
        <f t="shared" si="20"/>
        <v>1.3036004820729137</v>
      </c>
      <c r="AZ147" s="17">
        <f t="shared" si="19"/>
        <v>10.003815028901734</v>
      </c>
    </row>
    <row r="148" spans="1:52" ht="18" customHeight="1" x14ac:dyDescent="0.2">
      <c r="B148" s="27">
        <v>4</v>
      </c>
      <c r="C148" s="17">
        <v>65.552295000000001</v>
      </c>
      <c r="D148" s="17">
        <v>85.350415000000012</v>
      </c>
      <c r="E148" s="17">
        <v>1029.2301500000001</v>
      </c>
      <c r="F148" s="17">
        <v>1112.1274199999998</v>
      </c>
      <c r="G148" s="17">
        <v>0.42399999999999999</v>
      </c>
      <c r="H148" s="17">
        <v>0.53300000000000003</v>
      </c>
      <c r="I148" s="17">
        <f t="shared" si="14"/>
        <v>1.0592120284223634</v>
      </c>
      <c r="J148" s="17">
        <f t="shared" si="15"/>
        <v>1.2142573173819213</v>
      </c>
      <c r="K148" s="17">
        <f t="shared" si="16"/>
        <v>4.9827126357222112E-4</v>
      </c>
      <c r="L148" s="17">
        <f t="shared" si="17"/>
        <v>1.3020202420067828</v>
      </c>
      <c r="N148" s="27">
        <v>11.737</v>
      </c>
      <c r="O148" s="27">
        <v>49.71</v>
      </c>
      <c r="P148" s="103">
        <f t="shared" si="18"/>
        <v>40.29</v>
      </c>
      <c r="Z148" s="17">
        <v>5.43</v>
      </c>
      <c r="AA148" s="17">
        <v>86.394000000000005</v>
      </c>
      <c r="AB148" s="17">
        <v>70.436000000000007</v>
      </c>
      <c r="AC148" s="17">
        <v>1111.54</v>
      </c>
      <c r="AD148" s="17">
        <v>1051.26</v>
      </c>
      <c r="AE148" s="17">
        <v>138.83000000000001</v>
      </c>
      <c r="AF148" s="17">
        <v>123.693</v>
      </c>
      <c r="AG148" s="17">
        <v>0.18085000000000001</v>
      </c>
      <c r="AH148" s="17">
        <v>6.8559999999999996E-2</v>
      </c>
      <c r="AI148" s="17">
        <v>0.25015999999999999</v>
      </c>
      <c r="AJ148" s="17">
        <v>0</v>
      </c>
      <c r="AK148" s="17">
        <v>0.55220000000000002</v>
      </c>
      <c r="AL148" s="17">
        <v>7.383</v>
      </c>
      <c r="AM148" s="17">
        <v>1.47258</v>
      </c>
      <c r="AN148" s="17">
        <v>47.73</v>
      </c>
      <c r="AO148" s="17">
        <v>0</v>
      </c>
      <c r="AP148" s="17">
        <v>870.61599999999999</v>
      </c>
      <c r="AQ148" s="17">
        <v>585.62400000000002</v>
      </c>
      <c r="AR148" s="17">
        <v>585.62400000000002</v>
      </c>
      <c r="AS148" s="17">
        <v>0</v>
      </c>
      <c r="AT148" s="17">
        <v>644.21799999999996</v>
      </c>
      <c r="AU148" s="17">
        <v>11.099</v>
      </c>
      <c r="AV148" s="17">
        <v>11.151</v>
      </c>
      <c r="AW148" s="17">
        <v>11.204000000000001</v>
      </c>
      <c r="AX148" s="17">
        <v>0.105</v>
      </c>
      <c r="AY148" s="17">
        <f t="shared" si="20"/>
        <v>1.3016437406776853</v>
      </c>
      <c r="AZ148" s="17">
        <f t="shared" si="19"/>
        <v>9.9877456647398848</v>
      </c>
    </row>
    <row r="149" spans="1:52" ht="18" customHeight="1" x14ac:dyDescent="0.2">
      <c r="B149" s="27">
        <v>5</v>
      </c>
      <c r="C149" s="17">
        <v>65.758165000000005</v>
      </c>
      <c r="D149" s="17">
        <v>85.558014999999997</v>
      </c>
      <c r="E149" s="17">
        <v>1024.07989</v>
      </c>
      <c r="F149" s="17">
        <v>1106.4292600000001</v>
      </c>
      <c r="G149" s="17">
        <v>0.43099999999999999</v>
      </c>
      <c r="H149" s="17">
        <v>0.53800000000000003</v>
      </c>
      <c r="I149" s="17">
        <f t="shared" si="14"/>
        <v>1.0592349158962211</v>
      </c>
      <c r="J149" s="17">
        <f t="shared" si="15"/>
        <v>1.2140027552689687</v>
      </c>
      <c r="K149" s="17">
        <f t="shared" si="16"/>
        <v>5.1782975484312641E-4</v>
      </c>
      <c r="L149" s="17">
        <f t="shared" si="17"/>
        <v>1.3011010115625945</v>
      </c>
      <c r="N149" s="27">
        <v>11.602</v>
      </c>
      <c r="O149" s="27">
        <v>48.65</v>
      </c>
      <c r="P149" s="103">
        <f t="shared" si="18"/>
        <v>41.35</v>
      </c>
      <c r="Z149" s="17">
        <v>5.43</v>
      </c>
      <c r="AA149" s="17">
        <v>86.188000000000002</v>
      </c>
      <c r="AB149" s="17">
        <v>70.585999999999999</v>
      </c>
      <c r="AC149" s="17">
        <v>1109.28</v>
      </c>
      <c r="AD149" s="17">
        <v>1050.4000000000001</v>
      </c>
      <c r="AE149" s="17">
        <v>138.26</v>
      </c>
      <c r="AF149" s="17">
        <v>123.47799999999999</v>
      </c>
      <c r="AG149" s="17">
        <v>0.18138000000000001</v>
      </c>
      <c r="AH149" s="17">
        <v>6.8559999999999996E-2</v>
      </c>
      <c r="AI149" s="17">
        <v>0.25013000000000002</v>
      </c>
      <c r="AJ149" s="17">
        <v>0</v>
      </c>
      <c r="AK149" s="17">
        <v>0.54590000000000005</v>
      </c>
      <c r="AL149" s="17">
        <v>7.4180000000000001</v>
      </c>
      <c r="AM149" s="17">
        <v>1.4722299999999999</v>
      </c>
      <c r="AN149" s="17">
        <v>47.51</v>
      </c>
      <c r="AO149" s="17">
        <v>0</v>
      </c>
      <c r="AP149" s="17">
        <v>860.32399999999996</v>
      </c>
      <c r="AQ149" s="17">
        <v>581.11599999999999</v>
      </c>
      <c r="AR149" s="17">
        <v>581.11599999999999</v>
      </c>
      <c r="AS149" s="17">
        <v>0</v>
      </c>
      <c r="AT149" s="17">
        <v>634.39800000000002</v>
      </c>
      <c r="AU149" s="17">
        <v>11.204000000000001</v>
      </c>
      <c r="AV149" s="17">
        <v>11.257</v>
      </c>
      <c r="AW149" s="17">
        <v>11.308999999999999</v>
      </c>
      <c r="AX149" s="17">
        <v>0.105</v>
      </c>
      <c r="AY149" s="17">
        <f t="shared" si="20"/>
        <v>1.3007742344436228</v>
      </c>
      <c r="AZ149" s="17">
        <f t="shared" si="19"/>
        <v>9.9639306358381496</v>
      </c>
    </row>
    <row r="150" spans="1:52" ht="18" customHeight="1" x14ac:dyDescent="0.2">
      <c r="B150" s="27">
        <v>6</v>
      </c>
      <c r="C150" s="17">
        <v>65.937219999999996</v>
      </c>
      <c r="D150" s="17">
        <v>85.765615000000011</v>
      </c>
      <c r="E150" s="17">
        <v>1022.65535</v>
      </c>
      <c r="F150" s="17">
        <v>1104.0732899999998</v>
      </c>
      <c r="G150" s="17">
        <v>0.437</v>
      </c>
      <c r="H150" s="17">
        <v>0.54400000000000004</v>
      </c>
      <c r="I150" s="17">
        <f t="shared" si="14"/>
        <v>1.0582159811435448</v>
      </c>
      <c r="J150" s="17">
        <f t="shared" si="15"/>
        <v>1.2126976851258899</v>
      </c>
      <c r="K150" s="17">
        <f t="shared" si="16"/>
        <v>3.6058165560508108E-4</v>
      </c>
      <c r="L150" s="17">
        <f t="shared" si="17"/>
        <v>1.300716272235924</v>
      </c>
      <c r="N150" s="27">
        <v>11.467000000000001</v>
      </c>
      <c r="O150" s="27">
        <v>47.48</v>
      </c>
      <c r="P150" s="103">
        <f t="shared" si="18"/>
        <v>42.52</v>
      </c>
      <c r="Z150" s="17">
        <v>5.43</v>
      </c>
      <c r="AA150" s="17">
        <v>86.016999999999996</v>
      </c>
      <c r="AB150" s="17">
        <v>70.730999999999995</v>
      </c>
      <c r="AC150" s="17">
        <v>1108.94</v>
      </c>
      <c r="AD150" s="17">
        <v>1051.24</v>
      </c>
      <c r="AE150" s="17">
        <v>138.17400000000001</v>
      </c>
      <c r="AF150" s="17">
        <v>123.688</v>
      </c>
      <c r="AG150" s="17">
        <v>0.18160999999999999</v>
      </c>
      <c r="AH150" s="17">
        <v>6.8559999999999996E-2</v>
      </c>
      <c r="AI150" s="17">
        <v>0.25015999999999999</v>
      </c>
      <c r="AJ150" s="17">
        <v>0</v>
      </c>
      <c r="AK150" s="17">
        <v>0.54020000000000001</v>
      </c>
      <c r="AL150" s="17">
        <v>7.49</v>
      </c>
      <c r="AM150" s="17">
        <v>1.4722900000000001</v>
      </c>
      <c r="AN150" s="17">
        <v>47.55</v>
      </c>
      <c r="AO150" s="17">
        <v>0</v>
      </c>
      <c r="AP150" s="17">
        <v>851.69299999999998</v>
      </c>
      <c r="AQ150" s="17">
        <v>574.84299999999996</v>
      </c>
      <c r="AR150" s="17">
        <v>574.84299999999996</v>
      </c>
      <c r="AS150" s="17">
        <v>0</v>
      </c>
      <c r="AT150" s="17">
        <v>628.44100000000003</v>
      </c>
      <c r="AU150" s="17">
        <v>11.308999999999999</v>
      </c>
      <c r="AV150" s="17">
        <v>11.361000000000001</v>
      </c>
      <c r="AW150" s="17">
        <v>11.414</v>
      </c>
      <c r="AX150" s="17">
        <v>0.105</v>
      </c>
      <c r="AY150" s="17">
        <f t="shared" si="20"/>
        <v>1.3006078383936133</v>
      </c>
      <c r="AZ150" s="17">
        <f t="shared" si="19"/>
        <v>9.9441618497109818</v>
      </c>
    </row>
    <row r="151" spans="1:52" ht="18" customHeight="1" x14ac:dyDescent="0.2">
      <c r="B151" s="27">
        <v>7</v>
      </c>
      <c r="C151" s="17">
        <v>66.104165000000009</v>
      </c>
      <c r="D151" s="17">
        <v>85.973214999999996</v>
      </c>
      <c r="E151" s="17">
        <v>1022.7649299999999</v>
      </c>
      <c r="F151" s="17">
        <v>1104.12808</v>
      </c>
      <c r="G151" s="17">
        <v>0.442</v>
      </c>
      <c r="H151" s="17">
        <v>0.55000000000000004</v>
      </c>
      <c r="I151" s="17">
        <f t="shared" si="14"/>
        <v>1.0577400057843986</v>
      </c>
      <c r="J151" s="17">
        <f t="shared" si="15"/>
        <v>1.2108989599050719</v>
      </c>
      <c r="K151" s="17">
        <f t="shared" si="16"/>
        <v>3.5435946200179126E-4</v>
      </c>
      <c r="L151" s="17">
        <f t="shared" si="17"/>
        <v>1.3005718323497466</v>
      </c>
      <c r="N151" s="27">
        <v>11.333</v>
      </c>
      <c r="O151" s="27">
        <v>46.2</v>
      </c>
      <c r="P151" s="103">
        <f t="shared" si="18"/>
        <v>43.8</v>
      </c>
      <c r="Z151" s="17">
        <v>5.43</v>
      </c>
      <c r="AA151" s="17">
        <v>85.834000000000003</v>
      </c>
      <c r="AB151" s="17">
        <v>70.872</v>
      </c>
      <c r="AC151" s="17">
        <v>1109.8800000000001</v>
      </c>
      <c r="AD151" s="17">
        <v>1053.32</v>
      </c>
      <c r="AE151" s="17">
        <v>138.41</v>
      </c>
      <c r="AF151" s="17">
        <v>124.209</v>
      </c>
      <c r="AG151" s="17">
        <v>0.18160999999999999</v>
      </c>
      <c r="AH151" s="17">
        <v>6.8559999999999996E-2</v>
      </c>
      <c r="AI151" s="17">
        <v>0.25022</v>
      </c>
      <c r="AJ151" s="17">
        <v>0</v>
      </c>
      <c r="AK151" s="17">
        <v>0.5343</v>
      </c>
      <c r="AL151" s="17">
        <v>7.5739999999999998</v>
      </c>
      <c r="AM151" s="17">
        <v>1.47265</v>
      </c>
      <c r="AN151" s="17">
        <v>47.61</v>
      </c>
      <c r="AO151" s="17">
        <v>0</v>
      </c>
      <c r="AP151" s="17">
        <v>843.25</v>
      </c>
      <c r="AQ151" s="17">
        <v>568.47</v>
      </c>
      <c r="AR151" s="17">
        <v>568.47</v>
      </c>
      <c r="AS151" s="17">
        <v>0</v>
      </c>
      <c r="AT151" s="17">
        <v>622.82600000000002</v>
      </c>
      <c r="AU151" s="17">
        <v>11.414</v>
      </c>
      <c r="AV151" s="17">
        <v>11.465999999999999</v>
      </c>
      <c r="AW151" s="17">
        <v>11.519</v>
      </c>
      <c r="AX151" s="17">
        <v>0.105</v>
      </c>
      <c r="AY151" s="17">
        <f t="shared" si="20"/>
        <v>1.3006925186767893</v>
      </c>
      <c r="AZ151" s="17">
        <f t="shared" si="19"/>
        <v>9.9230057803468199</v>
      </c>
    </row>
    <row r="152" spans="1:52" ht="18" customHeight="1" x14ac:dyDescent="0.2">
      <c r="B152" s="27">
        <v>8</v>
      </c>
      <c r="C152" s="17">
        <v>66.252944999999997</v>
      </c>
      <c r="D152" s="17">
        <v>86.18081500000001</v>
      </c>
      <c r="E152" s="17">
        <v>1025.88796</v>
      </c>
      <c r="F152" s="17">
        <v>1107.5250599999999</v>
      </c>
      <c r="G152" s="17">
        <v>0.44600000000000001</v>
      </c>
      <c r="H152" s="17">
        <v>0.55700000000000005</v>
      </c>
      <c r="I152" s="17">
        <f t="shared" si="14"/>
        <v>1.0569429434481239</v>
      </c>
      <c r="J152" s="17">
        <f t="shared" si="15"/>
        <v>1.2078085799655418</v>
      </c>
      <c r="K152" s="17">
        <f t="shared" si="16"/>
        <v>3.4861136568508158E-4</v>
      </c>
      <c r="L152" s="17">
        <f t="shared" si="17"/>
        <v>1.3007846670061234</v>
      </c>
      <c r="N152" s="27">
        <v>11.198</v>
      </c>
      <c r="O152" s="27">
        <v>44.75</v>
      </c>
      <c r="P152" s="103">
        <f t="shared" si="18"/>
        <v>45.25</v>
      </c>
      <c r="Z152" s="17">
        <v>5.43</v>
      </c>
      <c r="AA152" s="17">
        <v>85.638000000000005</v>
      </c>
      <c r="AB152" s="17">
        <v>71.010999999999996</v>
      </c>
      <c r="AC152" s="17">
        <v>1112.3499999999999</v>
      </c>
      <c r="AD152" s="17">
        <v>1056.9100000000001</v>
      </c>
      <c r="AE152" s="17">
        <v>139.03299999999999</v>
      </c>
      <c r="AF152" s="17">
        <v>125.108</v>
      </c>
      <c r="AG152" s="17">
        <v>0.18134</v>
      </c>
      <c r="AH152" s="17">
        <v>6.8559999999999996E-2</v>
      </c>
      <c r="AI152" s="17">
        <v>0.25033</v>
      </c>
      <c r="AJ152" s="17">
        <v>0</v>
      </c>
      <c r="AK152" s="17">
        <v>0.52829999999999999</v>
      </c>
      <c r="AL152" s="17">
        <v>7.7130000000000001</v>
      </c>
      <c r="AM152" s="17">
        <v>1.47336</v>
      </c>
      <c r="AN152" s="17">
        <v>47.97</v>
      </c>
      <c r="AO152" s="17">
        <v>0</v>
      </c>
      <c r="AP152" s="17">
        <v>835.03300000000002</v>
      </c>
      <c r="AQ152" s="17">
        <v>559.03599999999994</v>
      </c>
      <c r="AR152" s="17">
        <v>559.03599999999994</v>
      </c>
      <c r="AS152" s="17">
        <v>0</v>
      </c>
      <c r="AT152" s="17">
        <v>620.28899999999999</v>
      </c>
      <c r="AU152" s="17">
        <v>11.519</v>
      </c>
      <c r="AV152" s="17">
        <v>11.571999999999999</v>
      </c>
      <c r="AW152" s="17">
        <v>11.625</v>
      </c>
      <c r="AX152" s="17">
        <v>0.106</v>
      </c>
      <c r="AY152" s="17">
        <f t="shared" si="20"/>
        <v>1.3009752985142651</v>
      </c>
      <c r="AZ152" s="17">
        <f t="shared" si="19"/>
        <v>9.9003468208092489</v>
      </c>
    </row>
    <row r="153" spans="1:52" ht="18" customHeight="1" x14ac:dyDescent="0.2">
      <c r="B153" s="27">
        <v>9</v>
      </c>
      <c r="C153" s="17">
        <v>66.351555000000005</v>
      </c>
      <c r="D153" s="17">
        <v>86.388415000000009</v>
      </c>
      <c r="E153" s="17">
        <v>1031.4765399999999</v>
      </c>
      <c r="F153" s="17">
        <v>1113.99028</v>
      </c>
      <c r="G153" s="17">
        <v>0.44900000000000001</v>
      </c>
      <c r="H153" s="17">
        <v>0.56499999999999995</v>
      </c>
      <c r="I153" s="17">
        <f t="shared" si="14"/>
        <v>1.0561138090787452</v>
      </c>
      <c r="J153" s="17">
        <f t="shared" si="15"/>
        <v>1.203967493811507</v>
      </c>
      <c r="K153" s="17">
        <f t="shared" si="16"/>
        <v>3.7861681693713428E-4</v>
      </c>
      <c r="L153" s="17">
        <f t="shared" si="17"/>
        <v>1.3019802625575241</v>
      </c>
      <c r="N153" s="27">
        <v>11.063000000000001</v>
      </c>
      <c r="O153" s="27">
        <v>43.12</v>
      </c>
      <c r="P153" s="103">
        <f t="shared" si="18"/>
        <v>46.88</v>
      </c>
      <c r="Z153" s="17">
        <v>5.43</v>
      </c>
      <c r="AA153" s="17">
        <v>85.47</v>
      </c>
      <c r="AB153" s="17">
        <v>71.149000000000001</v>
      </c>
      <c r="AC153" s="17">
        <v>1116.6199999999999</v>
      </c>
      <c r="AD153" s="17">
        <v>1062.1300000000001</v>
      </c>
      <c r="AE153" s="17">
        <v>140.108</v>
      </c>
      <c r="AF153" s="17">
        <v>126.414</v>
      </c>
      <c r="AG153" s="17">
        <v>0.18081</v>
      </c>
      <c r="AH153" s="17">
        <v>6.8559999999999996E-2</v>
      </c>
      <c r="AI153" s="17">
        <v>0.25048999999999999</v>
      </c>
      <c r="AJ153" s="17">
        <v>0</v>
      </c>
      <c r="AK153" s="17">
        <v>0.52259999999999995</v>
      </c>
      <c r="AL153" s="17">
        <v>7.9</v>
      </c>
      <c r="AM153" s="17">
        <v>1.4744600000000001</v>
      </c>
      <c r="AN153" s="17">
        <v>48.62</v>
      </c>
      <c r="AO153" s="17">
        <v>0</v>
      </c>
      <c r="AP153" s="17">
        <v>828.072</v>
      </c>
      <c r="AQ153" s="17">
        <v>547.44399999999996</v>
      </c>
      <c r="AR153" s="17">
        <v>547.44399999999996</v>
      </c>
      <c r="AS153" s="17">
        <v>0</v>
      </c>
      <c r="AT153" s="17">
        <v>621.29499999999996</v>
      </c>
      <c r="AU153" s="17">
        <v>11.625</v>
      </c>
      <c r="AV153" s="17">
        <v>11.679</v>
      </c>
      <c r="AW153" s="17">
        <v>11.733000000000001</v>
      </c>
      <c r="AX153" s="17">
        <v>0.108</v>
      </c>
      <c r="AY153" s="17">
        <f t="shared" si="20"/>
        <v>1.301566997121842</v>
      </c>
      <c r="AZ153" s="17">
        <f t="shared" si="19"/>
        <v>9.8809248554913296</v>
      </c>
    </row>
    <row r="154" spans="1:52" ht="18" customHeight="1" x14ac:dyDescent="0.2">
      <c r="B154" s="27">
        <v>10</v>
      </c>
      <c r="C154" s="17">
        <v>66.358474999999999</v>
      </c>
      <c r="D154" s="17">
        <v>86.596015000000008</v>
      </c>
      <c r="E154" s="17">
        <v>1044.0782399999998</v>
      </c>
      <c r="F154" s="17">
        <v>1128.5644199999999</v>
      </c>
      <c r="G154" s="17">
        <v>0.44900000000000001</v>
      </c>
      <c r="H154" s="17">
        <v>0.57299999999999995</v>
      </c>
      <c r="I154" s="17">
        <f t="shared" si="14"/>
        <v>1.0552110067481411</v>
      </c>
      <c r="J154" s="17">
        <f t="shared" si="15"/>
        <v>1.1995338845802943</v>
      </c>
      <c r="K154" s="17">
        <f t="shared" si="16"/>
        <v>4.2627009597278991E-4</v>
      </c>
      <c r="L154" s="17">
        <f t="shared" si="17"/>
        <v>1.3049729518347131</v>
      </c>
      <c r="N154" s="27">
        <v>10.923999999999999</v>
      </c>
      <c r="O154" s="27">
        <v>41.07</v>
      </c>
      <c r="P154" s="103">
        <f t="shared" si="18"/>
        <v>48.93</v>
      </c>
      <c r="Z154" s="17">
        <v>5.43</v>
      </c>
      <c r="AA154" s="17">
        <v>85.388999999999996</v>
      </c>
      <c r="AB154" s="17">
        <v>71.292000000000002</v>
      </c>
      <c r="AC154" s="17">
        <v>1124.71</v>
      </c>
      <c r="AD154" s="17">
        <v>1070.75</v>
      </c>
      <c r="AE154" s="17">
        <v>142.15199999999999</v>
      </c>
      <c r="AF154" s="17">
        <v>128.57499999999999</v>
      </c>
      <c r="AG154" s="17">
        <v>0.17971000000000001</v>
      </c>
      <c r="AH154" s="17">
        <v>6.8559999999999996E-2</v>
      </c>
      <c r="AI154" s="17">
        <v>0.25074999999999997</v>
      </c>
      <c r="AJ154" s="17">
        <v>0</v>
      </c>
      <c r="AK154" s="17">
        <v>0.51839999999999997</v>
      </c>
      <c r="AL154" s="17">
        <v>8.2569999999999997</v>
      </c>
      <c r="AM154" s="17">
        <v>1.4763500000000001</v>
      </c>
      <c r="AN154" s="17">
        <v>50.28</v>
      </c>
      <c r="AO154" s="17">
        <v>0</v>
      </c>
      <c r="AP154" s="17">
        <v>824.52499999999998</v>
      </c>
      <c r="AQ154" s="17">
        <v>526.95500000000004</v>
      </c>
      <c r="AR154" s="17">
        <v>526.95500000000004</v>
      </c>
      <c r="AS154" s="17">
        <v>0</v>
      </c>
      <c r="AT154" s="17">
        <v>634.16099999999994</v>
      </c>
      <c r="AU154" s="17">
        <v>11.733000000000001</v>
      </c>
      <c r="AV154" s="17">
        <v>11.789</v>
      </c>
      <c r="AW154" s="17">
        <v>11.843999999999999</v>
      </c>
      <c r="AX154" s="17">
        <v>0.111</v>
      </c>
      <c r="AY154" s="17">
        <f t="shared" si="20"/>
        <v>1.3027737092640059</v>
      </c>
      <c r="AZ154" s="17">
        <f t="shared" si="19"/>
        <v>9.8715606936416176</v>
      </c>
    </row>
    <row r="155" spans="1:52" ht="18" customHeight="1" x14ac:dyDescent="0.2">
      <c r="B155" s="27">
        <v>11</v>
      </c>
      <c r="C155" s="17">
        <v>66.273705000000007</v>
      </c>
      <c r="D155" s="17">
        <v>86.803615000000008</v>
      </c>
      <c r="E155" s="17">
        <v>1050.15993</v>
      </c>
      <c r="F155" s="17">
        <v>1154.3157199999998</v>
      </c>
      <c r="G155" s="17">
        <v>0.44800000000000001</v>
      </c>
      <c r="H155" s="17">
        <v>0.58199999999999996</v>
      </c>
      <c r="I155" s="17">
        <f t="shared" si="14"/>
        <v>1.0707641786984918</v>
      </c>
      <c r="J155" s="17">
        <f t="shared" si="15"/>
        <v>1.1950412502627898</v>
      </c>
      <c r="K155" s="17">
        <f t="shared" si="16"/>
        <v>4.1951317754203785E-3</v>
      </c>
      <c r="L155" s="17">
        <f t="shared" si="17"/>
        <v>1.3097745931059686</v>
      </c>
      <c r="N155" s="27">
        <v>10.773</v>
      </c>
      <c r="O155" s="27">
        <v>38.380000000000003</v>
      </c>
      <c r="P155" s="103">
        <f t="shared" si="18"/>
        <v>51.62</v>
      </c>
      <c r="Z155" s="17">
        <v>5.43</v>
      </c>
      <c r="AA155" s="17">
        <v>85.325000000000003</v>
      </c>
      <c r="AB155" s="17">
        <v>71.450999999999993</v>
      </c>
      <c r="AC155" s="17">
        <v>1139.8599999999999</v>
      </c>
      <c r="AD155" s="17">
        <v>1086.1600000000001</v>
      </c>
      <c r="AE155" s="17">
        <v>145.97900000000001</v>
      </c>
      <c r="AF155" s="17">
        <v>132.441</v>
      </c>
      <c r="AG155" s="17">
        <v>0.17756</v>
      </c>
      <c r="AH155" s="17">
        <v>6.8559999999999996E-2</v>
      </c>
      <c r="AI155" s="17">
        <v>0.25122</v>
      </c>
      <c r="AJ155" s="17">
        <v>0</v>
      </c>
      <c r="AK155" s="17">
        <v>0.51419999999999999</v>
      </c>
      <c r="AL155" s="17">
        <v>9.0310000000000006</v>
      </c>
      <c r="AM155" s="17">
        <v>1.4797800000000001</v>
      </c>
      <c r="AN155" s="17">
        <v>53.68</v>
      </c>
      <c r="AO155" s="17">
        <v>0</v>
      </c>
      <c r="AP155" s="17">
        <v>823.33500000000004</v>
      </c>
      <c r="AQ155" s="17">
        <v>487.637</v>
      </c>
      <c r="AR155" s="17">
        <v>487.637</v>
      </c>
      <c r="AS155" s="17">
        <v>0</v>
      </c>
      <c r="AT155" s="17">
        <v>663.39300000000003</v>
      </c>
      <c r="AU155" s="17">
        <v>11.843999999999999</v>
      </c>
      <c r="AV155" s="17">
        <v>11.904999999999999</v>
      </c>
      <c r="AW155" s="17">
        <v>11.965</v>
      </c>
      <c r="AX155" s="17">
        <v>0.121</v>
      </c>
      <c r="AY155" s="17">
        <f t="shared" si="20"/>
        <v>1.3046436598828766</v>
      </c>
      <c r="AZ155" s="17">
        <f t="shared" si="19"/>
        <v>9.8641618497109818</v>
      </c>
    </row>
    <row r="156" spans="1:52" ht="18" customHeight="1" x14ac:dyDescent="0.2">
      <c r="B156" s="27">
        <v>12</v>
      </c>
      <c r="C156" s="17">
        <v>66.179420000000007</v>
      </c>
      <c r="D156" s="17">
        <v>86.907415</v>
      </c>
      <c r="E156" s="17">
        <v>1082.8695599999999</v>
      </c>
      <c r="F156" s="17">
        <v>1172.9443200000001</v>
      </c>
      <c r="G156" s="17">
        <v>0.44700000000000001</v>
      </c>
      <c r="H156" s="17">
        <v>0.58699999999999997</v>
      </c>
      <c r="I156" s="17">
        <f t="shared" si="14"/>
        <v>1.0538430941306411</v>
      </c>
      <c r="J156" s="17">
        <f t="shared" si="15"/>
        <v>1.192876097389608</v>
      </c>
      <c r="K156" s="17">
        <f t="shared" si="16"/>
        <v>4.9648025326225718E-4</v>
      </c>
      <c r="L156" s="17">
        <f t="shared" si="17"/>
        <v>1.3132090761750403</v>
      </c>
      <c r="N156" s="27">
        <v>10.686999999999999</v>
      </c>
      <c r="O156" s="27">
        <v>36.86</v>
      </c>
      <c r="P156" s="103">
        <f t="shared" si="18"/>
        <v>53.14</v>
      </c>
      <c r="Z156" s="17">
        <v>5.43</v>
      </c>
      <c r="AA156" s="17">
        <v>85.051000000000002</v>
      </c>
      <c r="AB156" s="17">
        <v>71.650999999999996</v>
      </c>
      <c r="AC156" s="17">
        <v>1168.44</v>
      </c>
      <c r="AD156" s="17">
        <v>1115.3900000000001</v>
      </c>
      <c r="AE156" s="17">
        <v>153.21899999999999</v>
      </c>
      <c r="AF156" s="17">
        <v>139.79900000000001</v>
      </c>
      <c r="AG156" s="17">
        <v>0.17338999999999999</v>
      </c>
      <c r="AH156" s="17">
        <v>6.8559999999999996E-2</v>
      </c>
      <c r="AI156" s="17">
        <v>0.25214999999999999</v>
      </c>
      <c r="AJ156" s="17">
        <v>0</v>
      </c>
      <c r="AK156" s="17">
        <v>0.50549999999999995</v>
      </c>
      <c r="AL156" s="17">
        <v>11.093999999999999</v>
      </c>
      <c r="AM156" s="17">
        <v>1.48628</v>
      </c>
      <c r="AN156" s="17">
        <v>60.27</v>
      </c>
      <c r="AO156" s="17">
        <v>0</v>
      </c>
      <c r="AP156" s="17">
        <v>819.72400000000005</v>
      </c>
      <c r="AQ156" s="17">
        <v>406.49099999999999</v>
      </c>
      <c r="AR156" s="17">
        <v>406.49099999999999</v>
      </c>
      <c r="AS156" s="17">
        <v>0</v>
      </c>
      <c r="AT156" s="17">
        <v>711.83699999999999</v>
      </c>
      <c r="AU156" s="17">
        <v>11.965</v>
      </c>
      <c r="AV156" s="17">
        <v>12.038</v>
      </c>
      <c r="AW156" s="17">
        <v>12.112</v>
      </c>
      <c r="AX156" s="17">
        <v>0.14699999999999999</v>
      </c>
      <c r="AY156" s="17">
        <f t="shared" si="20"/>
        <v>1.3070893974089044</v>
      </c>
      <c r="AZ156" s="17">
        <f t="shared" si="19"/>
        <v>9.8324855491329473</v>
      </c>
    </row>
    <row r="157" spans="1:52" s="96" customFormat="1" ht="18" customHeight="1" x14ac:dyDescent="0.2">
      <c r="A157" s="94" t="s">
        <v>125</v>
      </c>
      <c r="B157" s="97"/>
      <c r="C157" s="95"/>
      <c r="D157" s="95"/>
      <c r="E157" s="95"/>
      <c r="F157" s="95"/>
      <c r="G157" s="95"/>
      <c r="H157" s="95"/>
      <c r="I157" s="95"/>
      <c r="J157" s="95"/>
      <c r="K157" s="95"/>
      <c r="L157" s="95"/>
      <c r="M157" s="95"/>
      <c r="N157" s="97"/>
      <c r="O157" s="97"/>
      <c r="P157" s="102"/>
      <c r="Z157" s="95">
        <v>0</v>
      </c>
      <c r="AA157" s="95">
        <v>0</v>
      </c>
      <c r="AB157" s="95">
        <v>0</v>
      </c>
      <c r="AC157" s="95">
        <v>0</v>
      </c>
      <c r="AD157" s="95">
        <v>0</v>
      </c>
      <c r="AE157" s="95">
        <v>0</v>
      </c>
      <c r="AF157" s="95">
        <v>0</v>
      </c>
      <c r="AG157" s="95">
        <v>0</v>
      </c>
      <c r="AH157" s="95">
        <v>0</v>
      </c>
      <c r="AI157" s="95">
        <v>0</v>
      </c>
      <c r="AJ157" s="95">
        <v>0</v>
      </c>
      <c r="AK157" s="95">
        <v>0</v>
      </c>
      <c r="AL157" s="95">
        <v>0</v>
      </c>
      <c r="AM157" s="95">
        <v>0</v>
      </c>
      <c r="AN157" s="95">
        <v>0</v>
      </c>
      <c r="AO157" s="95">
        <v>0</v>
      </c>
      <c r="AP157" s="95">
        <v>0</v>
      </c>
      <c r="AQ157" s="95">
        <v>0</v>
      </c>
      <c r="AR157" s="95">
        <v>0</v>
      </c>
      <c r="AS157" s="95">
        <v>0</v>
      </c>
      <c r="AT157" s="95">
        <v>0</v>
      </c>
      <c r="AU157" s="95">
        <v>0</v>
      </c>
      <c r="AV157" s="95">
        <v>0</v>
      </c>
      <c r="AW157" s="95">
        <v>0</v>
      </c>
      <c r="AX157" s="95">
        <v>0</v>
      </c>
      <c r="AY157" s="95"/>
      <c r="AZ157" s="95">
        <f t="shared" si="19"/>
        <v>0</v>
      </c>
    </row>
    <row r="158" spans="1:52" s="96" customFormat="1" ht="18" customHeight="1" x14ac:dyDescent="0.2">
      <c r="A158" s="97"/>
      <c r="B158" s="97">
        <v>1</v>
      </c>
      <c r="C158" s="95">
        <v>84.830550000000002</v>
      </c>
      <c r="D158" s="95">
        <v>83.749300000000005</v>
      </c>
      <c r="E158" s="95">
        <v>1180.7244999999998</v>
      </c>
      <c r="F158" s="95">
        <v>1180.7244999999998</v>
      </c>
      <c r="G158" s="95">
        <v>0.52700000000000002</v>
      </c>
      <c r="H158" s="95">
        <v>0.36099999999999999</v>
      </c>
      <c r="I158" s="95">
        <f t="shared" si="14"/>
        <v>1.0287327050295683</v>
      </c>
      <c r="J158" s="95">
        <f t="shared" si="15"/>
        <v>1.0901539114293943</v>
      </c>
      <c r="K158" s="95">
        <f t="shared" si="16"/>
        <v>8.8147882598563557E-4</v>
      </c>
      <c r="L158" s="95">
        <f t="shared" si="17"/>
        <v>0.98725400224329563</v>
      </c>
      <c r="M158" s="95"/>
      <c r="N158" s="98">
        <v>12.016</v>
      </c>
      <c r="O158" s="107">
        <v>28.9</v>
      </c>
      <c r="P158" s="102">
        <f t="shared" si="18"/>
        <v>61.1</v>
      </c>
      <c r="Z158" s="95">
        <v>5.43</v>
      </c>
      <c r="AA158" s="95">
        <v>85.593000000000004</v>
      </c>
      <c r="AB158" s="95">
        <v>78.292000000000002</v>
      </c>
      <c r="AC158" s="95">
        <v>1149.76</v>
      </c>
      <c r="AD158" s="95">
        <v>1122.29</v>
      </c>
      <c r="AE158" s="95">
        <v>148.48400000000001</v>
      </c>
      <c r="AF158" s="95">
        <v>141.54</v>
      </c>
      <c r="AG158" s="95">
        <v>0.18829000000000001</v>
      </c>
      <c r="AH158" s="95">
        <v>6.8559999999999996E-2</v>
      </c>
      <c r="AI158" s="95">
        <v>0.25236999999999998</v>
      </c>
      <c r="AJ158" s="95">
        <v>0</v>
      </c>
      <c r="AK158" s="95">
        <v>0.36259999999999998</v>
      </c>
      <c r="AL158" s="95">
        <v>7.6479999999999997</v>
      </c>
      <c r="AM158" s="95">
        <v>1.48176</v>
      </c>
      <c r="AN158" s="95">
        <v>22.95</v>
      </c>
      <c r="AO158" s="95">
        <v>0</v>
      </c>
      <c r="AP158" s="95">
        <v>589.69200000000001</v>
      </c>
      <c r="AQ158" s="95">
        <v>543.00599999999997</v>
      </c>
      <c r="AR158" s="95">
        <v>543.00599999999997</v>
      </c>
      <c r="AS158" s="95">
        <v>0</v>
      </c>
      <c r="AT158" s="95">
        <v>229.95699999999999</v>
      </c>
      <c r="AU158" s="95">
        <v>10.741</v>
      </c>
      <c r="AV158" s="95">
        <v>10.797000000000001</v>
      </c>
      <c r="AW158" s="95">
        <v>10.853</v>
      </c>
      <c r="AX158" s="95">
        <v>0.113</v>
      </c>
      <c r="AY158" s="95">
        <f t="shared" si="20"/>
        <v>0.98503907104139576</v>
      </c>
      <c r="AZ158" s="95">
        <f t="shared" si="19"/>
        <v>9.895144508670521</v>
      </c>
    </row>
    <row r="159" spans="1:52" s="96" customFormat="1" ht="18" customHeight="1" x14ac:dyDescent="0.2">
      <c r="A159" s="97"/>
      <c r="B159" s="97">
        <v>2</v>
      </c>
      <c r="C159" s="95">
        <v>84.986249999999998</v>
      </c>
      <c r="D159" s="95">
        <v>84.047725</v>
      </c>
      <c r="E159" s="95">
        <v>1150.6447899999998</v>
      </c>
      <c r="F159" s="95">
        <v>1150.6447899999998</v>
      </c>
      <c r="G159" s="95">
        <v>0.53200000000000003</v>
      </c>
      <c r="H159" s="95">
        <v>0.37</v>
      </c>
      <c r="I159" s="95">
        <f t="shared" si="14"/>
        <v>1.0284459498919583</v>
      </c>
      <c r="J159" s="95">
        <f t="shared" si="15"/>
        <v>1.0909690967624279</v>
      </c>
      <c r="K159" s="95">
        <f t="shared" si="16"/>
        <v>7.6332992068915608E-4</v>
      </c>
      <c r="L159" s="95">
        <f t="shared" si="17"/>
        <v>0.98895674300254455</v>
      </c>
      <c r="M159" s="95"/>
      <c r="N159" s="98">
        <v>11.926</v>
      </c>
      <c r="O159" s="104">
        <v>24.17</v>
      </c>
      <c r="P159" s="102">
        <f t="shared" si="18"/>
        <v>65.83</v>
      </c>
      <c r="Z159" s="95">
        <v>5.43</v>
      </c>
      <c r="AA159" s="95">
        <v>85.652000000000001</v>
      </c>
      <c r="AB159" s="95">
        <v>78.31</v>
      </c>
      <c r="AC159" s="95">
        <v>1130.1600000000001</v>
      </c>
      <c r="AD159" s="95">
        <v>1102.95</v>
      </c>
      <c r="AE159" s="95">
        <v>143.52600000000001</v>
      </c>
      <c r="AF159" s="95">
        <v>136.666</v>
      </c>
      <c r="AG159" s="95">
        <v>0.19164</v>
      </c>
      <c r="AH159" s="95">
        <v>6.8559999999999996E-2</v>
      </c>
      <c r="AI159" s="95">
        <v>0.25175999999999998</v>
      </c>
      <c r="AJ159" s="95">
        <v>0</v>
      </c>
      <c r="AK159" s="95">
        <v>0.3634</v>
      </c>
      <c r="AL159" s="95">
        <v>7.3520000000000003</v>
      </c>
      <c r="AM159" s="95">
        <v>1.47736</v>
      </c>
      <c r="AN159" s="95">
        <v>18.760000000000002</v>
      </c>
      <c r="AO159" s="95">
        <v>0</v>
      </c>
      <c r="AP159" s="95">
        <v>586.08699999999999</v>
      </c>
      <c r="AQ159" s="95">
        <v>554.952</v>
      </c>
      <c r="AR159" s="95">
        <v>554.952</v>
      </c>
      <c r="AS159" s="95">
        <v>0</v>
      </c>
      <c r="AT159" s="95">
        <v>188.48400000000001</v>
      </c>
      <c r="AU159" s="95">
        <v>10.853</v>
      </c>
      <c r="AV159" s="95">
        <v>10.907</v>
      </c>
      <c r="AW159" s="95">
        <v>10.961</v>
      </c>
      <c r="AX159" s="95">
        <v>0.107</v>
      </c>
      <c r="AY159" s="95">
        <f t="shared" si="20"/>
        <v>0.98823149344655714</v>
      </c>
      <c r="AZ159" s="95">
        <f t="shared" si="19"/>
        <v>9.9019653179190747</v>
      </c>
    </row>
    <row r="160" spans="1:52" s="96" customFormat="1" ht="18" customHeight="1" x14ac:dyDescent="0.2">
      <c r="A160" s="97"/>
      <c r="B160" s="97">
        <v>3</v>
      </c>
      <c r="C160" s="95">
        <v>85.141950000000008</v>
      </c>
      <c r="D160" s="95">
        <v>84.319334999999995</v>
      </c>
      <c r="E160" s="95">
        <v>1127.6329900000001</v>
      </c>
      <c r="F160" s="95">
        <v>1127.6329900000001</v>
      </c>
      <c r="G160" s="95">
        <v>0.53700000000000003</v>
      </c>
      <c r="H160" s="95">
        <v>0.378</v>
      </c>
      <c r="I160" s="95">
        <f t="shared" si="14"/>
        <v>1.0282886022706328</v>
      </c>
      <c r="J160" s="95">
        <f t="shared" si="15"/>
        <v>1.0919082749996369</v>
      </c>
      <c r="K160" s="95">
        <f t="shared" si="16"/>
        <v>6.6762120687222093E-4</v>
      </c>
      <c r="L160" s="95">
        <f t="shared" si="17"/>
        <v>0.99033831149039908</v>
      </c>
      <c r="M160" s="95"/>
      <c r="N160" s="98">
        <v>11.823</v>
      </c>
      <c r="O160" s="104">
        <v>20.46</v>
      </c>
      <c r="P160" s="102">
        <f t="shared" si="18"/>
        <v>69.539999999999992</v>
      </c>
      <c r="Z160" s="95">
        <v>5.43</v>
      </c>
      <c r="AA160" s="95">
        <v>85.67</v>
      </c>
      <c r="AB160" s="95">
        <v>78.322999999999993</v>
      </c>
      <c r="AC160" s="95">
        <v>1116.0999999999999</v>
      </c>
      <c r="AD160" s="95">
        <v>1089.17</v>
      </c>
      <c r="AE160" s="95">
        <v>139.977</v>
      </c>
      <c r="AF160" s="95">
        <v>133.19999999999999</v>
      </c>
      <c r="AG160" s="95">
        <v>0.19409000000000001</v>
      </c>
      <c r="AH160" s="95">
        <v>6.8559999999999996E-2</v>
      </c>
      <c r="AI160" s="95">
        <v>0.25131999999999999</v>
      </c>
      <c r="AJ160" s="95">
        <v>0</v>
      </c>
      <c r="AK160" s="95">
        <v>0.36330000000000001</v>
      </c>
      <c r="AL160" s="95">
        <v>7.2409999999999997</v>
      </c>
      <c r="AM160" s="95">
        <v>1.47418</v>
      </c>
      <c r="AN160" s="95">
        <v>17.239999999999998</v>
      </c>
      <c r="AO160" s="95">
        <v>0</v>
      </c>
      <c r="AP160" s="95">
        <v>582.54</v>
      </c>
      <c r="AQ160" s="95">
        <v>556.37900000000002</v>
      </c>
      <c r="AR160" s="95">
        <v>556.37900000000002</v>
      </c>
      <c r="AS160" s="95">
        <v>0</v>
      </c>
      <c r="AT160" s="95">
        <v>172.61199999999999</v>
      </c>
      <c r="AU160" s="95">
        <v>10.961</v>
      </c>
      <c r="AV160" s="95">
        <v>11.013</v>
      </c>
      <c r="AW160" s="95">
        <v>11.065</v>
      </c>
      <c r="AX160" s="95">
        <v>0.105</v>
      </c>
      <c r="AY160" s="95">
        <f t="shared" si="20"/>
        <v>0.99002692614378329</v>
      </c>
      <c r="AZ160" s="95">
        <f t="shared" si="19"/>
        <v>9.9040462427745659</v>
      </c>
    </row>
    <row r="161" spans="1:52" s="96" customFormat="1" ht="18" customHeight="1" x14ac:dyDescent="0.2">
      <c r="A161" s="97"/>
      <c r="B161" s="97">
        <v>4</v>
      </c>
      <c r="C161" s="95">
        <v>85.350415000000012</v>
      </c>
      <c r="D161" s="95">
        <v>84.623814999999993</v>
      </c>
      <c r="E161" s="95">
        <v>1112.1274199999998</v>
      </c>
      <c r="F161" s="95">
        <v>1112.1274199999998</v>
      </c>
      <c r="G161" s="95">
        <v>0.54300000000000004</v>
      </c>
      <c r="H161" s="95">
        <v>0.38700000000000001</v>
      </c>
      <c r="I161" s="95">
        <f t="shared" si="14"/>
        <v>1.0281721374298538</v>
      </c>
      <c r="J161" s="95">
        <f t="shared" si="15"/>
        <v>1.0927413328081474</v>
      </c>
      <c r="K161" s="95">
        <f t="shared" si="16"/>
        <v>5.8815763584094734E-4</v>
      </c>
      <c r="L161" s="95">
        <f t="shared" si="17"/>
        <v>0.99148686037437528</v>
      </c>
      <c r="M161" s="95"/>
      <c r="N161" s="98">
        <v>11.693</v>
      </c>
      <c r="O161" s="104">
        <v>17.670000000000002</v>
      </c>
      <c r="P161" s="102">
        <f t="shared" si="18"/>
        <v>72.33</v>
      </c>
      <c r="Z161" s="95">
        <v>5.43</v>
      </c>
      <c r="AA161" s="95">
        <v>85.614000000000004</v>
      </c>
      <c r="AB161" s="95">
        <v>78.334000000000003</v>
      </c>
      <c r="AC161" s="95">
        <v>1111.54</v>
      </c>
      <c r="AD161" s="95">
        <v>1084.95</v>
      </c>
      <c r="AE161" s="95">
        <v>138.83000000000001</v>
      </c>
      <c r="AF161" s="95">
        <v>132.13900000000001</v>
      </c>
      <c r="AG161" s="95">
        <v>0.19488</v>
      </c>
      <c r="AH161" s="95">
        <v>6.8559999999999996E-2</v>
      </c>
      <c r="AI161" s="95">
        <v>0.25119000000000002</v>
      </c>
      <c r="AJ161" s="95">
        <v>0</v>
      </c>
      <c r="AK161" s="95">
        <v>0.36170000000000002</v>
      </c>
      <c r="AL161" s="95">
        <v>7.234</v>
      </c>
      <c r="AM161" s="95">
        <v>1.4732000000000001</v>
      </c>
      <c r="AN161" s="95">
        <v>16.61</v>
      </c>
      <c r="AO161" s="95">
        <v>0</v>
      </c>
      <c r="AP161" s="95">
        <v>578.81399999999996</v>
      </c>
      <c r="AQ161" s="95">
        <v>554.65099999999995</v>
      </c>
      <c r="AR161" s="95">
        <v>554.65099999999995</v>
      </c>
      <c r="AS161" s="95">
        <v>0</v>
      </c>
      <c r="AT161" s="95">
        <v>165.49299999999999</v>
      </c>
      <c r="AU161" s="95">
        <v>11.065</v>
      </c>
      <c r="AV161" s="95">
        <v>11.117000000000001</v>
      </c>
      <c r="AW161" s="95">
        <v>11.169</v>
      </c>
      <c r="AX161" s="95">
        <v>0.104</v>
      </c>
      <c r="AY161" s="95">
        <f t="shared" si="20"/>
        <v>0.99097159524967016</v>
      </c>
      <c r="AZ161" s="95">
        <f t="shared" si="19"/>
        <v>9.8975722543352607</v>
      </c>
    </row>
    <row r="162" spans="1:52" s="96" customFormat="1" ht="18" customHeight="1" x14ac:dyDescent="0.2">
      <c r="A162" s="97"/>
      <c r="B162" s="97">
        <v>5</v>
      </c>
      <c r="C162" s="95">
        <v>85.558014999999997</v>
      </c>
      <c r="D162" s="95">
        <v>84.866015000000004</v>
      </c>
      <c r="E162" s="95">
        <v>1105.8813600000001</v>
      </c>
      <c r="F162" s="95">
        <v>1105.8813600000001</v>
      </c>
      <c r="G162" s="95">
        <v>0.54900000000000004</v>
      </c>
      <c r="H162" s="95">
        <v>0.39400000000000002</v>
      </c>
      <c r="I162" s="95">
        <f t="shared" si="14"/>
        <v>1.028352727207833</v>
      </c>
      <c r="J162" s="95">
        <f t="shared" si="15"/>
        <v>1.0938819954660595</v>
      </c>
      <c r="K162" s="95">
        <f t="shared" si="16"/>
        <v>5.5878902728263759E-4</v>
      </c>
      <c r="L162" s="95">
        <f t="shared" si="17"/>
        <v>0.99191192081770485</v>
      </c>
      <c r="M162" s="95"/>
      <c r="N162" s="98">
        <v>11.566000000000001</v>
      </c>
      <c r="O162" s="104">
        <v>16.52</v>
      </c>
      <c r="P162" s="102">
        <f t="shared" si="18"/>
        <v>73.48</v>
      </c>
      <c r="Z162" s="95">
        <v>5.43</v>
      </c>
      <c r="AA162" s="95">
        <v>85.491</v>
      </c>
      <c r="AB162" s="95">
        <v>78.344999999999999</v>
      </c>
      <c r="AC162" s="95">
        <v>1109.28</v>
      </c>
      <c r="AD162" s="95">
        <v>1083.21</v>
      </c>
      <c r="AE162" s="95">
        <v>138.26</v>
      </c>
      <c r="AF162" s="95">
        <v>131.69999999999999</v>
      </c>
      <c r="AG162" s="95">
        <v>0.19522</v>
      </c>
      <c r="AH162" s="95">
        <v>6.8559999999999996E-2</v>
      </c>
      <c r="AI162" s="95">
        <v>0.25113000000000002</v>
      </c>
      <c r="AJ162" s="95">
        <v>0</v>
      </c>
      <c r="AK162" s="95">
        <v>0.3584</v>
      </c>
      <c r="AL162" s="95">
        <v>7.2850000000000001</v>
      </c>
      <c r="AM162" s="95">
        <v>1.47279</v>
      </c>
      <c r="AN162" s="95">
        <v>16.399999999999999</v>
      </c>
      <c r="AO162" s="95">
        <v>0</v>
      </c>
      <c r="AP162" s="95">
        <v>573.12900000000002</v>
      </c>
      <c r="AQ162" s="95">
        <v>549.82100000000003</v>
      </c>
      <c r="AR162" s="95">
        <v>549.82100000000003</v>
      </c>
      <c r="AS162" s="95">
        <v>0</v>
      </c>
      <c r="AT162" s="95">
        <v>161.78299999999999</v>
      </c>
      <c r="AU162" s="95">
        <v>11.169</v>
      </c>
      <c r="AV162" s="95">
        <v>11.221</v>
      </c>
      <c r="AW162" s="95">
        <v>11.272</v>
      </c>
      <c r="AX162" s="95">
        <v>0.10299999999999999</v>
      </c>
      <c r="AY162" s="95">
        <f t="shared" si="20"/>
        <v>0.99191302733559195</v>
      </c>
      <c r="AZ162" s="95">
        <f t="shared" si="19"/>
        <v>9.8833526011560693</v>
      </c>
    </row>
    <row r="163" spans="1:52" s="96" customFormat="1" ht="18" customHeight="1" x14ac:dyDescent="0.2">
      <c r="A163" s="97"/>
      <c r="B163" s="97">
        <v>6</v>
      </c>
      <c r="C163" s="95">
        <v>85.765615000000011</v>
      </c>
      <c r="D163" s="95">
        <v>85.071020000000004</v>
      </c>
      <c r="E163" s="95">
        <v>1104.0732899999998</v>
      </c>
      <c r="F163" s="95">
        <v>1104.0732899999998</v>
      </c>
      <c r="G163" s="95">
        <v>0.55500000000000005</v>
      </c>
      <c r="H163" s="95">
        <v>0.4</v>
      </c>
      <c r="I163" s="95">
        <f t="shared" si="14"/>
        <v>1.0286870155038759</v>
      </c>
      <c r="J163" s="95">
        <f t="shared" si="15"/>
        <v>1.095115275743225</v>
      </c>
      <c r="K163" s="95">
        <f t="shared" si="16"/>
        <v>5.5955144138114359E-4</v>
      </c>
      <c r="L163" s="95">
        <f t="shared" si="17"/>
        <v>0.99190124154068027</v>
      </c>
      <c r="M163" s="95"/>
      <c r="N163" s="98">
        <v>11.44</v>
      </c>
      <c r="O163" s="104">
        <v>16.37</v>
      </c>
      <c r="P163" s="102">
        <f t="shared" si="18"/>
        <v>73.63</v>
      </c>
      <c r="Z163" s="95">
        <v>5.43</v>
      </c>
      <c r="AA163" s="95">
        <v>85.391000000000005</v>
      </c>
      <c r="AB163" s="95">
        <v>78.355000000000004</v>
      </c>
      <c r="AC163" s="95">
        <v>1108.94</v>
      </c>
      <c r="AD163" s="95">
        <v>1083.25</v>
      </c>
      <c r="AE163" s="95">
        <v>138.17400000000001</v>
      </c>
      <c r="AF163" s="95">
        <v>131.71199999999999</v>
      </c>
      <c r="AG163" s="95">
        <v>0.19522999999999999</v>
      </c>
      <c r="AH163" s="95">
        <v>6.8559999999999996E-2</v>
      </c>
      <c r="AI163" s="95">
        <v>0.25113000000000002</v>
      </c>
      <c r="AJ163" s="95">
        <v>0</v>
      </c>
      <c r="AK163" s="95">
        <v>0.35570000000000002</v>
      </c>
      <c r="AL163" s="95">
        <v>7.3390000000000004</v>
      </c>
      <c r="AM163" s="95">
        <v>1.47279</v>
      </c>
      <c r="AN163" s="95">
        <v>16.39</v>
      </c>
      <c r="AO163" s="95">
        <v>0</v>
      </c>
      <c r="AP163" s="95">
        <v>568.83600000000001</v>
      </c>
      <c r="AQ163" s="95">
        <v>545.72799999999995</v>
      </c>
      <c r="AR163" s="95">
        <v>545.72799999999995</v>
      </c>
      <c r="AS163" s="95">
        <v>0</v>
      </c>
      <c r="AT163" s="95">
        <v>160.48599999999999</v>
      </c>
      <c r="AU163" s="95">
        <v>11.272</v>
      </c>
      <c r="AV163" s="95">
        <v>11.324</v>
      </c>
      <c r="AW163" s="95">
        <v>11.375</v>
      </c>
      <c r="AX163" s="95">
        <v>0.10299999999999999</v>
      </c>
      <c r="AY163" s="95">
        <f t="shared" si="20"/>
        <v>0.99272236883406784</v>
      </c>
      <c r="AZ163" s="95">
        <f t="shared" si="19"/>
        <v>9.8717919075144511</v>
      </c>
    </row>
    <row r="164" spans="1:52" s="96" customFormat="1" ht="18" customHeight="1" x14ac:dyDescent="0.2">
      <c r="A164" s="97"/>
      <c r="B164" s="97">
        <v>7</v>
      </c>
      <c r="C164" s="95">
        <v>85.973214999999996</v>
      </c>
      <c r="D164" s="95">
        <v>85.264780000000016</v>
      </c>
      <c r="E164" s="95">
        <v>1104.4568199999999</v>
      </c>
      <c r="F164" s="95">
        <v>1104.12808</v>
      </c>
      <c r="G164" s="95">
        <v>0.56100000000000005</v>
      </c>
      <c r="H164" s="95">
        <v>0.40500000000000003</v>
      </c>
      <c r="I164" s="95">
        <f t="shared" si="14"/>
        <v>1.0288755536352356</v>
      </c>
      <c r="J164" s="95">
        <f t="shared" si="15"/>
        <v>1.0968038843986372</v>
      </c>
      <c r="K164" s="95">
        <f t="shared" si="16"/>
        <v>4.9791570629902516E-4</v>
      </c>
      <c r="L164" s="95">
        <f t="shared" si="17"/>
        <v>0.9917598172872798</v>
      </c>
      <c r="M164" s="95"/>
      <c r="N164" s="98">
        <v>11.315</v>
      </c>
      <c r="O164" s="104">
        <v>16.39</v>
      </c>
      <c r="P164" s="102">
        <f t="shared" si="18"/>
        <v>73.61</v>
      </c>
      <c r="Z164" s="95">
        <v>5.43</v>
      </c>
      <c r="AA164" s="95">
        <v>85.147000000000006</v>
      </c>
      <c r="AB164" s="95">
        <v>78.364000000000004</v>
      </c>
      <c r="AC164" s="95">
        <v>1109.8800000000001</v>
      </c>
      <c r="AD164" s="95">
        <v>1085.05</v>
      </c>
      <c r="AE164" s="95">
        <v>138.41</v>
      </c>
      <c r="AF164" s="95">
        <v>132.16399999999999</v>
      </c>
      <c r="AG164" s="95">
        <v>0.19492999999999999</v>
      </c>
      <c r="AH164" s="95">
        <v>6.8559999999999996E-2</v>
      </c>
      <c r="AI164" s="95">
        <v>0.25119000000000002</v>
      </c>
      <c r="AJ164" s="95">
        <v>0</v>
      </c>
      <c r="AK164" s="95">
        <v>0.34939999999999999</v>
      </c>
      <c r="AL164" s="95">
        <v>7.476</v>
      </c>
      <c r="AM164" s="95">
        <v>1.4732000000000001</v>
      </c>
      <c r="AN164" s="95">
        <v>16.37</v>
      </c>
      <c r="AO164" s="95">
        <v>0</v>
      </c>
      <c r="AP164" s="95">
        <v>559.21299999999997</v>
      </c>
      <c r="AQ164" s="95">
        <v>536.53800000000001</v>
      </c>
      <c r="AR164" s="95">
        <v>536.53800000000001</v>
      </c>
      <c r="AS164" s="95">
        <v>0</v>
      </c>
      <c r="AT164" s="95">
        <v>157.62700000000001</v>
      </c>
      <c r="AU164" s="95">
        <v>11.375</v>
      </c>
      <c r="AV164" s="95">
        <v>11.427</v>
      </c>
      <c r="AW164" s="95">
        <v>11.478999999999999</v>
      </c>
      <c r="AX164" s="95">
        <v>0.104</v>
      </c>
      <c r="AY164" s="95">
        <f t="shared" si="20"/>
        <v>0.99199617867045697</v>
      </c>
      <c r="AZ164" s="95">
        <f t="shared" si="19"/>
        <v>9.8435838150289019</v>
      </c>
    </row>
    <row r="165" spans="1:52" s="96" customFormat="1" ht="18" customHeight="1" x14ac:dyDescent="0.2">
      <c r="A165" s="97"/>
      <c r="B165" s="97">
        <v>8</v>
      </c>
      <c r="C165" s="95">
        <v>86.18081500000001</v>
      </c>
      <c r="D165" s="95">
        <v>85.436915000000013</v>
      </c>
      <c r="E165" s="95">
        <v>1107.5250599999999</v>
      </c>
      <c r="F165" s="95">
        <v>1107.5250599999999</v>
      </c>
      <c r="G165" s="95">
        <v>0.56799999999999995</v>
      </c>
      <c r="H165" s="95">
        <v>0.40899999999999997</v>
      </c>
      <c r="I165" s="95">
        <f t="shared" si="14"/>
        <v>1.0300628125313873</v>
      </c>
      <c r="J165" s="95">
        <f t="shared" si="15"/>
        <v>1.0996587674117069</v>
      </c>
      <c r="K165" s="95">
        <f t="shared" si="16"/>
        <v>5.9650348925837163E-4</v>
      </c>
      <c r="L165" s="95">
        <f t="shared" si="17"/>
        <v>0.99136814846784638</v>
      </c>
      <c r="M165" s="95"/>
      <c r="N165" s="98">
        <v>11.19</v>
      </c>
      <c r="O165" s="104">
        <v>16.399999999999999</v>
      </c>
      <c r="P165" s="102">
        <f t="shared" si="18"/>
        <v>73.599999999999994</v>
      </c>
      <c r="Z165" s="95">
        <v>5.43</v>
      </c>
      <c r="AA165" s="95">
        <v>84.944999999999993</v>
      </c>
      <c r="AB165" s="95">
        <v>78.373999999999995</v>
      </c>
      <c r="AC165" s="95">
        <v>1112.3499999999999</v>
      </c>
      <c r="AD165" s="95">
        <v>1088.22</v>
      </c>
      <c r="AE165" s="95">
        <v>139.03299999999999</v>
      </c>
      <c r="AF165" s="95">
        <v>132.96</v>
      </c>
      <c r="AG165" s="95">
        <v>0.19439000000000001</v>
      </c>
      <c r="AH165" s="95">
        <v>6.8559999999999996E-2</v>
      </c>
      <c r="AI165" s="95">
        <v>0.25129000000000001</v>
      </c>
      <c r="AJ165" s="95">
        <v>0</v>
      </c>
      <c r="AK165" s="95">
        <v>0.34410000000000002</v>
      </c>
      <c r="AL165" s="95">
        <v>7.6059999999999999</v>
      </c>
      <c r="AM165" s="95">
        <v>1.4739199999999999</v>
      </c>
      <c r="AN165" s="95">
        <v>16.47</v>
      </c>
      <c r="AO165" s="95">
        <v>0</v>
      </c>
      <c r="AP165" s="95">
        <v>551.45000000000005</v>
      </c>
      <c r="AQ165" s="95">
        <v>528.82399999999996</v>
      </c>
      <c r="AR165" s="95">
        <v>528.82399999999996</v>
      </c>
      <c r="AS165" s="95">
        <v>0</v>
      </c>
      <c r="AT165" s="95">
        <v>156.34</v>
      </c>
      <c r="AU165" s="95">
        <v>11.478999999999999</v>
      </c>
      <c r="AV165" s="95">
        <v>11.532</v>
      </c>
      <c r="AW165" s="95">
        <v>11.584</v>
      </c>
      <c r="AX165" s="95">
        <v>0.105</v>
      </c>
      <c r="AY165" s="95">
        <f t="shared" si="20"/>
        <v>0.99190779794016659</v>
      </c>
      <c r="AZ165" s="95">
        <f t="shared" si="19"/>
        <v>9.820231213872832</v>
      </c>
    </row>
    <row r="166" spans="1:52" s="96" customFormat="1" ht="18" customHeight="1" x14ac:dyDescent="0.2">
      <c r="A166" s="97"/>
      <c r="B166" s="97">
        <v>9</v>
      </c>
      <c r="C166" s="95">
        <v>86.388415000000009</v>
      </c>
      <c r="D166" s="95">
        <v>85.556285000000003</v>
      </c>
      <c r="E166" s="95">
        <v>1113.99028</v>
      </c>
      <c r="F166" s="95">
        <v>1113.99028</v>
      </c>
      <c r="G166" s="95">
        <v>0.57499999999999996</v>
      </c>
      <c r="H166" s="95">
        <v>0.41199999999999998</v>
      </c>
      <c r="I166" s="95">
        <f t="shared" si="14"/>
        <v>1.031119722756098</v>
      </c>
      <c r="J166" s="95">
        <f t="shared" si="15"/>
        <v>1.1024990940445289</v>
      </c>
      <c r="K166" s="95">
        <f t="shared" si="16"/>
        <v>6.6580191896252992E-4</v>
      </c>
      <c r="L166" s="95">
        <f t="shared" si="17"/>
        <v>0.99036757417068011</v>
      </c>
      <c r="M166" s="95"/>
      <c r="N166" s="98">
        <v>11.063000000000001</v>
      </c>
      <c r="O166" s="104">
        <v>16.940000000000001</v>
      </c>
      <c r="P166" s="102">
        <f t="shared" si="18"/>
        <v>73.06</v>
      </c>
      <c r="Z166" s="95">
        <v>5.43</v>
      </c>
      <c r="AA166" s="95">
        <v>84.763000000000005</v>
      </c>
      <c r="AB166" s="95">
        <v>78.382999999999996</v>
      </c>
      <c r="AC166" s="95">
        <v>1116.6199999999999</v>
      </c>
      <c r="AD166" s="95">
        <v>1093.08</v>
      </c>
      <c r="AE166" s="95">
        <v>140.108</v>
      </c>
      <c r="AF166" s="95">
        <v>134.18199999999999</v>
      </c>
      <c r="AG166" s="95">
        <v>0.19355</v>
      </c>
      <c r="AH166" s="95">
        <v>6.8559999999999996E-2</v>
      </c>
      <c r="AI166" s="95">
        <v>0.25144</v>
      </c>
      <c r="AJ166" s="95">
        <v>0</v>
      </c>
      <c r="AK166" s="95">
        <v>0.3392</v>
      </c>
      <c r="AL166" s="95">
        <v>7.7560000000000002</v>
      </c>
      <c r="AM166" s="95">
        <v>1.4750300000000001</v>
      </c>
      <c r="AN166" s="95">
        <v>17.02</v>
      </c>
      <c r="AO166" s="95">
        <v>0</v>
      </c>
      <c r="AP166" s="95">
        <v>544.73599999999999</v>
      </c>
      <c r="AQ166" s="95">
        <v>520.87900000000002</v>
      </c>
      <c r="AR166" s="95">
        <v>520.87900000000002</v>
      </c>
      <c r="AS166" s="95">
        <v>0</v>
      </c>
      <c r="AT166" s="95">
        <v>159.44399999999999</v>
      </c>
      <c r="AU166" s="95">
        <v>11.584</v>
      </c>
      <c r="AV166" s="95">
        <v>11.637</v>
      </c>
      <c r="AW166" s="95">
        <v>11.69</v>
      </c>
      <c r="AX166" s="95">
        <v>0.106</v>
      </c>
      <c r="AY166" s="95">
        <f t="shared" si="20"/>
        <v>0.99172809172809184</v>
      </c>
      <c r="AZ166" s="95">
        <f t="shared" si="19"/>
        <v>9.7991907514450869</v>
      </c>
    </row>
    <row r="167" spans="1:52" s="96" customFormat="1" ht="18" customHeight="1" x14ac:dyDescent="0.2">
      <c r="A167" s="97"/>
      <c r="B167" s="97">
        <v>10</v>
      </c>
      <c r="C167" s="95">
        <v>86.596015000000008</v>
      </c>
      <c r="D167" s="95">
        <v>85.572720000000004</v>
      </c>
      <c r="E167" s="95">
        <v>1128.5644199999999</v>
      </c>
      <c r="F167" s="95">
        <v>1128.5644199999999</v>
      </c>
      <c r="G167" s="95">
        <v>0.58199999999999996</v>
      </c>
      <c r="H167" s="95">
        <v>0.41299999999999998</v>
      </c>
      <c r="I167" s="95">
        <f t="shared" si="14"/>
        <v>1.0325215658083278</v>
      </c>
      <c r="J167" s="95">
        <f t="shared" si="15"/>
        <v>1.1053107383125533</v>
      </c>
      <c r="K167" s="95">
        <f t="shared" si="16"/>
        <v>8.1727180187535914E-4</v>
      </c>
      <c r="L167" s="95">
        <f t="shared" si="17"/>
        <v>0.98818311674041803</v>
      </c>
      <c r="M167" s="95"/>
      <c r="N167" s="98">
        <v>10.935</v>
      </c>
      <c r="O167" s="104">
        <v>18.79</v>
      </c>
      <c r="P167" s="102">
        <f t="shared" si="18"/>
        <v>71.210000000000008</v>
      </c>
      <c r="Z167" s="95">
        <v>5.43</v>
      </c>
      <c r="AA167" s="95">
        <v>84.641000000000005</v>
      </c>
      <c r="AB167" s="95">
        <v>78.394000000000005</v>
      </c>
      <c r="AC167" s="95">
        <v>1124.71</v>
      </c>
      <c r="AD167" s="95">
        <v>1101.51</v>
      </c>
      <c r="AE167" s="95">
        <v>142.15199999999999</v>
      </c>
      <c r="AF167" s="95">
        <v>136.30099999999999</v>
      </c>
      <c r="AG167" s="95">
        <v>0.19209000000000001</v>
      </c>
      <c r="AH167" s="95">
        <v>6.8559999999999996E-2</v>
      </c>
      <c r="AI167" s="95">
        <v>0.25170999999999999</v>
      </c>
      <c r="AJ167" s="95">
        <v>0</v>
      </c>
      <c r="AK167" s="95">
        <v>0.33579999999999999</v>
      </c>
      <c r="AL167" s="95">
        <v>7.92</v>
      </c>
      <c r="AM167" s="95">
        <v>1.47695</v>
      </c>
      <c r="AN167" s="95">
        <v>18.27</v>
      </c>
      <c r="AO167" s="95">
        <v>0</v>
      </c>
      <c r="AP167" s="95">
        <v>541.27200000000005</v>
      </c>
      <c r="AQ167" s="95">
        <v>513.97400000000005</v>
      </c>
      <c r="AR167" s="95">
        <v>513.97400000000005</v>
      </c>
      <c r="AS167" s="95">
        <v>0</v>
      </c>
      <c r="AT167" s="95">
        <v>169.72399999999999</v>
      </c>
      <c r="AU167" s="95">
        <v>11.69</v>
      </c>
      <c r="AV167" s="95">
        <v>11.744</v>
      </c>
      <c r="AW167" s="95">
        <v>11.798</v>
      </c>
      <c r="AX167" s="95">
        <v>0.107</v>
      </c>
      <c r="AY167" s="95">
        <f t="shared" si="20"/>
        <v>0.991240089472883</v>
      </c>
      <c r="AZ167" s="95">
        <f t="shared" si="19"/>
        <v>9.7850867052023123</v>
      </c>
    </row>
    <row r="168" spans="1:52" s="96" customFormat="1" ht="18" customHeight="1" x14ac:dyDescent="0.2">
      <c r="A168" s="97"/>
      <c r="B168" s="97">
        <v>11</v>
      </c>
      <c r="C168" s="95">
        <v>86.803615000000008</v>
      </c>
      <c r="D168" s="95">
        <v>85.494005000000001</v>
      </c>
      <c r="E168" s="95">
        <v>1154.3157199999998</v>
      </c>
      <c r="F168" s="95">
        <v>1154.3157199999998</v>
      </c>
      <c r="G168" s="95">
        <v>0.59099999999999997</v>
      </c>
      <c r="H168" s="95">
        <v>0.41099999999999998</v>
      </c>
      <c r="I168" s="95">
        <f t="shared" si="14"/>
        <v>1.0348931624220994</v>
      </c>
      <c r="J168" s="95">
        <f t="shared" si="15"/>
        <v>1.1105347728265726</v>
      </c>
      <c r="K168" s="95">
        <f t="shared" si="16"/>
        <v>1.0446702694707835E-3</v>
      </c>
      <c r="L168" s="95">
        <f t="shared" si="17"/>
        <v>0.98491295552610325</v>
      </c>
      <c r="M168" s="95"/>
      <c r="N168" s="98">
        <v>10.8</v>
      </c>
      <c r="O168" s="104">
        <v>23.11</v>
      </c>
      <c r="P168" s="102">
        <f t="shared" si="18"/>
        <v>66.89</v>
      </c>
      <c r="Z168" s="95">
        <v>5.43</v>
      </c>
      <c r="AA168" s="95">
        <v>84.495999999999995</v>
      </c>
      <c r="AB168" s="95">
        <v>78.406000000000006</v>
      </c>
      <c r="AC168" s="95">
        <v>1139.8599999999999</v>
      </c>
      <c r="AD168" s="95">
        <v>1116.95</v>
      </c>
      <c r="AE168" s="95">
        <v>145.97900000000001</v>
      </c>
      <c r="AF168" s="95">
        <v>140.19300000000001</v>
      </c>
      <c r="AG168" s="95">
        <v>0.18947</v>
      </c>
      <c r="AH168" s="95">
        <v>6.8559999999999996E-2</v>
      </c>
      <c r="AI168" s="95">
        <v>0.25219999999999998</v>
      </c>
      <c r="AJ168" s="95">
        <v>0</v>
      </c>
      <c r="AK168" s="95">
        <v>0.33169999999999999</v>
      </c>
      <c r="AL168" s="95">
        <v>8.1910000000000007</v>
      </c>
      <c r="AM168" s="95">
        <v>1.48045</v>
      </c>
      <c r="AN168" s="95">
        <v>20.61</v>
      </c>
      <c r="AO168" s="95">
        <v>0</v>
      </c>
      <c r="AP168" s="95">
        <v>538.28800000000001</v>
      </c>
      <c r="AQ168" s="95">
        <v>503.84300000000002</v>
      </c>
      <c r="AR168" s="95">
        <v>503.84300000000002</v>
      </c>
      <c r="AS168" s="95">
        <v>0</v>
      </c>
      <c r="AT168" s="95">
        <v>189.46299999999999</v>
      </c>
      <c r="AU168" s="95">
        <v>11.798</v>
      </c>
      <c r="AV168" s="95">
        <v>11.853</v>
      </c>
      <c r="AW168" s="95">
        <v>11.907999999999999</v>
      </c>
      <c r="AX168" s="95">
        <v>0.11</v>
      </c>
      <c r="AY168" s="95">
        <f t="shared" si="20"/>
        <v>0.99028420744213297</v>
      </c>
      <c r="AZ168" s="95">
        <f t="shared" si="19"/>
        <v>9.7683236994219644</v>
      </c>
    </row>
    <row r="169" spans="1:52" s="96" customFormat="1" ht="18" customHeight="1" x14ac:dyDescent="0.2">
      <c r="A169" s="97"/>
      <c r="B169" s="97">
        <v>12</v>
      </c>
      <c r="C169" s="95">
        <v>86.907415</v>
      </c>
      <c r="D169" s="95">
        <v>85.401449999999997</v>
      </c>
      <c r="E169" s="95">
        <v>1172.9443200000001</v>
      </c>
      <c r="F169" s="95">
        <v>1172.9443200000001</v>
      </c>
      <c r="G169" s="95">
        <v>0.59699999999999998</v>
      </c>
      <c r="H169" s="95">
        <v>0.40799999999999997</v>
      </c>
      <c r="I169" s="95">
        <f t="shared" si="14"/>
        <v>1.0367649905234992</v>
      </c>
      <c r="J169" s="95">
        <f t="shared" si="15"/>
        <v>1.115037682318416</v>
      </c>
      <c r="K169" s="95">
        <f t="shared" si="16"/>
        <v>1.2009808857423665E-3</v>
      </c>
      <c r="L169" s="95">
        <f t="shared" si="17"/>
        <v>0.9826716166854117</v>
      </c>
      <c r="M169" s="95"/>
      <c r="N169" s="98">
        <v>10.728999999999999</v>
      </c>
      <c r="O169" s="107">
        <v>28.8</v>
      </c>
      <c r="P169" s="102">
        <f t="shared" si="18"/>
        <v>61.2</v>
      </c>
      <c r="Z169" s="95">
        <v>5.43</v>
      </c>
      <c r="AA169" s="95">
        <v>84.073999999999998</v>
      </c>
      <c r="AB169" s="95">
        <v>78.423000000000002</v>
      </c>
      <c r="AC169" s="95">
        <v>1168.44</v>
      </c>
      <c r="AD169" s="95">
        <v>1146.6500000000001</v>
      </c>
      <c r="AE169" s="95">
        <v>153.21899999999999</v>
      </c>
      <c r="AF169" s="95">
        <v>147.697</v>
      </c>
      <c r="AG169" s="95">
        <v>0.18459999999999999</v>
      </c>
      <c r="AH169" s="95">
        <v>6.8559999999999996E-2</v>
      </c>
      <c r="AI169" s="95">
        <v>0.25313999999999998</v>
      </c>
      <c r="AJ169" s="95">
        <v>0</v>
      </c>
      <c r="AK169" s="95">
        <v>0.3201</v>
      </c>
      <c r="AL169" s="95">
        <v>8.9160000000000004</v>
      </c>
      <c r="AM169" s="95">
        <v>1.4870699999999999</v>
      </c>
      <c r="AN169" s="95">
        <v>25.38</v>
      </c>
      <c r="AO169" s="95">
        <v>0</v>
      </c>
      <c r="AP169" s="95">
        <v>525.84299999999996</v>
      </c>
      <c r="AQ169" s="95">
        <v>475.08600000000001</v>
      </c>
      <c r="AR169" s="95">
        <v>475.08600000000001</v>
      </c>
      <c r="AS169" s="95">
        <v>0</v>
      </c>
      <c r="AT169" s="95">
        <v>225.39699999999999</v>
      </c>
      <c r="AU169" s="95">
        <v>11.907999999999999</v>
      </c>
      <c r="AV169" s="95">
        <v>11.967000000000001</v>
      </c>
      <c r="AW169" s="95">
        <v>12.026</v>
      </c>
      <c r="AX169" s="95">
        <v>0.11899999999999999</v>
      </c>
      <c r="AY169" s="95">
        <f t="shared" si="20"/>
        <v>0.98851277468812826</v>
      </c>
      <c r="AZ169" s="95">
        <f t="shared" si="19"/>
        <v>9.7195375722543353</v>
      </c>
    </row>
    <row r="170" spans="1:52" ht="18" customHeight="1" x14ac:dyDescent="0.2">
      <c r="A170" s="26" t="s">
        <v>126</v>
      </c>
      <c r="N170" s="27"/>
      <c r="O170" s="27"/>
      <c r="P170" s="103"/>
      <c r="Z170" s="17">
        <v>0</v>
      </c>
      <c r="AA170" s="17">
        <v>0</v>
      </c>
      <c r="AB170" s="17">
        <v>0</v>
      </c>
      <c r="AC170" s="17">
        <v>0</v>
      </c>
      <c r="AD170" s="17">
        <v>0</v>
      </c>
      <c r="AE170" s="17">
        <v>0</v>
      </c>
      <c r="AF170" s="17">
        <v>0</v>
      </c>
      <c r="AG170" s="17">
        <v>0</v>
      </c>
      <c r="AH170" s="17">
        <v>0</v>
      </c>
      <c r="AI170" s="17">
        <v>0</v>
      </c>
      <c r="AJ170" s="17">
        <v>0</v>
      </c>
      <c r="AK170" s="17">
        <v>0</v>
      </c>
      <c r="AL170" s="17">
        <v>0</v>
      </c>
      <c r="AM170" s="17">
        <v>0</v>
      </c>
      <c r="AN170" s="17">
        <v>0</v>
      </c>
      <c r="AO170" s="17">
        <v>0</v>
      </c>
      <c r="AP170" s="17">
        <v>0</v>
      </c>
      <c r="AQ170" s="17">
        <v>0</v>
      </c>
      <c r="AR170" s="17">
        <v>0</v>
      </c>
      <c r="AS170" s="17">
        <v>0</v>
      </c>
      <c r="AT170" s="17">
        <v>0</v>
      </c>
      <c r="AU170" s="17">
        <v>0</v>
      </c>
      <c r="AV170" s="17">
        <v>0</v>
      </c>
      <c r="AW170" s="17">
        <v>0</v>
      </c>
      <c r="AX170" s="17">
        <v>0</v>
      </c>
      <c r="AZ170" s="17">
        <f t="shared" si="19"/>
        <v>0</v>
      </c>
    </row>
    <row r="171" spans="1:52" ht="18" customHeight="1" x14ac:dyDescent="0.2">
      <c r="B171" s="26">
        <v>1</v>
      </c>
      <c r="C171" s="17">
        <v>83.749300000000005</v>
      </c>
      <c r="D171" s="17">
        <v>108.72963500000002</v>
      </c>
      <c r="E171" s="17">
        <v>1180.7244999999998</v>
      </c>
      <c r="F171" s="17">
        <v>1275.7851499999999</v>
      </c>
      <c r="G171" s="17">
        <v>0.378</v>
      </c>
      <c r="H171" s="17">
        <v>0.50700000000000001</v>
      </c>
      <c r="I171" s="17">
        <f t="shared" si="14"/>
        <v>1.0570454751334144</v>
      </c>
      <c r="J171" s="17">
        <f t="shared" si="15"/>
        <v>1.202245630566257</v>
      </c>
      <c r="K171" s="17">
        <f t="shared" si="16"/>
        <v>6.8835042734671607E-4</v>
      </c>
      <c r="L171" s="17">
        <f t="shared" si="17"/>
        <v>1.2982751497624458</v>
      </c>
      <c r="N171" s="26">
        <v>11.930999999999999</v>
      </c>
      <c r="O171" s="103">
        <v>53.51</v>
      </c>
      <c r="P171" s="103">
        <f t="shared" si="18"/>
        <v>36.49</v>
      </c>
      <c r="Z171" s="17">
        <v>5.43</v>
      </c>
      <c r="AA171" s="17">
        <v>111.32599999999999</v>
      </c>
      <c r="AB171" s="17">
        <v>91.12</v>
      </c>
      <c r="AC171" s="17">
        <v>1241.8699999999999</v>
      </c>
      <c r="AD171" s="17">
        <v>1176.78</v>
      </c>
      <c r="AE171" s="17">
        <v>171.94200000000001</v>
      </c>
      <c r="AF171" s="17">
        <v>155.33799999999999</v>
      </c>
      <c r="AG171" s="17">
        <v>0.20899999999999999</v>
      </c>
      <c r="AH171" s="17">
        <v>6.8559999999999996E-2</v>
      </c>
      <c r="AI171" s="17">
        <v>0.25409999999999999</v>
      </c>
      <c r="AJ171" s="17">
        <v>0</v>
      </c>
      <c r="AK171" s="17">
        <v>0.54820000000000002</v>
      </c>
      <c r="AL171" s="17">
        <v>7.5389999999999997</v>
      </c>
      <c r="AM171" s="17">
        <v>1.48336</v>
      </c>
      <c r="AN171" s="17">
        <v>57.02</v>
      </c>
      <c r="AO171" s="17">
        <v>0</v>
      </c>
      <c r="AP171" s="17">
        <v>911.82</v>
      </c>
      <c r="AQ171" s="17">
        <v>496.29500000000002</v>
      </c>
      <c r="AR171" s="17">
        <v>496.29500000000002</v>
      </c>
      <c r="AS171" s="17">
        <v>0</v>
      </c>
      <c r="AT171" s="17">
        <v>764.92200000000003</v>
      </c>
      <c r="AU171" s="17">
        <v>10.775</v>
      </c>
      <c r="AV171" s="17">
        <v>10.831</v>
      </c>
      <c r="AW171" s="17">
        <v>10.885999999999999</v>
      </c>
      <c r="AX171" s="17">
        <v>0.111</v>
      </c>
      <c r="AY171" s="17">
        <f t="shared" si="20"/>
        <v>1.3006437442314207</v>
      </c>
      <c r="AZ171" s="17">
        <f t="shared" si="19"/>
        <v>12.870057803468207</v>
      </c>
    </row>
    <row r="172" spans="1:52" ht="18" customHeight="1" x14ac:dyDescent="0.2">
      <c r="B172" s="26">
        <v>2</v>
      </c>
      <c r="C172" s="17">
        <v>84.047725</v>
      </c>
      <c r="D172" s="17">
        <v>108.91993500000001</v>
      </c>
      <c r="E172" s="17">
        <v>1150.6447899999998</v>
      </c>
      <c r="F172" s="17">
        <v>1242.58241</v>
      </c>
      <c r="G172" s="17">
        <v>0.38500000000000001</v>
      </c>
      <c r="H172" s="17">
        <v>0.51200000000000001</v>
      </c>
      <c r="I172" s="17">
        <f t="shared" si="14"/>
        <v>1.0565224184005892</v>
      </c>
      <c r="J172" s="17">
        <f t="shared" si="15"/>
        <v>1.2003645983441014</v>
      </c>
      <c r="K172" s="17">
        <f t="shared" si="16"/>
        <v>6.7689932824315131E-4</v>
      </c>
      <c r="L172" s="17">
        <f t="shared" si="17"/>
        <v>1.295929604281377</v>
      </c>
      <c r="N172" s="26">
        <v>11.836</v>
      </c>
      <c r="O172" s="103">
        <v>50.82</v>
      </c>
      <c r="P172" s="103">
        <f t="shared" si="18"/>
        <v>39.18</v>
      </c>
      <c r="Z172" s="17">
        <v>5.43</v>
      </c>
      <c r="AA172" s="17">
        <v>111.105</v>
      </c>
      <c r="AB172" s="17">
        <v>91.352999999999994</v>
      </c>
      <c r="AC172" s="17">
        <v>1219.67</v>
      </c>
      <c r="AD172" s="17">
        <v>1157.01</v>
      </c>
      <c r="AE172" s="17">
        <v>166.26499999999999</v>
      </c>
      <c r="AF172" s="17">
        <v>150.32</v>
      </c>
      <c r="AG172" s="17">
        <v>0.21310999999999999</v>
      </c>
      <c r="AH172" s="17">
        <v>6.8559999999999996E-2</v>
      </c>
      <c r="AI172" s="17">
        <v>0.25346999999999997</v>
      </c>
      <c r="AJ172" s="17">
        <v>0</v>
      </c>
      <c r="AK172" s="17">
        <v>0.54159999999999997</v>
      </c>
      <c r="AL172" s="17">
        <v>6.6420000000000003</v>
      </c>
      <c r="AM172" s="17">
        <v>1.47888</v>
      </c>
      <c r="AN172" s="17">
        <v>51.82</v>
      </c>
      <c r="AO172" s="17">
        <v>0</v>
      </c>
      <c r="AP172" s="17">
        <v>893.54899999999998</v>
      </c>
      <c r="AQ172" s="17">
        <v>552.37699999999995</v>
      </c>
      <c r="AR172" s="17">
        <v>552.37699999999995</v>
      </c>
      <c r="AS172" s="17">
        <v>0</v>
      </c>
      <c r="AT172" s="17">
        <v>702.36</v>
      </c>
      <c r="AU172" s="17">
        <v>10.885999999999999</v>
      </c>
      <c r="AV172" s="17">
        <v>10.933999999999999</v>
      </c>
      <c r="AW172" s="17">
        <v>10.983000000000001</v>
      </c>
      <c r="AX172" s="17">
        <v>9.7000000000000003E-2</v>
      </c>
      <c r="AY172" s="17">
        <f t="shared" si="20"/>
        <v>1.2971676084621493</v>
      </c>
      <c r="AZ172" s="17">
        <f t="shared" si="19"/>
        <v>12.844508670520231</v>
      </c>
    </row>
    <row r="173" spans="1:52" ht="18" customHeight="1" x14ac:dyDescent="0.2">
      <c r="B173" s="26">
        <v>3</v>
      </c>
      <c r="C173" s="17">
        <v>84.319334999999995</v>
      </c>
      <c r="D173" s="17">
        <v>109.10937</v>
      </c>
      <c r="E173" s="17">
        <v>1127.6329900000001</v>
      </c>
      <c r="F173" s="17">
        <v>1216.8311099999999</v>
      </c>
      <c r="G173" s="17">
        <v>0.39400000000000002</v>
      </c>
      <c r="H173" s="17">
        <v>0.51600000000000001</v>
      </c>
      <c r="I173" s="17">
        <f t="shared" si="14"/>
        <v>1.0563531118531428</v>
      </c>
      <c r="J173" s="17">
        <f t="shared" si="15"/>
        <v>1.2010135893160279</v>
      </c>
      <c r="K173" s="17">
        <f t="shared" si="16"/>
        <v>6.0138417908767866E-4</v>
      </c>
      <c r="L173" s="17">
        <f t="shared" si="17"/>
        <v>1.2940017849998462</v>
      </c>
      <c r="N173" s="26">
        <v>11.741</v>
      </c>
      <c r="O173" s="103">
        <v>49.49</v>
      </c>
      <c r="P173" s="103">
        <f t="shared" si="18"/>
        <v>40.51</v>
      </c>
      <c r="Z173" s="17">
        <v>5.43</v>
      </c>
      <c r="AA173" s="17">
        <v>110.895</v>
      </c>
      <c r="AB173" s="17">
        <v>91.54</v>
      </c>
      <c r="AC173" s="17">
        <v>1203.53</v>
      </c>
      <c r="AD173" s="17">
        <v>1142.79</v>
      </c>
      <c r="AE173" s="17">
        <v>162.14500000000001</v>
      </c>
      <c r="AF173" s="17">
        <v>146.721</v>
      </c>
      <c r="AG173" s="17">
        <v>0.2162</v>
      </c>
      <c r="AH173" s="17">
        <v>6.8559999999999996E-2</v>
      </c>
      <c r="AI173" s="17">
        <v>0.25302000000000002</v>
      </c>
      <c r="AJ173" s="17">
        <v>0</v>
      </c>
      <c r="AK173" s="17">
        <v>0.53580000000000005</v>
      </c>
      <c r="AL173" s="17">
        <v>6.3529999999999998</v>
      </c>
      <c r="AM173" s="17">
        <v>1.4756100000000001</v>
      </c>
      <c r="AN173" s="17">
        <v>49.63</v>
      </c>
      <c r="AO173" s="17">
        <v>0</v>
      </c>
      <c r="AP173" s="17">
        <v>878.82500000000005</v>
      </c>
      <c r="AQ173" s="17">
        <v>569.27099999999996</v>
      </c>
      <c r="AR173" s="17">
        <v>569.27099999999996</v>
      </c>
      <c r="AS173" s="17">
        <v>0</v>
      </c>
      <c r="AT173" s="17">
        <v>669.52499999999998</v>
      </c>
      <c r="AU173" s="17">
        <v>10.983000000000001</v>
      </c>
      <c r="AV173" s="17">
        <v>11.029</v>
      </c>
      <c r="AW173" s="17">
        <v>11.074</v>
      </c>
      <c r="AX173" s="17">
        <v>9.1999999999999998E-2</v>
      </c>
      <c r="AY173" s="17">
        <f t="shared" si="20"/>
        <v>1.2944437959612465</v>
      </c>
      <c r="AZ173" s="17">
        <f t="shared" si="19"/>
        <v>12.820231213872832</v>
      </c>
    </row>
    <row r="174" spans="1:52" ht="18" customHeight="1" x14ac:dyDescent="0.2">
      <c r="B174" s="26">
        <v>4</v>
      </c>
      <c r="C174" s="17">
        <v>84.623814999999993</v>
      </c>
      <c r="D174" s="17">
        <v>109.36281500000001</v>
      </c>
      <c r="E174" s="17">
        <v>1112.1274199999998</v>
      </c>
      <c r="F174" s="17">
        <v>1199.0243600000001</v>
      </c>
      <c r="G174" s="17">
        <v>0.40300000000000002</v>
      </c>
      <c r="H174" s="17">
        <v>0.52</v>
      </c>
      <c r="I174" s="17">
        <f t="shared" si="14"/>
        <v>1.05604467175425</v>
      </c>
      <c r="J174" s="17">
        <f t="shared" si="15"/>
        <v>1.2020097524738773</v>
      </c>
      <c r="K174" s="17">
        <f t="shared" si="16"/>
        <v>4.7446312847068857E-4</v>
      </c>
      <c r="L174" s="17">
        <f t="shared" si="17"/>
        <v>1.2923408735472399</v>
      </c>
      <c r="N174" s="26">
        <v>11.622</v>
      </c>
      <c r="O174" s="103">
        <v>48.44</v>
      </c>
      <c r="P174" s="103">
        <f t="shared" si="18"/>
        <v>41.56</v>
      </c>
      <c r="Z174" s="17">
        <v>5.43</v>
      </c>
      <c r="AA174" s="17">
        <v>110.669</v>
      </c>
      <c r="AB174" s="17">
        <v>91.707999999999998</v>
      </c>
      <c r="AC174" s="17">
        <v>1197.76</v>
      </c>
      <c r="AD174" s="17">
        <v>1138.48</v>
      </c>
      <c r="AE174" s="17">
        <v>160.678</v>
      </c>
      <c r="AF174" s="17">
        <v>145.62899999999999</v>
      </c>
      <c r="AG174" s="17">
        <v>0.21742</v>
      </c>
      <c r="AH174" s="17">
        <v>6.8559999999999996E-2</v>
      </c>
      <c r="AI174" s="17">
        <v>0.25287999999999999</v>
      </c>
      <c r="AJ174" s="17">
        <v>0</v>
      </c>
      <c r="AK174" s="17">
        <v>0.53010000000000002</v>
      </c>
      <c r="AL174" s="17">
        <v>6.2679999999999998</v>
      </c>
      <c r="AM174" s="17">
        <v>1.4745299999999999</v>
      </c>
      <c r="AN174" s="17">
        <v>48.63</v>
      </c>
      <c r="AO174" s="17">
        <v>0</v>
      </c>
      <c r="AP174" s="17">
        <v>868.05899999999997</v>
      </c>
      <c r="AQ174" s="17">
        <v>573.73099999999999</v>
      </c>
      <c r="AR174" s="17">
        <v>573.73099999999999</v>
      </c>
      <c r="AS174" s="17">
        <v>0</v>
      </c>
      <c r="AT174" s="17">
        <v>651.428</v>
      </c>
      <c r="AU174" s="17">
        <v>11.074</v>
      </c>
      <c r="AV174" s="17">
        <v>11.119</v>
      </c>
      <c r="AW174" s="17">
        <v>11.164</v>
      </c>
      <c r="AX174" s="17">
        <v>0.09</v>
      </c>
      <c r="AY174" s="17">
        <f t="shared" si="20"/>
        <v>1.2926507346929239</v>
      </c>
      <c r="AZ174" s="17">
        <f t="shared" si="19"/>
        <v>12.794104046242774</v>
      </c>
    </row>
    <row r="175" spans="1:52" ht="18" customHeight="1" x14ac:dyDescent="0.2">
      <c r="B175" s="26">
        <v>5</v>
      </c>
      <c r="C175" s="17">
        <v>84.866015000000004</v>
      </c>
      <c r="D175" s="17">
        <v>109.61539500000001</v>
      </c>
      <c r="E175" s="17">
        <v>1105.8813600000001</v>
      </c>
      <c r="F175" s="17">
        <v>1191.4633399999998</v>
      </c>
      <c r="G175" s="17">
        <v>0.41099999999999998</v>
      </c>
      <c r="H175" s="17">
        <v>0.52500000000000002</v>
      </c>
      <c r="I175" s="17">
        <f t="shared" si="14"/>
        <v>1.0555969414146629</v>
      </c>
      <c r="J175" s="17">
        <f t="shared" si="15"/>
        <v>1.2024822181498722</v>
      </c>
      <c r="K175" s="17">
        <f t="shared" si="16"/>
        <v>3.4574978020123111E-4</v>
      </c>
      <c r="L175" s="17">
        <f t="shared" si="17"/>
        <v>1.2916288693418678</v>
      </c>
      <c r="N175" s="26">
        <v>11.509</v>
      </c>
      <c r="O175" s="103">
        <v>47.49</v>
      </c>
      <c r="P175" s="103">
        <f t="shared" si="18"/>
        <v>42.51</v>
      </c>
      <c r="Z175" s="17">
        <v>5.43</v>
      </c>
      <c r="AA175" s="17">
        <v>110.44</v>
      </c>
      <c r="AB175" s="17">
        <v>91.864000000000004</v>
      </c>
      <c r="AC175" s="17">
        <v>1194.77</v>
      </c>
      <c r="AD175" s="17">
        <v>1136.77</v>
      </c>
      <c r="AE175" s="17">
        <v>159.91399999999999</v>
      </c>
      <c r="AF175" s="17">
        <v>145.19800000000001</v>
      </c>
      <c r="AG175" s="17">
        <v>0.21812000000000001</v>
      </c>
      <c r="AH175" s="17">
        <v>6.8559999999999996E-2</v>
      </c>
      <c r="AI175" s="17">
        <v>0.25283</v>
      </c>
      <c r="AJ175" s="17">
        <v>0</v>
      </c>
      <c r="AK175" s="17">
        <v>0.52459999999999996</v>
      </c>
      <c r="AL175" s="17">
        <v>6.2629999999999999</v>
      </c>
      <c r="AM175" s="17">
        <v>1.47403</v>
      </c>
      <c r="AN175" s="17">
        <v>48.18</v>
      </c>
      <c r="AO175" s="17">
        <v>0</v>
      </c>
      <c r="AP175" s="17">
        <v>858.41899999999998</v>
      </c>
      <c r="AQ175" s="17">
        <v>572.34400000000005</v>
      </c>
      <c r="AR175" s="17">
        <v>572.34400000000005</v>
      </c>
      <c r="AS175" s="17">
        <v>0</v>
      </c>
      <c r="AT175" s="17">
        <v>639.77</v>
      </c>
      <c r="AU175" s="17">
        <v>11.164</v>
      </c>
      <c r="AV175" s="17">
        <v>11.209</v>
      </c>
      <c r="AW175" s="17">
        <v>11.253</v>
      </c>
      <c r="AX175" s="17">
        <v>8.8999999999999996E-2</v>
      </c>
      <c r="AY175" s="17">
        <f t="shared" si="20"/>
        <v>1.2918318887368261</v>
      </c>
      <c r="AZ175" s="17">
        <f t="shared" si="19"/>
        <v>12.767630057803467</v>
      </c>
    </row>
    <row r="176" spans="1:52" ht="18" customHeight="1" x14ac:dyDescent="0.2">
      <c r="B176" s="26">
        <v>6</v>
      </c>
      <c r="C176" s="17">
        <v>85.071020000000004</v>
      </c>
      <c r="D176" s="17">
        <v>109.86883999999999</v>
      </c>
      <c r="E176" s="17">
        <v>1104.0732899999998</v>
      </c>
      <c r="F176" s="17">
        <v>1188.9977900000001</v>
      </c>
      <c r="G176" s="17">
        <v>0.41699999999999998</v>
      </c>
      <c r="H176" s="17">
        <v>0.53100000000000003</v>
      </c>
      <c r="I176" s="17">
        <f t="shared" si="14"/>
        <v>1.0548848639892152</v>
      </c>
      <c r="J176" s="17">
        <f t="shared" si="15"/>
        <v>1.2013501545408023</v>
      </c>
      <c r="K176" s="17">
        <f t="shared" si="16"/>
        <v>2.4836361546366759E-4</v>
      </c>
      <c r="L176" s="17">
        <f t="shared" si="17"/>
        <v>1.2914955057550737</v>
      </c>
      <c r="N176" s="26">
        <v>11.398</v>
      </c>
      <c r="O176" s="103">
        <v>46.46</v>
      </c>
      <c r="P176" s="103">
        <f t="shared" si="18"/>
        <v>43.54</v>
      </c>
      <c r="Z176" s="17">
        <v>5.43</v>
      </c>
      <c r="AA176" s="17">
        <v>110.283</v>
      </c>
      <c r="AB176" s="17">
        <v>92.015000000000001</v>
      </c>
      <c r="AC176" s="17">
        <v>1194.07</v>
      </c>
      <c r="AD176" s="17">
        <v>1137.05</v>
      </c>
      <c r="AE176" s="17">
        <v>159.738</v>
      </c>
      <c r="AF176" s="17">
        <v>145.26900000000001</v>
      </c>
      <c r="AG176" s="17">
        <v>0.21842</v>
      </c>
      <c r="AH176" s="17">
        <v>6.8559999999999996E-2</v>
      </c>
      <c r="AI176" s="17">
        <v>0.25284000000000001</v>
      </c>
      <c r="AJ176" s="17">
        <v>0</v>
      </c>
      <c r="AK176" s="17">
        <v>0.52010000000000001</v>
      </c>
      <c r="AL176" s="17">
        <v>6.29</v>
      </c>
      <c r="AM176" s="17">
        <v>1.4739800000000001</v>
      </c>
      <c r="AN176" s="17">
        <v>48.04</v>
      </c>
      <c r="AO176" s="17">
        <v>0</v>
      </c>
      <c r="AP176" s="17">
        <v>851.18899999999996</v>
      </c>
      <c r="AQ176" s="17">
        <v>569.125</v>
      </c>
      <c r="AR176" s="17">
        <v>569.125</v>
      </c>
      <c r="AS176" s="17">
        <v>0</v>
      </c>
      <c r="AT176" s="17">
        <v>632.94500000000005</v>
      </c>
      <c r="AU176" s="17">
        <v>11.253</v>
      </c>
      <c r="AV176" s="17">
        <v>11.297000000000001</v>
      </c>
      <c r="AW176" s="17">
        <v>11.342000000000001</v>
      </c>
      <c r="AX176" s="17">
        <v>8.8999999999999996E-2</v>
      </c>
      <c r="AY176" s="17">
        <f t="shared" si="20"/>
        <v>1.2915061306226652</v>
      </c>
      <c r="AZ176" s="17">
        <f t="shared" si="19"/>
        <v>12.749479768786127</v>
      </c>
    </row>
    <row r="177" spans="1:52" ht="18" customHeight="1" x14ac:dyDescent="0.2">
      <c r="B177" s="26">
        <v>7</v>
      </c>
      <c r="C177" s="17">
        <v>85.264780000000016</v>
      </c>
      <c r="D177" s="17">
        <v>110.12142</v>
      </c>
      <c r="E177" s="17">
        <v>1104.12808</v>
      </c>
      <c r="F177" s="17">
        <v>1188.9977900000001</v>
      </c>
      <c r="G177" s="17">
        <v>0.42299999999999999</v>
      </c>
      <c r="H177" s="17">
        <v>0.53700000000000003</v>
      </c>
      <c r="I177" s="17">
        <f t="shared" si="14"/>
        <v>1.0545806510692297</v>
      </c>
      <c r="J177" s="17">
        <f t="shared" si="15"/>
        <v>1.200371980489263</v>
      </c>
      <c r="K177" s="17">
        <f t="shared" si="16"/>
        <v>2.3497937414433505E-4</v>
      </c>
      <c r="L177" s="17">
        <f t="shared" si="17"/>
        <v>1.2915229476930565</v>
      </c>
      <c r="N177" s="26">
        <v>11.288</v>
      </c>
      <c r="O177" s="103">
        <v>45.3</v>
      </c>
      <c r="P177" s="103">
        <f t="shared" si="18"/>
        <v>44.7</v>
      </c>
      <c r="Z177" s="17">
        <v>5.43</v>
      </c>
      <c r="AA177" s="17">
        <v>109.967</v>
      </c>
      <c r="AB177" s="17">
        <v>92.162000000000006</v>
      </c>
      <c r="AC177" s="17">
        <v>1195.1199999999999</v>
      </c>
      <c r="AD177" s="17">
        <v>1139.43</v>
      </c>
      <c r="AE177" s="17">
        <v>160.005</v>
      </c>
      <c r="AF177" s="17">
        <v>145.87100000000001</v>
      </c>
      <c r="AG177" s="17">
        <v>0.21831</v>
      </c>
      <c r="AH177" s="17">
        <v>6.8559999999999996E-2</v>
      </c>
      <c r="AI177" s="17">
        <v>0.25291000000000002</v>
      </c>
      <c r="AJ177" s="17">
        <v>0</v>
      </c>
      <c r="AK177" s="17">
        <v>0.51359999999999995</v>
      </c>
      <c r="AL177" s="17">
        <v>6.3890000000000002</v>
      </c>
      <c r="AM177" s="17">
        <v>1.4743999999999999</v>
      </c>
      <c r="AN177" s="17">
        <v>48.21</v>
      </c>
      <c r="AO177" s="17">
        <v>0</v>
      </c>
      <c r="AP177" s="17">
        <v>841.26700000000005</v>
      </c>
      <c r="AQ177" s="17">
        <v>560.59</v>
      </c>
      <c r="AR177" s="17">
        <v>560.59</v>
      </c>
      <c r="AS177" s="17">
        <v>0</v>
      </c>
      <c r="AT177" s="17">
        <v>627.27200000000005</v>
      </c>
      <c r="AU177" s="17">
        <v>11.342000000000001</v>
      </c>
      <c r="AV177" s="17">
        <v>11.385999999999999</v>
      </c>
      <c r="AW177" s="17">
        <v>11.430999999999999</v>
      </c>
      <c r="AX177" s="17">
        <v>8.8999999999999996E-2</v>
      </c>
      <c r="AY177" s="17">
        <f t="shared" si="20"/>
        <v>1.2914958835895567</v>
      </c>
      <c r="AZ177" s="17">
        <f t="shared" si="19"/>
        <v>12.712947976878612</v>
      </c>
    </row>
    <row r="178" spans="1:52" ht="18" customHeight="1" x14ac:dyDescent="0.2">
      <c r="B178" s="26">
        <v>8</v>
      </c>
      <c r="C178" s="17">
        <v>85.436915000000013</v>
      </c>
      <c r="D178" s="17">
        <v>110.374865</v>
      </c>
      <c r="E178" s="17">
        <v>1107.5250599999999</v>
      </c>
      <c r="F178" s="17">
        <v>1192.99746</v>
      </c>
      <c r="G178" s="17">
        <v>0.42699999999999999</v>
      </c>
      <c r="H178" s="17">
        <v>0.54400000000000004</v>
      </c>
      <c r="I178" s="17">
        <f t="shared" si="14"/>
        <v>1.0540669826085878</v>
      </c>
      <c r="J178" s="17">
        <f t="shared" si="15"/>
        <v>1.1974641248876696</v>
      </c>
      <c r="K178" s="17">
        <f t="shared" si="16"/>
        <v>2.8431217757883195E-4</v>
      </c>
      <c r="L178" s="17">
        <f t="shared" si="17"/>
        <v>1.2918872948537523</v>
      </c>
      <c r="N178" s="26">
        <v>11.178000000000001</v>
      </c>
      <c r="O178" s="103">
        <v>43.96</v>
      </c>
      <c r="P178" s="103">
        <f t="shared" si="18"/>
        <v>46.04</v>
      </c>
      <c r="Z178" s="17">
        <v>5.43</v>
      </c>
      <c r="AA178" s="17">
        <v>109.71299999999999</v>
      </c>
      <c r="AB178" s="17">
        <v>92.307000000000002</v>
      </c>
      <c r="AC178" s="17">
        <v>1198.17</v>
      </c>
      <c r="AD178" s="17">
        <v>1143.57</v>
      </c>
      <c r="AE178" s="17">
        <v>160.78200000000001</v>
      </c>
      <c r="AF178" s="17">
        <v>146.917</v>
      </c>
      <c r="AG178" s="17">
        <v>0.21787000000000001</v>
      </c>
      <c r="AH178" s="17">
        <v>6.8559999999999996E-2</v>
      </c>
      <c r="AI178" s="17">
        <v>0.25303999999999999</v>
      </c>
      <c r="AJ178" s="17">
        <v>0</v>
      </c>
      <c r="AK178" s="17">
        <v>0.50780000000000003</v>
      </c>
      <c r="AL178" s="17">
        <v>6.524</v>
      </c>
      <c r="AM178" s="17">
        <v>1.4752099999999999</v>
      </c>
      <c r="AN178" s="17">
        <v>48.68</v>
      </c>
      <c r="AO178" s="17">
        <v>0</v>
      </c>
      <c r="AP178" s="17">
        <v>833.226</v>
      </c>
      <c r="AQ178" s="17">
        <v>550.11300000000006</v>
      </c>
      <c r="AR178" s="17">
        <v>550.11300000000006</v>
      </c>
      <c r="AS178" s="17">
        <v>0</v>
      </c>
      <c r="AT178" s="17">
        <v>625.81299999999999</v>
      </c>
      <c r="AU178" s="17">
        <v>11.430999999999999</v>
      </c>
      <c r="AV178" s="17">
        <v>11.476000000000001</v>
      </c>
      <c r="AW178" s="17">
        <v>11.521000000000001</v>
      </c>
      <c r="AX178" s="17">
        <v>0.09</v>
      </c>
      <c r="AY178" s="17">
        <f t="shared" si="20"/>
        <v>1.2915769027017483</v>
      </c>
      <c r="AZ178" s="17">
        <f t="shared" si="19"/>
        <v>12.6835838150289</v>
      </c>
    </row>
    <row r="179" spans="1:52" ht="18" customHeight="1" x14ac:dyDescent="0.2">
      <c r="B179" s="26">
        <v>9</v>
      </c>
      <c r="C179" s="17">
        <v>85.556285000000003</v>
      </c>
      <c r="D179" s="17">
        <v>110.62831000000001</v>
      </c>
      <c r="E179" s="17">
        <v>1113.99028</v>
      </c>
      <c r="F179" s="17">
        <v>1200.6680599999997</v>
      </c>
      <c r="G179" s="17">
        <v>0.42899999999999999</v>
      </c>
      <c r="H179" s="17">
        <v>0.55100000000000005</v>
      </c>
      <c r="I179" s="17">
        <f t="shared" si="14"/>
        <v>1.0535111590431174</v>
      </c>
      <c r="J179" s="17">
        <f t="shared" si="15"/>
        <v>1.1938668763309175</v>
      </c>
      <c r="K179" s="17">
        <f t="shared" si="16"/>
        <v>3.6396152798237776E-4</v>
      </c>
      <c r="L179" s="17">
        <f t="shared" si="17"/>
        <v>1.2930471443448019</v>
      </c>
      <c r="N179" s="26">
        <v>11.066000000000001</v>
      </c>
      <c r="O179" s="103">
        <v>42.4</v>
      </c>
      <c r="P179" s="103">
        <f t="shared" si="18"/>
        <v>47.6</v>
      </c>
      <c r="Z179" s="17">
        <v>5.43</v>
      </c>
      <c r="AA179" s="17">
        <v>109.515</v>
      </c>
      <c r="AB179" s="17">
        <v>92.453999999999994</v>
      </c>
      <c r="AC179" s="17">
        <v>1203.4000000000001</v>
      </c>
      <c r="AD179" s="17">
        <v>1149.6500000000001</v>
      </c>
      <c r="AE179" s="17">
        <v>162.113</v>
      </c>
      <c r="AF179" s="17">
        <v>148.45500000000001</v>
      </c>
      <c r="AG179" s="17">
        <v>0.21706</v>
      </c>
      <c r="AH179" s="17">
        <v>6.8559999999999996E-2</v>
      </c>
      <c r="AI179" s="17">
        <v>0.25324000000000002</v>
      </c>
      <c r="AJ179" s="17">
        <v>0</v>
      </c>
      <c r="AK179" s="17">
        <v>0.50270000000000004</v>
      </c>
      <c r="AL179" s="17">
        <v>6.7370000000000001</v>
      </c>
      <c r="AM179" s="17">
        <v>1.47644</v>
      </c>
      <c r="AN179" s="17">
        <v>49.72</v>
      </c>
      <c r="AO179" s="17">
        <v>0</v>
      </c>
      <c r="AP179" s="17">
        <v>826.98</v>
      </c>
      <c r="AQ179" s="17">
        <v>534.67499999999995</v>
      </c>
      <c r="AR179" s="17">
        <v>534.67499999999995</v>
      </c>
      <c r="AS179" s="17">
        <v>0</v>
      </c>
      <c r="AT179" s="17">
        <v>630.88699999999994</v>
      </c>
      <c r="AU179" s="17">
        <v>11.521000000000001</v>
      </c>
      <c r="AV179" s="17">
        <v>11.568</v>
      </c>
      <c r="AW179" s="17">
        <v>11.614000000000001</v>
      </c>
      <c r="AX179" s="17">
        <v>9.2999999999999999E-2</v>
      </c>
      <c r="AY179" s="17">
        <f t="shared" si="20"/>
        <v>1.2920142043108431</v>
      </c>
      <c r="AZ179" s="17">
        <f t="shared" si="19"/>
        <v>12.660693641618497</v>
      </c>
    </row>
    <row r="180" spans="1:52" ht="18" customHeight="1" x14ac:dyDescent="0.2">
      <c r="B180" s="26">
        <v>10</v>
      </c>
      <c r="C180" s="17">
        <v>85.572720000000004</v>
      </c>
      <c r="D180" s="17">
        <v>110.88089000000001</v>
      </c>
      <c r="E180" s="17">
        <v>1128.5644199999999</v>
      </c>
      <c r="F180" s="17">
        <v>1217.4885900000002</v>
      </c>
      <c r="G180" s="17">
        <v>0.42899999999999999</v>
      </c>
      <c r="H180" s="17">
        <v>0.55900000000000005</v>
      </c>
      <c r="I180" s="17">
        <f t="shared" si="14"/>
        <v>1.0527120239199295</v>
      </c>
      <c r="J180" s="17">
        <f t="shared" si="15"/>
        <v>1.1893782683544771</v>
      </c>
      <c r="K180" s="17">
        <f t="shared" si="16"/>
        <v>4.400564394360755E-4</v>
      </c>
      <c r="L180" s="17">
        <f t="shared" si="17"/>
        <v>1.295750444767912</v>
      </c>
      <c r="N180" s="26">
        <v>10.952</v>
      </c>
      <c r="O180" s="103">
        <v>40.35</v>
      </c>
      <c r="P180" s="103">
        <f t="shared" si="18"/>
        <v>49.65</v>
      </c>
      <c r="Z180" s="17">
        <v>5.43</v>
      </c>
      <c r="AA180" s="17">
        <v>109.444</v>
      </c>
      <c r="AB180" s="17">
        <v>92.608999999999995</v>
      </c>
      <c r="AC180" s="17">
        <v>1212.95</v>
      </c>
      <c r="AD180" s="17">
        <v>1159.56</v>
      </c>
      <c r="AE180" s="17">
        <v>164.55</v>
      </c>
      <c r="AF180" s="17">
        <v>150.96700000000001</v>
      </c>
      <c r="AG180" s="17">
        <v>0.21557000000000001</v>
      </c>
      <c r="AH180" s="17">
        <v>6.8559999999999996E-2</v>
      </c>
      <c r="AI180" s="17">
        <v>0.25355</v>
      </c>
      <c r="AJ180" s="17">
        <v>0</v>
      </c>
      <c r="AK180" s="17">
        <v>0.49930000000000002</v>
      </c>
      <c r="AL180" s="17">
        <v>7.0739999999999998</v>
      </c>
      <c r="AM180" s="17">
        <v>1.47851</v>
      </c>
      <c r="AN180" s="17">
        <v>51.56</v>
      </c>
      <c r="AO180" s="17">
        <v>0</v>
      </c>
      <c r="AP180" s="17">
        <v>824.70799999999997</v>
      </c>
      <c r="AQ180" s="17">
        <v>512.76599999999996</v>
      </c>
      <c r="AR180" s="17">
        <v>512.76599999999996</v>
      </c>
      <c r="AS180" s="17">
        <v>0</v>
      </c>
      <c r="AT180" s="17">
        <v>645.92200000000003</v>
      </c>
      <c r="AU180" s="17">
        <v>11.614000000000001</v>
      </c>
      <c r="AV180" s="17">
        <v>11.662000000000001</v>
      </c>
      <c r="AW180" s="17">
        <v>11.711</v>
      </c>
      <c r="AX180" s="17">
        <v>9.7000000000000003E-2</v>
      </c>
      <c r="AY180" s="17">
        <f t="shared" si="20"/>
        <v>1.29303765314682</v>
      </c>
      <c r="AZ180" s="17">
        <f t="shared" si="19"/>
        <v>12.652485549132948</v>
      </c>
    </row>
    <row r="181" spans="1:52" ht="18" customHeight="1" x14ac:dyDescent="0.2">
      <c r="B181" s="26">
        <v>11</v>
      </c>
      <c r="C181" s="17">
        <v>85.494005000000001</v>
      </c>
      <c r="D181" s="17">
        <v>111.13433499999999</v>
      </c>
      <c r="E181" s="17">
        <v>1154.3157199999998</v>
      </c>
      <c r="F181" s="17">
        <v>1246.52729</v>
      </c>
      <c r="G181" s="17">
        <v>0.42799999999999999</v>
      </c>
      <c r="H181" s="17">
        <v>0.56899999999999995</v>
      </c>
      <c r="I181" s="17">
        <f t="shared" si="14"/>
        <v>1.0513692157082468</v>
      </c>
      <c r="J181" s="17">
        <f t="shared" si="15"/>
        <v>1.1836842214507137</v>
      </c>
      <c r="K181" s="17">
        <f t="shared" si="16"/>
        <v>4.626894956122115E-4</v>
      </c>
      <c r="L181" s="17">
        <f t="shared" si="17"/>
        <v>1.2999079292167912</v>
      </c>
      <c r="N181" s="26">
        <v>10.827999999999999</v>
      </c>
      <c r="O181" s="103">
        <v>37.549999999999997</v>
      </c>
      <c r="P181" s="103">
        <f t="shared" si="18"/>
        <v>52.45</v>
      </c>
      <c r="Z181" s="17">
        <v>5.43</v>
      </c>
      <c r="AA181" s="17">
        <v>109.39100000000001</v>
      </c>
      <c r="AB181" s="17">
        <v>92.781999999999996</v>
      </c>
      <c r="AC181" s="17">
        <v>1230.23</v>
      </c>
      <c r="AD181" s="17">
        <v>1176.94</v>
      </c>
      <c r="AE181" s="17">
        <v>168.96600000000001</v>
      </c>
      <c r="AF181" s="17">
        <v>155.37899999999999</v>
      </c>
      <c r="AG181" s="17">
        <v>0.21278</v>
      </c>
      <c r="AH181" s="17">
        <v>6.8559999999999996E-2</v>
      </c>
      <c r="AI181" s="17">
        <v>0.25409999999999999</v>
      </c>
      <c r="AJ181" s="17">
        <v>0</v>
      </c>
      <c r="AK181" s="17">
        <v>0.49590000000000001</v>
      </c>
      <c r="AL181" s="17">
        <v>7.734</v>
      </c>
      <c r="AM181" s="17">
        <v>1.4821500000000001</v>
      </c>
      <c r="AN181" s="17">
        <v>54.83</v>
      </c>
      <c r="AO181" s="17">
        <v>0</v>
      </c>
      <c r="AP181" s="17">
        <v>824.84900000000005</v>
      </c>
      <c r="AQ181" s="17">
        <v>475.16300000000001</v>
      </c>
      <c r="AR181" s="17">
        <v>475.16300000000001</v>
      </c>
      <c r="AS181" s="17">
        <v>0</v>
      </c>
      <c r="AT181" s="17">
        <v>674.23800000000006</v>
      </c>
      <c r="AU181" s="17">
        <v>11.711</v>
      </c>
      <c r="AV181" s="17">
        <v>11.763</v>
      </c>
      <c r="AW181" s="17">
        <v>11.815</v>
      </c>
      <c r="AX181" s="17">
        <v>0.105</v>
      </c>
      <c r="AY181" s="17">
        <f t="shared" si="20"/>
        <v>1.2946293315659914</v>
      </c>
      <c r="AZ181" s="17">
        <f t="shared" si="19"/>
        <v>12.646358381502891</v>
      </c>
    </row>
    <row r="182" spans="1:52" ht="18" customHeight="1" x14ac:dyDescent="0.2">
      <c r="B182" s="26">
        <v>12</v>
      </c>
      <c r="C182" s="17">
        <v>85.401449999999997</v>
      </c>
      <c r="D182" s="17">
        <v>111.260625</v>
      </c>
      <c r="E182" s="17">
        <v>1172.9443200000001</v>
      </c>
      <c r="F182" s="17">
        <v>1267.2927</v>
      </c>
      <c r="G182" s="17">
        <v>0.42699999999999999</v>
      </c>
      <c r="H182" s="17">
        <v>0.57399999999999995</v>
      </c>
      <c r="I182" s="17">
        <f t="shared" si="14"/>
        <v>1.0506063141087474</v>
      </c>
      <c r="J182" s="17">
        <f t="shared" si="15"/>
        <v>1.1811849243577426</v>
      </c>
      <c r="K182" s="17">
        <f t="shared" si="16"/>
        <v>4.3336919445884081E-4</v>
      </c>
      <c r="L182" s="17">
        <f t="shared" si="17"/>
        <v>1.3027955028866607</v>
      </c>
      <c r="N182" s="26">
        <v>10.759</v>
      </c>
      <c r="O182" s="103">
        <v>35.86</v>
      </c>
      <c r="P182" s="103">
        <f t="shared" si="18"/>
        <v>54.14</v>
      </c>
      <c r="Z182" s="17">
        <v>5.43</v>
      </c>
      <c r="AA182" s="17">
        <v>109.039</v>
      </c>
      <c r="AB182" s="17">
        <v>93.003</v>
      </c>
      <c r="AC182" s="17">
        <v>1262.02</v>
      </c>
      <c r="AD182" s="17">
        <v>1209.3699999999999</v>
      </c>
      <c r="AE182" s="17">
        <v>177.11099999999999</v>
      </c>
      <c r="AF182" s="17">
        <v>163.637</v>
      </c>
      <c r="AG182" s="17">
        <v>0.20757</v>
      </c>
      <c r="AH182" s="17">
        <v>6.8559999999999996E-2</v>
      </c>
      <c r="AI182" s="17">
        <v>0.25513000000000002</v>
      </c>
      <c r="AJ182" s="17">
        <v>0</v>
      </c>
      <c r="AK182" s="17">
        <v>0.48749999999999999</v>
      </c>
      <c r="AL182" s="17">
        <v>9.73</v>
      </c>
      <c r="AM182" s="17">
        <v>1.48891</v>
      </c>
      <c r="AN182" s="17">
        <v>61.88</v>
      </c>
      <c r="AO182" s="17">
        <v>0</v>
      </c>
      <c r="AP182" s="17">
        <v>821.41099999999994</v>
      </c>
      <c r="AQ182" s="17">
        <v>387.17899999999997</v>
      </c>
      <c r="AR182" s="17">
        <v>387.17899999999997</v>
      </c>
      <c r="AS182" s="17">
        <v>0</v>
      </c>
      <c r="AT182" s="17">
        <v>724.43700000000001</v>
      </c>
      <c r="AU182" s="17">
        <v>11.815</v>
      </c>
      <c r="AV182" s="17">
        <v>11.881</v>
      </c>
      <c r="AW182" s="17">
        <v>11.946</v>
      </c>
      <c r="AX182" s="17">
        <v>0.13</v>
      </c>
      <c r="AY182" s="17">
        <f t="shared" si="20"/>
        <v>1.2969407902562029</v>
      </c>
      <c r="AZ182" s="17">
        <f t="shared" si="19"/>
        <v>12.605664739884393</v>
      </c>
    </row>
    <row r="183" spans="1:52" s="96" customFormat="1" ht="18" customHeight="1" x14ac:dyDescent="0.2">
      <c r="A183" s="94" t="s">
        <v>127</v>
      </c>
      <c r="B183" s="97"/>
      <c r="C183" s="95"/>
      <c r="D183" s="95"/>
      <c r="E183" s="95"/>
      <c r="F183" s="95"/>
      <c r="G183" s="95"/>
      <c r="H183" s="95"/>
      <c r="I183" s="95"/>
      <c r="J183" s="95"/>
      <c r="K183" s="95"/>
      <c r="L183" s="95"/>
      <c r="M183" s="95"/>
      <c r="N183" s="97"/>
      <c r="O183" s="97"/>
      <c r="P183" s="102"/>
      <c r="Z183" s="95">
        <v>0</v>
      </c>
      <c r="AA183" s="95">
        <v>0</v>
      </c>
      <c r="AB183" s="95">
        <v>0</v>
      </c>
      <c r="AC183" s="95">
        <v>0</v>
      </c>
      <c r="AD183" s="95">
        <v>0</v>
      </c>
      <c r="AE183" s="95">
        <v>0</v>
      </c>
      <c r="AF183" s="95">
        <v>0</v>
      </c>
      <c r="AG183" s="95">
        <v>0</v>
      </c>
      <c r="AH183" s="95">
        <v>0</v>
      </c>
      <c r="AI183" s="95">
        <v>0</v>
      </c>
      <c r="AJ183" s="95">
        <v>0</v>
      </c>
      <c r="AK183" s="95">
        <v>0</v>
      </c>
      <c r="AL183" s="95">
        <v>0</v>
      </c>
      <c r="AM183" s="95">
        <v>0</v>
      </c>
      <c r="AN183" s="95">
        <v>0</v>
      </c>
      <c r="AO183" s="95">
        <v>0</v>
      </c>
      <c r="AP183" s="95">
        <v>0</v>
      </c>
      <c r="AQ183" s="95">
        <v>0</v>
      </c>
      <c r="AR183" s="95">
        <v>0</v>
      </c>
      <c r="AS183" s="95">
        <v>0</v>
      </c>
      <c r="AT183" s="95">
        <v>0</v>
      </c>
      <c r="AU183" s="95">
        <v>0</v>
      </c>
      <c r="AV183" s="95">
        <v>0</v>
      </c>
      <c r="AW183" s="95">
        <v>0</v>
      </c>
      <c r="AX183" s="95">
        <v>0</v>
      </c>
      <c r="AY183" s="95"/>
      <c r="AZ183" s="95">
        <f t="shared" si="19"/>
        <v>0</v>
      </c>
    </row>
    <row r="184" spans="1:52" s="96" customFormat="1" ht="18" customHeight="1" x14ac:dyDescent="0.2">
      <c r="A184" s="97"/>
      <c r="B184" s="97">
        <v>1</v>
      </c>
      <c r="C184" s="95">
        <v>108.72963500000002</v>
      </c>
      <c r="D184" s="95">
        <v>107.27989500000001</v>
      </c>
      <c r="E184" s="95">
        <v>1275.7851499999999</v>
      </c>
      <c r="F184" s="95">
        <v>1275.7851499999999</v>
      </c>
      <c r="G184" s="95">
        <v>0.51500000000000001</v>
      </c>
      <c r="H184" s="95">
        <v>0.35499999999999998</v>
      </c>
      <c r="I184" s="95">
        <f t="shared" si="14"/>
        <v>1.027155544500856</v>
      </c>
      <c r="J184" s="95">
        <f t="shared" si="15"/>
        <v>1.0836702762761137</v>
      </c>
      <c r="K184" s="95">
        <f t="shared" si="16"/>
        <v>9.2216491647027516E-4</v>
      </c>
      <c r="L184" s="95">
        <f t="shared" si="17"/>
        <v>0.98666656059316293</v>
      </c>
      <c r="M184" s="95"/>
      <c r="N184" s="99">
        <v>11.843999999999999</v>
      </c>
      <c r="O184" s="106">
        <v>-4.09</v>
      </c>
      <c r="P184" s="102">
        <f t="shared" si="18"/>
        <v>94.09</v>
      </c>
      <c r="Z184" s="95">
        <v>5.43</v>
      </c>
      <c r="AA184" s="95">
        <v>109.524</v>
      </c>
      <c r="AB184" s="95">
        <v>101.855</v>
      </c>
      <c r="AC184" s="95">
        <v>1241.8699999999999</v>
      </c>
      <c r="AD184" s="95">
        <v>1217.93</v>
      </c>
      <c r="AE184" s="95">
        <v>171.94200000000001</v>
      </c>
      <c r="AF184" s="95">
        <v>165.821</v>
      </c>
      <c r="AG184" s="95">
        <v>0.22572</v>
      </c>
      <c r="AH184" s="95">
        <v>6.8559999999999996E-2</v>
      </c>
      <c r="AI184" s="95">
        <v>0.25540000000000002</v>
      </c>
      <c r="AJ184" s="95">
        <v>0</v>
      </c>
      <c r="AK184" s="95">
        <v>0.32750000000000001</v>
      </c>
      <c r="AL184" s="95">
        <v>6.2569999999999997</v>
      </c>
      <c r="AM184" s="95">
        <v>1.48448</v>
      </c>
      <c r="AN184" s="95">
        <v>-0.54</v>
      </c>
      <c r="AO184" s="95">
        <v>0</v>
      </c>
      <c r="AP184" s="95">
        <v>553.61900000000003</v>
      </c>
      <c r="AQ184" s="95">
        <v>553.59500000000003</v>
      </c>
      <c r="AR184" s="95">
        <v>553.59500000000003</v>
      </c>
      <c r="AS184" s="95">
        <v>0</v>
      </c>
      <c r="AT184" s="95">
        <v>-5.2220000000000004</v>
      </c>
      <c r="AU184" s="95">
        <v>10.784000000000001</v>
      </c>
      <c r="AV184" s="95">
        <v>10.83</v>
      </c>
      <c r="AW184" s="95">
        <v>10.875999999999999</v>
      </c>
      <c r="AX184" s="95">
        <v>9.1999999999999998E-2</v>
      </c>
      <c r="AY184" s="95">
        <f t="shared" si="20"/>
        <v>0.98381330506799858</v>
      </c>
      <c r="AZ184" s="95">
        <f t="shared" si="19"/>
        <v>12.661734104046243</v>
      </c>
    </row>
    <row r="185" spans="1:52" s="96" customFormat="1" ht="18" customHeight="1" x14ac:dyDescent="0.2">
      <c r="A185" s="97"/>
      <c r="B185" s="97">
        <v>2</v>
      </c>
      <c r="C185" s="95">
        <v>108.91993500000001</v>
      </c>
      <c r="D185" s="95">
        <v>107.58351</v>
      </c>
      <c r="E185" s="95">
        <v>1242.58241</v>
      </c>
      <c r="F185" s="95">
        <v>1242.58241</v>
      </c>
      <c r="G185" s="95">
        <v>0.52</v>
      </c>
      <c r="H185" s="95">
        <v>0.36399999999999999</v>
      </c>
      <c r="I185" s="95">
        <f t="shared" si="14"/>
        <v>1.0268687983390536</v>
      </c>
      <c r="J185" s="95">
        <f t="shared" si="15"/>
        <v>1.0837788927026391</v>
      </c>
      <c r="K185" s="95">
        <f t="shared" si="16"/>
        <v>8.4828546434775019E-4</v>
      </c>
      <c r="L185" s="95">
        <f t="shared" si="17"/>
        <v>0.98773020751435436</v>
      </c>
      <c r="M185" s="95"/>
      <c r="N185" s="99">
        <v>11.768000000000001</v>
      </c>
      <c r="O185" s="106">
        <v>-2.0699999999999998</v>
      </c>
      <c r="P185" s="102">
        <f t="shared" si="18"/>
        <v>92.07</v>
      </c>
      <c r="Z185" s="95">
        <v>5.43</v>
      </c>
      <c r="AA185" s="95">
        <v>109.584</v>
      </c>
      <c r="AB185" s="95">
        <v>101.855</v>
      </c>
      <c r="AC185" s="95">
        <v>1219.67</v>
      </c>
      <c r="AD185" s="95">
        <v>1195.92</v>
      </c>
      <c r="AE185" s="95">
        <v>166.26499999999999</v>
      </c>
      <c r="AF185" s="95">
        <v>160.208</v>
      </c>
      <c r="AG185" s="95">
        <v>0.22988</v>
      </c>
      <c r="AH185" s="95">
        <v>6.8559999999999996E-2</v>
      </c>
      <c r="AI185" s="95">
        <v>0.25469999999999998</v>
      </c>
      <c r="AJ185" s="95">
        <v>0</v>
      </c>
      <c r="AK185" s="95">
        <v>0.3286</v>
      </c>
      <c r="AL185" s="95">
        <v>6.1769999999999996</v>
      </c>
      <c r="AM185" s="95">
        <v>1.47983</v>
      </c>
      <c r="AN185" s="95">
        <v>-0.87</v>
      </c>
      <c r="AO185" s="95">
        <v>0</v>
      </c>
      <c r="AP185" s="95">
        <v>550.71199999999999</v>
      </c>
      <c r="AQ185" s="95">
        <v>550.64800000000002</v>
      </c>
      <c r="AR185" s="95">
        <v>550.64800000000002</v>
      </c>
      <c r="AS185" s="95">
        <v>0</v>
      </c>
      <c r="AT185" s="95">
        <v>-8.3949999999999996</v>
      </c>
      <c r="AU185" s="95">
        <v>10.875999999999999</v>
      </c>
      <c r="AV185" s="95">
        <v>10.920999999999999</v>
      </c>
      <c r="AW185" s="95">
        <v>10.965999999999999</v>
      </c>
      <c r="AX185" s="95">
        <v>0.09</v>
      </c>
      <c r="AY185" s="95">
        <f t="shared" si="20"/>
        <v>0.9863102470635885</v>
      </c>
      <c r="AZ185" s="95">
        <f t="shared" si="19"/>
        <v>12.668670520231213</v>
      </c>
    </row>
    <row r="186" spans="1:52" s="96" customFormat="1" ht="18" customHeight="1" x14ac:dyDescent="0.2">
      <c r="A186" s="97"/>
      <c r="B186" s="97">
        <v>3</v>
      </c>
      <c r="C186" s="95">
        <v>109.10937</v>
      </c>
      <c r="D186" s="95">
        <v>107.90183</v>
      </c>
      <c r="E186" s="95">
        <v>1216.8311099999999</v>
      </c>
      <c r="F186" s="95">
        <v>1216.8311099999999</v>
      </c>
      <c r="G186" s="95">
        <v>0.52400000000000002</v>
      </c>
      <c r="H186" s="95">
        <v>0.36899999999999999</v>
      </c>
      <c r="I186" s="95">
        <f t="shared" si="14"/>
        <v>1.0269491162757554</v>
      </c>
      <c r="J186" s="95">
        <f t="shared" si="15"/>
        <v>1.0853954619928254</v>
      </c>
      <c r="K186" s="95">
        <f t="shared" si="16"/>
        <v>7.6488336121783608E-4</v>
      </c>
      <c r="L186" s="95">
        <f t="shared" si="17"/>
        <v>0.98893275618766752</v>
      </c>
      <c r="M186" s="95"/>
      <c r="N186" s="99">
        <v>11.682</v>
      </c>
      <c r="O186" s="106">
        <v>-1.69</v>
      </c>
      <c r="P186" s="102">
        <f t="shared" si="18"/>
        <v>91.69</v>
      </c>
      <c r="Z186" s="95">
        <v>5.43</v>
      </c>
      <c r="AA186" s="95">
        <v>109.584</v>
      </c>
      <c r="AB186" s="95">
        <v>101.855</v>
      </c>
      <c r="AC186" s="95">
        <v>1203.53</v>
      </c>
      <c r="AD186" s="95">
        <v>1180.05</v>
      </c>
      <c r="AE186" s="95">
        <v>162.14500000000001</v>
      </c>
      <c r="AF186" s="95">
        <v>156.16900000000001</v>
      </c>
      <c r="AG186" s="95">
        <v>0.23297000000000001</v>
      </c>
      <c r="AH186" s="95">
        <v>6.8559999999999996E-2</v>
      </c>
      <c r="AI186" s="95">
        <v>0.25419999999999998</v>
      </c>
      <c r="AJ186" s="95">
        <v>0</v>
      </c>
      <c r="AK186" s="95">
        <v>0.32850000000000001</v>
      </c>
      <c r="AL186" s="95">
        <v>6.1360000000000001</v>
      </c>
      <c r="AM186" s="95">
        <v>1.4764299999999999</v>
      </c>
      <c r="AN186" s="95">
        <v>-1.04</v>
      </c>
      <c r="AO186" s="95">
        <v>0</v>
      </c>
      <c r="AP186" s="95">
        <v>547.05499999999995</v>
      </c>
      <c r="AQ186" s="95">
        <v>546.96500000000003</v>
      </c>
      <c r="AR186" s="95">
        <v>546.96500000000003</v>
      </c>
      <c r="AS186" s="95">
        <v>0</v>
      </c>
      <c r="AT186" s="95">
        <v>-9.9149999999999991</v>
      </c>
      <c r="AU186" s="95">
        <v>10.965999999999999</v>
      </c>
      <c r="AV186" s="95">
        <v>11.010999999999999</v>
      </c>
      <c r="AW186" s="95">
        <v>11.055</v>
      </c>
      <c r="AX186" s="95">
        <v>8.8999999999999996E-2</v>
      </c>
      <c r="AY186" s="95">
        <f t="shared" si="20"/>
        <v>0.98817800622210206</v>
      </c>
      <c r="AZ186" s="95">
        <f t="shared" si="19"/>
        <v>12.668670520231213</v>
      </c>
    </row>
    <row r="187" spans="1:52" s="96" customFormat="1" ht="18" customHeight="1" x14ac:dyDescent="0.2">
      <c r="A187" s="97"/>
      <c r="B187" s="97">
        <v>4</v>
      </c>
      <c r="C187" s="95">
        <v>109.36281500000001</v>
      </c>
      <c r="D187" s="95">
        <v>108.30059500000002</v>
      </c>
      <c r="E187" s="95">
        <v>1199.0243600000001</v>
      </c>
      <c r="F187" s="95">
        <v>1199.0243600000001</v>
      </c>
      <c r="G187" s="95">
        <v>0.53</v>
      </c>
      <c r="H187" s="95">
        <v>0.376</v>
      </c>
      <c r="I187" s="95">
        <f t="shared" si="14"/>
        <v>1.027137482261558</v>
      </c>
      <c r="J187" s="95">
        <f t="shared" si="15"/>
        <v>1.0875799294148345</v>
      </c>
      <c r="K187" s="95">
        <f t="shared" si="16"/>
        <v>6.7107570504217496E-4</v>
      </c>
      <c r="L187" s="95">
        <f t="shared" si="17"/>
        <v>0.9902871922234262</v>
      </c>
      <c r="M187" s="95"/>
      <c r="N187" s="99">
        <v>11.571999999999999</v>
      </c>
      <c r="O187" s="106">
        <v>-1.5</v>
      </c>
      <c r="P187" s="102">
        <f t="shared" si="18"/>
        <v>91.5</v>
      </c>
      <c r="Z187" s="95">
        <v>5.43</v>
      </c>
      <c r="AA187" s="95">
        <v>109.524</v>
      </c>
      <c r="AB187" s="95">
        <v>101.855</v>
      </c>
      <c r="AC187" s="95">
        <v>1197.76</v>
      </c>
      <c r="AD187" s="95">
        <v>1174.56</v>
      </c>
      <c r="AE187" s="95">
        <v>160.678</v>
      </c>
      <c r="AF187" s="95">
        <v>154.774</v>
      </c>
      <c r="AG187" s="95">
        <v>0.23405999999999999</v>
      </c>
      <c r="AH187" s="95">
        <v>6.8559999999999996E-2</v>
      </c>
      <c r="AI187" s="95">
        <v>0.25402000000000002</v>
      </c>
      <c r="AJ187" s="95">
        <v>0</v>
      </c>
      <c r="AK187" s="95">
        <v>0.32719999999999999</v>
      </c>
      <c r="AL187" s="95">
        <v>6.1459999999999999</v>
      </c>
      <c r="AM187" s="95">
        <v>1.4752400000000001</v>
      </c>
      <c r="AN187" s="95">
        <v>-1.1299999999999999</v>
      </c>
      <c r="AO187" s="95">
        <v>0</v>
      </c>
      <c r="AP187" s="95">
        <v>543.68899999999996</v>
      </c>
      <c r="AQ187" s="95">
        <v>543.58299999999997</v>
      </c>
      <c r="AR187" s="95">
        <v>543.58299999999997</v>
      </c>
      <c r="AS187" s="95">
        <v>0</v>
      </c>
      <c r="AT187" s="95">
        <v>-10.725</v>
      </c>
      <c r="AU187" s="95">
        <v>11.055</v>
      </c>
      <c r="AV187" s="95">
        <v>11.099</v>
      </c>
      <c r="AW187" s="95">
        <v>11.143000000000001</v>
      </c>
      <c r="AX187" s="95">
        <v>8.7999999999999995E-2</v>
      </c>
      <c r="AY187" s="95">
        <f t="shared" si="20"/>
        <v>0.98965383259991513</v>
      </c>
      <c r="AZ187" s="95">
        <f t="shared" si="19"/>
        <v>12.661734104046243</v>
      </c>
    </row>
    <row r="188" spans="1:52" s="96" customFormat="1" ht="18" customHeight="1" x14ac:dyDescent="0.2">
      <c r="A188" s="97"/>
      <c r="B188" s="97">
        <v>5</v>
      </c>
      <c r="C188" s="95">
        <v>109.61539500000001</v>
      </c>
      <c r="D188" s="95">
        <v>108.65524499999999</v>
      </c>
      <c r="E188" s="95">
        <v>1191.4633399999998</v>
      </c>
      <c r="F188" s="95">
        <v>1191.4633399999998</v>
      </c>
      <c r="G188" s="95">
        <v>0.53500000000000003</v>
      </c>
      <c r="H188" s="95">
        <v>0.38100000000000001</v>
      </c>
      <c r="I188" s="95">
        <f t="shared" si="14"/>
        <v>1.027416829133238</v>
      </c>
      <c r="J188" s="95">
        <f t="shared" si="15"/>
        <v>1.0896637551508108</v>
      </c>
      <c r="K188" s="95">
        <f t="shared" si="16"/>
        <v>6.0512120779295051E-4</v>
      </c>
      <c r="L188" s="95">
        <f t="shared" si="17"/>
        <v>0.99124073767192999</v>
      </c>
      <c r="M188" s="95"/>
      <c r="N188" s="99">
        <v>11.464</v>
      </c>
      <c r="O188" s="106">
        <v>-1.42</v>
      </c>
      <c r="P188" s="102">
        <f t="shared" si="18"/>
        <v>91.42</v>
      </c>
      <c r="Z188" s="95">
        <v>5.43</v>
      </c>
      <c r="AA188" s="95">
        <v>109.42100000000001</v>
      </c>
      <c r="AB188" s="95">
        <v>101.855</v>
      </c>
      <c r="AC188" s="95">
        <v>1194.77</v>
      </c>
      <c r="AD188" s="95">
        <v>1171.9100000000001</v>
      </c>
      <c r="AE188" s="95">
        <v>159.91399999999999</v>
      </c>
      <c r="AF188" s="95">
        <v>154.1</v>
      </c>
      <c r="AG188" s="95">
        <v>0.23458999999999999</v>
      </c>
      <c r="AH188" s="95">
        <v>6.8559999999999996E-2</v>
      </c>
      <c r="AI188" s="95">
        <v>0.25394</v>
      </c>
      <c r="AJ188" s="95">
        <v>0</v>
      </c>
      <c r="AK188" s="95">
        <v>0.32500000000000001</v>
      </c>
      <c r="AL188" s="95">
        <v>6.1790000000000003</v>
      </c>
      <c r="AM188" s="95">
        <v>1.4746699999999999</v>
      </c>
      <c r="AN188" s="95">
        <v>-1.2</v>
      </c>
      <c r="AO188" s="95">
        <v>0</v>
      </c>
      <c r="AP188" s="95">
        <v>539.53700000000003</v>
      </c>
      <c r="AQ188" s="95">
        <v>539.41899999999998</v>
      </c>
      <c r="AR188" s="95">
        <v>539.41899999999998</v>
      </c>
      <c r="AS188" s="95">
        <v>0</v>
      </c>
      <c r="AT188" s="95">
        <v>-11.303000000000001</v>
      </c>
      <c r="AU188" s="95">
        <v>11.143000000000001</v>
      </c>
      <c r="AV188" s="95">
        <v>11.186999999999999</v>
      </c>
      <c r="AW188" s="95">
        <v>11.231</v>
      </c>
      <c r="AX188" s="95">
        <v>8.7999999999999995E-2</v>
      </c>
      <c r="AY188" s="95">
        <f t="shared" si="20"/>
        <v>0.9907732705541471</v>
      </c>
      <c r="AZ188" s="95">
        <f t="shared" si="19"/>
        <v>12.649826589595376</v>
      </c>
    </row>
    <row r="189" spans="1:52" s="96" customFormat="1" ht="18" customHeight="1" x14ac:dyDescent="0.2">
      <c r="A189" s="97"/>
      <c r="B189" s="97">
        <v>6</v>
      </c>
      <c r="C189" s="95">
        <v>109.86883999999999</v>
      </c>
      <c r="D189" s="95">
        <v>108.95713000000001</v>
      </c>
      <c r="E189" s="95">
        <v>1188.9977900000001</v>
      </c>
      <c r="F189" s="95">
        <v>1188.9977900000001</v>
      </c>
      <c r="G189" s="95">
        <v>0.54100000000000004</v>
      </c>
      <c r="H189" s="95">
        <v>0.38600000000000001</v>
      </c>
      <c r="I189" s="95">
        <f t="shared" si="14"/>
        <v>1.0279054402062071</v>
      </c>
      <c r="J189" s="95">
        <f t="shared" si="15"/>
        <v>1.0919863053681675</v>
      </c>
      <c r="K189" s="95">
        <f t="shared" si="16"/>
        <v>5.7327689773931188E-4</v>
      </c>
      <c r="L189" s="95">
        <f t="shared" si="17"/>
        <v>0.99170183283995728</v>
      </c>
      <c r="M189" s="95"/>
      <c r="N189" s="99">
        <v>11.358000000000001</v>
      </c>
      <c r="O189" s="106">
        <v>-1.36</v>
      </c>
      <c r="P189" s="102">
        <f t="shared" si="18"/>
        <v>91.36</v>
      </c>
      <c r="Z189" s="95">
        <v>5.43</v>
      </c>
      <c r="AA189" s="95">
        <v>109.345</v>
      </c>
      <c r="AB189" s="95">
        <v>101.855</v>
      </c>
      <c r="AC189" s="95">
        <v>1194.07</v>
      </c>
      <c r="AD189" s="95">
        <v>1171.45</v>
      </c>
      <c r="AE189" s="95">
        <v>159.738</v>
      </c>
      <c r="AF189" s="95">
        <v>153.98400000000001</v>
      </c>
      <c r="AG189" s="95">
        <v>0.23468</v>
      </c>
      <c r="AH189" s="95">
        <v>6.8559999999999996E-2</v>
      </c>
      <c r="AI189" s="95">
        <v>0.25392999999999999</v>
      </c>
      <c r="AJ189" s="95">
        <v>0</v>
      </c>
      <c r="AK189" s="95">
        <v>0.32340000000000002</v>
      </c>
      <c r="AL189" s="95">
        <v>6.2089999999999996</v>
      </c>
      <c r="AM189" s="95">
        <v>1.4745699999999999</v>
      </c>
      <c r="AN189" s="95">
        <v>-1.27</v>
      </c>
      <c r="AO189" s="95">
        <v>0</v>
      </c>
      <c r="AP189" s="95">
        <v>536.77300000000002</v>
      </c>
      <c r="AQ189" s="95">
        <v>536.64099999999996</v>
      </c>
      <c r="AR189" s="95">
        <v>536.64099999999996</v>
      </c>
      <c r="AS189" s="95">
        <v>0</v>
      </c>
      <c r="AT189" s="95">
        <v>-11.901</v>
      </c>
      <c r="AU189" s="95">
        <v>11.231</v>
      </c>
      <c r="AV189" s="95">
        <v>11.275</v>
      </c>
      <c r="AW189" s="95">
        <v>11.319000000000001</v>
      </c>
      <c r="AX189" s="95">
        <v>8.7999999999999995E-2</v>
      </c>
      <c r="AY189" s="95">
        <f t="shared" si="20"/>
        <v>0.99149460932328648</v>
      </c>
      <c r="AZ189" s="95">
        <f t="shared" si="19"/>
        <v>12.641040462427744</v>
      </c>
    </row>
    <row r="190" spans="1:52" s="96" customFormat="1" ht="18" customHeight="1" x14ac:dyDescent="0.2">
      <c r="A190" s="97"/>
      <c r="B190" s="97">
        <v>7</v>
      </c>
      <c r="C190" s="95">
        <v>110.12142</v>
      </c>
      <c r="D190" s="95">
        <v>109.19673500000002</v>
      </c>
      <c r="E190" s="95">
        <v>1188.9977900000001</v>
      </c>
      <c r="F190" s="95">
        <v>1188.9977900000001</v>
      </c>
      <c r="G190" s="95">
        <v>0.54700000000000004</v>
      </c>
      <c r="H190" s="95">
        <v>0.39</v>
      </c>
      <c r="I190" s="95">
        <f t="shared" si="14"/>
        <v>1.0285532113118925</v>
      </c>
      <c r="J190" s="95">
        <f t="shared" si="15"/>
        <v>1.0942877203681327</v>
      </c>
      <c r="K190" s="95">
        <f t="shared" si="16"/>
        <v>5.8015330386459486E-4</v>
      </c>
      <c r="L190" s="95">
        <f t="shared" si="17"/>
        <v>0.99160304144280031</v>
      </c>
      <c r="M190" s="95"/>
      <c r="N190" s="99">
        <v>11.252000000000001</v>
      </c>
      <c r="O190" s="106">
        <v>-1.28</v>
      </c>
      <c r="P190" s="102">
        <f t="shared" si="18"/>
        <v>91.28</v>
      </c>
      <c r="Z190" s="95">
        <v>5.43</v>
      </c>
      <c r="AA190" s="95">
        <v>109.047</v>
      </c>
      <c r="AB190" s="95">
        <v>101.855</v>
      </c>
      <c r="AC190" s="95">
        <v>1195.1199999999999</v>
      </c>
      <c r="AD190" s="95">
        <v>1173.3399999999999</v>
      </c>
      <c r="AE190" s="95">
        <v>160.005</v>
      </c>
      <c r="AF190" s="95">
        <v>154.465</v>
      </c>
      <c r="AG190" s="95">
        <v>0.23430000000000001</v>
      </c>
      <c r="AH190" s="95">
        <v>6.8559999999999996E-2</v>
      </c>
      <c r="AI190" s="95">
        <v>0.25398999999999999</v>
      </c>
      <c r="AJ190" s="95">
        <v>0</v>
      </c>
      <c r="AK190" s="95">
        <v>0.31709999999999999</v>
      </c>
      <c r="AL190" s="95">
        <v>6.3380000000000001</v>
      </c>
      <c r="AM190" s="95">
        <v>1.47498</v>
      </c>
      <c r="AN190" s="95">
        <v>-1.33</v>
      </c>
      <c r="AO190" s="95">
        <v>0</v>
      </c>
      <c r="AP190" s="95">
        <v>526.68799999999999</v>
      </c>
      <c r="AQ190" s="95">
        <v>526.54499999999996</v>
      </c>
      <c r="AR190" s="95">
        <v>526.54499999999996</v>
      </c>
      <c r="AS190" s="95">
        <v>0</v>
      </c>
      <c r="AT190" s="95">
        <v>-12.262</v>
      </c>
      <c r="AU190" s="95">
        <v>11.319000000000001</v>
      </c>
      <c r="AV190" s="95">
        <v>11.363</v>
      </c>
      <c r="AW190" s="95">
        <v>11.407</v>
      </c>
      <c r="AX190" s="95">
        <v>8.8999999999999996E-2</v>
      </c>
      <c r="AY190" s="95">
        <f t="shared" si="20"/>
        <v>0.99163385379250135</v>
      </c>
      <c r="AZ190" s="95">
        <f t="shared" si="19"/>
        <v>12.606589595375722</v>
      </c>
    </row>
    <row r="191" spans="1:52" s="96" customFormat="1" ht="18" customHeight="1" x14ac:dyDescent="0.2">
      <c r="A191" s="97"/>
      <c r="B191" s="97">
        <v>8</v>
      </c>
      <c r="C191" s="95">
        <v>110.374865</v>
      </c>
      <c r="D191" s="95">
        <v>109.34465</v>
      </c>
      <c r="E191" s="95">
        <v>1192.99746</v>
      </c>
      <c r="F191" s="95">
        <v>1192.99746</v>
      </c>
      <c r="G191" s="95">
        <v>0.55300000000000005</v>
      </c>
      <c r="H191" s="95">
        <v>0.39200000000000002</v>
      </c>
      <c r="I191" s="95">
        <f t="shared" si="14"/>
        <v>1.0295217150361375</v>
      </c>
      <c r="J191" s="95">
        <f t="shared" si="15"/>
        <v>1.0968611215272066</v>
      </c>
      <c r="K191" s="95">
        <f t="shared" si="16"/>
        <v>6.4501760864583372E-4</v>
      </c>
      <c r="L191" s="95">
        <f t="shared" si="17"/>
        <v>0.99066621734939386</v>
      </c>
      <c r="M191" s="95"/>
      <c r="N191" s="99">
        <v>11.146000000000001</v>
      </c>
      <c r="O191" s="106">
        <v>-1.19</v>
      </c>
      <c r="P191" s="102">
        <f t="shared" si="18"/>
        <v>91.19</v>
      </c>
      <c r="Z191" s="95">
        <v>5.43</v>
      </c>
      <c r="AA191" s="95">
        <v>108.776</v>
      </c>
      <c r="AB191" s="95">
        <v>101.855</v>
      </c>
      <c r="AC191" s="95">
        <v>1198.17</v>
      </c>
      <c r="AD191" s="95">
        <v>1177.1400000000001</v>
      </c>
      <c r="AE191" s="95">
        <v>160.78200000000001</v>
      </c>
      <c r="AF191" s="95">
        <v>155.429</v>
      </c>
      <c r="AG191" s="95">
        <v>0.23355000000000001</v>
      </c>
      <c r="AH191" s="95">
        <v>6.8559999999999996E-2</v>
      </c>
      <c r="AI191" s="95">
        <v>0.25411</v>
      </c>
      <c r="AJ191" s="95">
        <v>0</v>
      </c>
      <c r="AK191" s="95">
        <v>0.31119999999999998</v>
      </c>
      <c r="AL191" s="95">
        <v>6.4690000000000003</v>
      </c>
      <c r="AM191" s="95">
        <v>1.4758</v>
      </c>
      <c r="AN191" s="95">
        <v>-1.39</v>
      </c>
      <c r="AO191" s="95">
        <v>0</v>
      </c>
      <c r="AP191" s="95">
        <v>517.72400000000005</v>
      </c>
      <c r="AQ191" s="95">
        <v>517.572</v>
      </c>
      <c r="AR191" s="95">
        <v>517.572</v>
      </c>
      <c r="AS191" s="95">
        <v>0</v>
      </c>
      <c r="AT191" s="95">
        <v>-12.539</v>
      </c>
      <c r="AU191" s="95">
        <v>11.407</v>
      </c>
      <c r="AV191" s="95">
        <v>11.452</v>
      </c>
      <c r="AW191" s="95">
        <v>11.497</v>
      </c>
      <c r="AX191" s="95">
        <v>0.09</v>
      </c>
      <c r="AY191" s="95">
        <f t="shared" si="20"/>
        <v>0.99145953533309639</v>
      </c>
      <c r="AZ191" s="95">
        <f t="shared" si="19"/>
        <v>12.575260115606936</v>
      </c>
    </row>
    <row r="192" spans="1:52" s="96" customFormat="1" ht="18" customHeight="1" x14ac:dyDescent="0.2">
      <c r="A192" s="97"/>
      <c r="B192" s="97">
        <v>9</v>
      </c>
      <c r="C192" s="95">
        <v>110.62831000000001</v>
      </c>
      <c r="D192" s="95">
        <v>109.42077</v>
      </c>
      <c r="E192" s="95">
        <v>1200.6680599999997</v>
      </c>
      <c r="F192" s="95">
        <v>1200.6680599999997</v>
      </c>
      <c r="G192" s="95">
        <v>0.55900000000000005</v>
      </c>
      <c r="H192" s="95">
        <v>0.39200000000000002</v>
      </c>
      <c r="I192" s="95">
        <f t="shared" si="14"/>
        <v>1.0308163279561882</v>
      </c>
      <c r="J192" s="95">
        <f t="shared" si="15"/>
        <v>1.0999374791627383</v>
      </c>
      <c r="K192" s="95">
        <f t="shared" si="16"/>
        <v>7.5463301059587595E-4</v>
      </c>
      <c r="L192" s="95">
        <f t="shared" si="17"/>
        <v>0.98908471077611138</v>
      </c>
      <c r="M192" s="95"/>
      <c r="N192" s="100">
        <v>11.039</v>
      </c>
      <c r="O192" s="106">
        <v>-1.1000000000000001</v>
      </c>
      <c r="P192" s="102">
        <f t="shared" si="18"/>
        <v>91.1</v>
      </c>
      <c r="Z192" s="95">
        <v>5.43</v>
      </c>
      <c r="AA192" s="95">
        <v>108.52800000000001</v>
      </c>
      <c r="AB192" s="95">
        <v>101.855</v>
      </c>
      <c r="AC192" s="95">
        <v>1203.4000000000001</v>
      </c>
      <c r="AD192" s="95">
        <v>1183.01</v>
      </c>
      <c r="AE192" s="95">
        <v>162.113</v>
      </c>
      <c r="AF192" s="95">
        <v>156.922</v>
      </c>
      <c r="AG192" s="95">
        <v>0.23239000000000001</v>
      </c>
      <c r="AH192" s="95">
        <v>6.8559999999999996E-2</v>
      </c>
      <c r="AI192" s="95">
        <v>0.25429000000000002</v>
      </c>
      <c r="AJ192" s="95">
        <v>0</v>
      </c>
      <c r="AK192" s="95">
        <v>0.30580000000000002</v>
      </c>
      <c r="AL192" s="95">
        <v>6.6020000000000003</v>
      </c>
      <c r="AM192" s="95">
        <v>1.4770700000000001</v>
      </c>
      <c r="AN192" s="95">
        <v>-1.44</v>
      </c>
      <c r="AO192" s="95">
        <v>0</v>
      </c>
      <c r="AP192" s="95">
        <v>509.83199999999999</v>
      </c>
      <c r="AQ192" s="95">
        <v>509.67</v>
      </c>
      <c r="AR192" s="95">
        <v>509.67</v>
      </c>
      <c r="AS192" s="95">
        <v>0</v>
      </c>
      <c r="AT192" s="95">
        <v>-12.821</v>
      </c>
      <c r="AU192" s="95">
        <v>11.497</v>
      </c>
      <c r="AV192" s="95">
        <v>11.542999999999999</v>
      </c>
      <c r="AW192" s="95">
        <v>11.587999999999999</v>
      </c>
      <c r="AX192" s="95">
        <v>9.0999999999999998E-2</v>
      </c>
      <c r="AY192" s="95">
        <f t="shared" si="20"/>
        <v>0.99098753595397893</v>
      </c>
      <c r="AZ192" s="95">
        <f t="shared" si="19"/>
        <v>12.546589595375723</v>
      </c>
    </row>
    <row r="193" spans="1:52" s="96" customFormat="1" ht="18" customHeight="1" x14ac:dyDescent="0.2">
      <c r="A193" s="97"/>
      <c r="B193" s="97">
        <v>10</v>
      </c>
      <c r="C193" s="95">
        <v>110.88089000000001</v>
      </c>
      <c r="D193" s="95">
        <v>109.43979999999999</v>
      </c>
      <c r="E193" s="95">
        <v>1217.4885900000002</v>
      </c>
      <c r="F193" s="95">
        <v>1217.4885900000002</v>
      </c>
      <c r="G193" s="95">
        <v>0.56699999999999995</v>
      </c>
      <c r="H193" s="95">
        <v>0.39200000000000002</v>
      </c>
      <c r="I193" s="95">
        <f t="shared" si="14"/>
        <v>1.0325642106276234</v>
      </c>
      <c r="J193" s="95">
        <f t="shared" si="15"/>
        <v>1.1041506326271895</v>
      </c>
      <c r="K193" s="95">
        <f t="shared" si="16"/>
        <v>8.9917008595359355E-4</v>
      </c>
      <c r="L193" s="95">
        <f t="shared" si="17"/>
        <v>0.98700326088652413</v>
      </c>
      <c r="M193" s="95"/>
      <c r="N193" s="99">
        <v>10.929</v>
      </c>
      <c r="O193" s="106">
        <v>-0.96</v>
      </c>
      <c r="P193" s="102">
        <f t="shared" si="18"/>
        <v>90.96</v>
      </c>
      <c r="Z193" s="95">
        <v>5.43</v>
      </c>
      <c r="AA193" s="95">
        <v>108.36799999999999</v>
      </c>
      <c r="AB193" s="95">
        <v>101.855</v>
      </c>
      <c r="AC193" s="95">
        <v>1212.95</v>
      </c>
      <c r="AD193" s="95">
        <v>1192.9000000000001</v>
      </c>
      <c r="AE193" s="95">
        <v>164.55</v>
      </c>
      <c r="AF193" s="95">
        <v>159.43799999999999</v>
      </c>
      <c r="AG193" s="95">
        <v>0.23046</v>
      </c>
      <c r="AH193" s="95">
        <v>6.8559999999999996E-2</v>
      </c>
      <c r="AI193" s="95">
        <v>0.25461</v>
      </c>
      <c r="AJ193" s="95">
        <v>0</v>
      </c>
      <c r="AK193" s="95">
        <v>0.30220000000000002</v>
      </c>
      <c r="AL193" s="95">
        <v>6.7080000000000002</v>
      </c>
      <c r="AM193" s="95">
        <v>1.4791799999999999</v>
      </c>
      <c r="AN193" s="95">
        <v>-1.51</v>
      </c>
      <c r="AO193" s="95">
        <v>0</v>
      </c>
      <c r="AP193" s="95">
        <v>505.93700000000001</v>
      </c>
      <c r="AQ193" s="95">
        <v>505.76</v>
      </c>
      <c r="AR193" s="95">
        <v>505.76</v>
      </c>
      <c r="AS193" s="95">
        <v>0</v>
      </c>
      <c r="AT193" s="95">
        <v>-13.372999999999999</v>
      </c>
      <c r="AU193" s="95">
        <v>11.587999999999999</v>
      </c>
      <c r="AV193" s="95">
        <v>11.634</v>
      </c>
      <c r="AW193" s="95">
        <v>11.68</v>
      </c>
      <c r="AX193" s="95">
        <v>9.1999999999999998E-2</v>
      </c>
      <c r="AY193" s="95">
        <f t="shared" si="20"/>
        <v>0.99016848799385981</v>
      </c>
      <c r="AZ193" s="95">
        <f t="shared" si="19"/>
        <v>12.528092485549132</v>
      </c>
    </row>
    <row r="194" spans="1:52" s="96" customFormat="1" ht="18" customHeight="1" x14ac:dyDescent="0.2">
      <c r="A194" s="97"/>
      <c r="B194" s="97">
        <v>11</v>
      </c>
      <c r="C194" s="95">
        <v>111.13433499999999</v>
      </c>
      <c r="D194" s="95">
        <v>109.36368</v>
      </c>
      <c r="E194" s="95">
        <v>1246.52729</v>
      </c>
      <c r="F194" s="95">
        <v>1246.52729</v>
      </c>
      <c r="G194" s="95">
        <v>0.57499999999999996</v>
      </c>
      <c r="H194" s="95">
        <v>0.39</v>
      </c>
      <c r="I194" s="95">
        <f t="shared" si="14"/>
        <v>1.0346509190427204</v>
      </c>
      <c r="J194" s="95">
        <f t="shared" si="15"/>
        <v>1.1086726342580082</v>
      </c>
      <c r="K194" s="95">
        <f t="shared" si="16"/>
        <v>1.103526254569105E-3</v>
      </c>
      <c r="L194" s="95">
        <f t="shared" si="17"/>
        <v>0.98406743514504325</v>
      </c>
      <c r="M194" s="95"/>
      <c r="N194" s="99">
        <v>10.815</v>
      </c>
      <c r="O194" s="106">
        <v>-0.57999999999999996</v>
      </c>
      <c r="P194" s="102">
        <f t="shared" si="18"/>
        <v>90.58</v>
      </c>
      <c r="Z194" s="95">
        <v>5.43</v>
      </c>
      <c r="AA194" s="95">
        <v>108.188</v>
      </c>
      <c r="AB194" s="95">
        <v>101.855</v>
      </c>
      <c r="AC194" s="95">
        <v>1230.23</v>
      </c>
      <c r="AD194" s="95">
        <v>1210.48</v>
      </c>
      <c r="AE194" s="95">
        <v>168.96600000000001</v>
      </c>
      <c r="AF194" s="95">
        <v>163.92</v>
      </c>
      <c r="AG194" s="95">
        <v>0.22711000000000001</v>
      </c>
      <c r="AH194" s="95">
        <v>6.8559999999999996E-2</v>
      </c>
      <c r="AI194" s="95">
        <v>0.25516</v>
      </c>
      <c r="AJ194" s="95">
        <v>0</v>
      </c>
      <c r="AK194" s="95">
        <v>0.29820000000000002</v>
      </c>
      <c r="AL194" s="95">
        <v>6.8520000000000003</v>
      </c>
      <c r="AM194" s="95">
        <v>1.48291</v>
      </c>
      <c r="AN194" s="95">
        <v>-1.68</v>
      </c>
      <c r="AO194" s="95">
        <v>0</v>
      </c>
      <c r="AP194" s="95">
        <v>502.68</v>
      </c>
      <c r="AQ194" s="95">
        <v>502.46499999999997</v>
      </c>
      <c r="AR194" s="95">
        <v>502.46499999999997</v>
      </c>
      <c r="AS194" s="95">
        <v>0</v>
      </c>
      <c r="AT194" s="95">
        <v>-14.705</v>
      </c>
      <c r="AU194" s="95">
        <v>11.68</v>
      </c>
      <c r="AV194" s="95">
        <v>11.727</v>
      </c>
      <c r="AW194" s="95">
        <v>11.773</v>
      </c>
      <c r="AX194" s="95">
        <v>9.2999999999999999E-2</v>
      </c>
      <c r="AY194" s="95">
        <f t="shared" si="20"/>
        <v>0.98900275159748052</v>
      </c>
      <c r="AZ194" s="95">
        <f t="shared" si="19"/>
        <v>12.507283236994219</v>
      </c>
    </row>
    <row r="195" spans="1:52" s="96" customFormat="1" ht="18" customHeight="1" x14ac:dyDescent="0.2">
      <c r="A195" s="97"/>
      <c r="B195" s="97">
        <v>12</v>
      </c>
      <c r="C195" s="95">
        <v>111.260625</v>
      </c>
      <c r="D195" s="95">
        <v>109.300535</v>
      </c>
      <c r="E195" s="95">
        <v>1267.2927</v>
      </c>
      <c r="F195" s="95">
        <v>1267.2927</v>
      </c>
      <c r="G195" s="95">
        <v>0.57499999999999996</v>
      </c>
      <c r="H195" s="95">
        <v>0.38800000000000001</v>
      </c>
      <c r="I195" s="95">
        <f t="shared" ref="I195:I258" si="21">F195/E195*((1+0.2*G195^2)/(1+0.2*H195^2))</f>
        <v>1.0349634912351005</v>
      </c>
      <c r="J195" s="95">
        <f t="shared" ref="J195:J258" si="22">D195/C195*((1+0.2*G195^2)^(1.4/0.4)/(1+0.2*H195^2)^(1.4/0.4))</f>
        <v>1.1079455002255179</v>
      </c>
      <c r="K195" s="95">
        <f t="shared" ref="K195:K258" si="23">0.24 * LN(I195) - 0.06855 * LN(J195)</f>
        <v>1.220994220170489E-3</v>
      </c>
      <c r="L195" s="95">
        <f t="shared" ref="L195:L258" si="24">D195/C195</f>
        <v>0.98238289601554896</v>
      </c>
      <c r="M195" s="95"/>
      <c r="N195" s="99">
        <v>10.755000000000001</v>
      </c>
      <c r="O195" s="106">
        <v>-0.3</v>
      </c>
      <c r="P195" s="102">
        <f t="shared" ref="P195:P258" si="25">90-O195</f>
        <v>90.3</v>
      </c>
      <c r="Z195" s="95">
        <v>5.43</v>
      </c>
      <c r="AA195" s="95">
        <v>107.673</v>
      </c>
      <c r="AB195" s="95">
        <v>101.855</v>
      </c>
      <c r="AC195" s="95">
        <v>1262.02</v>
      </c>
      <c r="AD195" s="95">
        <v>1243.42</v>
      </c>
      <c r="AE195" s="95">
        <v>177.11099999999999</v>
      </c>
      <c r="AF195" s="95">
        <v>172.34100000000001</v>
      </c>
      <c r="AG195" s="95">
        <v>0.22109999999999999</v>
      </c>
      <c r="AH195" s="95">
        <v>6.8559999999999996E-2</v>
      </c>
      <c r="AI195" s="95">
        <v>0.25619999999999998</v>
      </c>
      <c r="AJ195" s="95">
        <v>0</v>
      </c>
      <c r="AK195" s="95">
        <v>0.2863</v>
      </c>
      <c r="AL195" s="95">
        <v>7.2430000000000003</v>
      </c>
      <c r="AM195" s="95">
        <v>1.4897800000000001</v>
      </c>
      <c r="AN195" s="95">
        <v>-2.48</v>
      </c>
      <c r="AO195" s="95">
        <v>0</v>
      </c>
      <c r="AP195" s="95">
        <v>488.738</v>
      </c>
      <c r="AQ195" s="95">
        <v>488.28100000000001</v>
      </c>
      <c r="AR195" s="95">
        <v>488.28100000000001</v>
      </c>
      <c r="AS195" s="95">
        <v>0</v>
      </c>
      <c r="AT195" s="95">
        <v>-21.135999999999999</v>
      </c>
      <c r="AU195" s="95">
        <v>11.773</v>
      </c>
      <c r="AV195" s="95">
        <v>11.821999999999999</v>
      </c>
      <c r="AW195" s="95">
        <v>11.871</v>
      </c>
      <c r="AX195" s="95">
        <v>9.8000000000000004E-2</v>
      </c>
      <c r="AY195" s="95">
        <f t="shared" si="20"/>
        <v>0.98747237227047202</v>
      </c>
      <c r="AZ195" s="95">
        <f t="shared" si="19"/>
        <v>12.447745664739884</v>
      </c>
    </row>
    <row r="196" spans="1:52" ht="18" customHeight="1" x14ac:dyDescent="0.2">
      <c r="A196" s="26" t="s">
        <v>128</v>
      </c>
      <c r="N196" s="27"/>
      <c r="O196" s="27"/>
      <c r="P196" s="103"/>
      <c r="Z196" s="17">
        <v>0</v>
      </c>
      <c r="AA196" s="17">
        <v>0</v>
      </c>
      <c r="AB196" s="17">
        <v>0</v>
      </c>
      <c r="AC196" s="17">
        <v>0</v>
      </c>
      <c r="AD196" s="17">
        <v>0</v>
      </c>
      <c r="AE196" s="17">
        <v>0</v>
      </c>
      <c r="AF196" s="17">
        <v>0</v>
      </c>
      <c r="AG196" s="17">
        <v>0</v>
      </c>
      <c r="AH196" s="17">
        <v>0</v>
      </c>
      <c r="AI196" s="17">
        <v>0</v>
      </c>
      <c r="AJ196" s="17">
        <v>0</v>
      </c>
      <c r="AK196" s="17">
        <v>0</v>
      </c>
      <c r="AL196" s="17">
        <v>0</v>
      </c>
      <c r="AM196" s="17">
        <v>0</v>
      </c>
      <c r="AN196" s="17">
        <v>0</v>
      </c>
      <c r="AO196" s="17">
        <v>0</v>
      </c>
      <c r="AP196" s="17">
        <v>0</v>
      </c>
      <c r="AQ196" s="17">
        <v>0</v>
      </c>
      <c r="AR196" s="17">
        <v>0</v>
      </c>
      <c r="AS196" s="17">
        <v>0</v>
      </c>
      <c r="AT196" s="17">
        <v>0</v>
      </c>
      <c r="AU196" s="17">
        <v>0</v>
      </c>
      <c r="AV196" s="17">
        <v>0</v>
      </c>
      <c r="AW196" s="17">
        <v>0</v>
      </c>
      <c r="AX196" s="17">
        <v>0</v>
      </c>
      <c r="AZ196" s="17">
        <f t="shared" si="19"/>
        <v>0</v>
      </c>
    </row>
    <row r="197" spans="1:52" ht="18" customHeight="1" x14ac:dyDescent="0.2">
      <c r="B197" s="27">
        <v>1</v>
      </c>
      <c r="C197" s="17">
        <v>107.397535</v>
      </c>
      <c r="D197" s="17">
        <v>138.51418000000001</v>
      </c>
      <c r="E197" s="17">
        <v>1262.1424399999999</v>
      </c>
      <c r="F197" s="17">
        <v>1360.1069600000001</v>
      </c>
      <c r="G197" s="17">
        <v>0.36</v>
      </c>
      <c r="H197" s="17">
        <v>0.49299999999999999</v>
      </c>
      <c r="I197" s="17">
        <f t="shared" si="21"/>
        <v>1.0543001707890931</v>
      </c>
      <c r="J197" s="17">
        <f t="shared" si="22"/>
        <v>1.1946713984006387</v>
      </c>
      <c r="K197" s="17">
        <f t="shared" si="23"/>
        <v>4.9745987423322098E-4</v>
      </c>
      <c r="L197" s="17">
        <f t="shared" si="24"/>
        <v>1.2897333258160908</v>
      </c>
      <c r="N197" s="27">
        <v>11.766</v>
      </c>
      <c r="O197" s="27">
        <v>52.42</v>
      </c>
      <c r="P197" s="103">
        <f t="shared" si="25"/>
        <v>37.58</v>
      </c>
      <c r="Z197" s="17">
        <v>5.43</v>
      </c>
      <c r="AA197" s="17">
        <v>141.315</v>
      </c>
      <c r="AB197" s="17">
        <v>124.227</v>
      </c>
      <c r="AC197" s="17">
        <v>1337.08</v>
      </c>
      <c r="AD197" s="17">
        <v>1292.1500000000001</v>
      </c>
      <c r="AE197" s="17">
        <v>196.47900000000001</v>
      </c>
      <c r="AF197" s="17">
        <v>184.863</v>
      </c>
      <c r="AG197" s="17">
        <v>0.25949</v>
      </c>
      <c r="AH197" s="17">
        <v>6.8559999999999996E-2</v>
      </c>
      <c r="AI197" s="17">
        <v>0.25777</v>
      </c>
      <c r="AJ197" s="17">
        <v>0</v>
      </c>
      <c r="AK197" s="17">
        <v>0.43869999999999998</v>
      </c>
      <c r="AL197" s="17">
        <v>5.7670000000000003</v>
      </c>
      <c r="AM197" s="17">
        <v>1.48604</v>
      </c>
      <c r="AN197" s="17">
        <v>46.75</v>
      </c>
      <c r="AO197" s="17">
        <v>0</v>
      </c>
      <c r="AP197" s="17">
        <v>762.64700000000005</v>
      </c>
      <c r="AQ197" s="17">
        <v>522.53499999999997</v>
      </c>
      <c r="AR197" s="17">
        <v>522.53499999999997</v>
      </c>
      <c r="AS197" s="17">
        <v>0</v>
      </c>
      <c r="AT197" s="17">
        <v>555.50699999999995</v>
      </c>
      <c r="AU197" s="17">
        <v>10.78</v>
      </c>
      <c r="AV197" s="17">
        <v>10.823</v>
      </c>
      <c r="AW197" s="17">
        <v>10.865</v>
      </c>
      <c r="AX197" s="17">
        <v>8.5000000000000006E-2</v>
      </c>
      <c r="AY197" s="17">
        <f t="shared" si="20"/>
        <v>1.2902651473649611</v>
      </c>
      <c r="AZ197" s="17">
        <f t="shared" si="19"/>
        <v>16.336994219653178</v>
      </c>
    </row>
    <row r="198" spans="1:52" ht="18" customHeight="1" x14ac:dyDescent="0.2">
      <c r="B198" s="27">
        <v>2</v>
      </c>
      <c r="C198" s="17">
        <v>107.58351</v>
      </c>
      <c r="D198" s="17">
        <v>138.71313000000001</v>
      </c>
      <c r="E198" s="17">
        <v>1242.58241</v>
      </c>
      <c r="F198" s="17">
        <v>1338.84844</v>
      </c>
      <c r="G198" s="17">
        <v>0.36399999999999999</v>
      </c>
      <c r="H198" s="17">
        <v>0.496</v>
      </c>
      <c r="I198" s="17">
        <f t="shared" si="21"/>
        <v>1.0541568233320429</v>
      </c>
      <c r="J198" s="17">
        <f t="shared" si="22"/>
        <v>1.1943136411680055</v>
      </c>
      <c r="K198" s="17">
        <f t="shared" si="23"/>
        <v>4.8535727264694545E-4</v>
      </c>
      <c r="L198" s="17">
        <f t="shared" si="24"/>
        <v>1.2893530802257707</v>
      </c>
      <c r="N198" s="27">
        <v>11.715</v>
      </c>
      <c r="O198" s="27">
        <v>50.65</v>
      </c>
      <c r="P198" s="103">
        <f t="shared" si="25"/>
        <v>39.35</v>
      </c>
      <c r="Z198" s="17">
        <v>5.43</v>
      </c>
      <c r="AA198" s="17">
        <v>141.10599999999999</v>
      </c>
      <c r="AB198" s="17">
        <v>124.355</v>
      </c>
      <c r="AC198" s="17">
        <v>1312.42</v>
      </c>
      <c r="AD198" s="17">
        <v>1269.05</v>
      </c>
      <c r="AE198" s="17">
        <v>190.101</v>
      </c>
      <c r="AF198" s="17">
        <v>178.91900000000001</v>
      </c>
      <c r="AG198" s="17">
        <v>0.26449</v>
      </c>
      <c r="AH198" s="17">
        <v>6.8559999999999996E-2</v>
      </c>
      <c r="AI198" s="17">
        <v>0.25702000000000003</v>
      </c>
      <c r="AJ198" s="17">
        <v>0</v>
      </c>
      <c r="AK198" s="17">
        <v>0.43409999999999999</v>
      </c>
      <c r="AL198" s="17">
        <v>5.62</v>
      </c>
      <c r="AM198" s="17">
        <v>1.48133</v>
      </c>
      <c r="AN198" s="17">
        <v>45.33</v>
      </c>
      <c r="AO198" s="17">
        <v>0</v>
      </c>
      <c r="AP198" s="17">
        <v>748.29499999999996</v>
      </c>
      <c r="AQ198" s="17">
        <v>526.08399999999995</v>
      </c>
      <c r="AR198" s="17">
        <v>526.08399999999995</v>
      </c>
      <c r="AS198" s="17">
        <v>0</v>
      </c>
      <c r="AT198" s="17">
        <v>532.14800000000002</v>
      </c>
      <c r="AU198" s="17">
        <v>10.865</v>
      </c>
      <c r="AV198" s="17">
        <v>10.906000000000001</v>
      </c>
      <c r="AW198" s="17">
        <v>10.946999999999999</v>
      </c>
      <c r="AX198" s="17">
        <v>8.2000000000000003E-2</v>
      </c>
      <c r="AY198" s="17">
        <f t="shared" si="20"/>
        <v>1.2876514819681704</v>
      </c>
      <c r="AZ198" s="17">
        <f t="shared" si="19"/>
        <v>16.312832369942196</v>
      </c>
    </row>
    <row r="199" spans="1:52" ht="18" customHeight="1" x14ac:dyDescent="0.2">
      <c r="B199" s="27">
        <v>3</v>
      </c>
      <c r="C199" s="17">
        <v>107.90183</v>
      </c>
      <c r="D199" s="17">
        <v>138.91294500000001</v>
      </c>
      <c r="E199" s="17">
        <v>1216.8311099999999</v>
      </c>
      <c r="F199" s="17">
        <v>1310.19327</v>
      </c>
      <c r="G199" s="17">
        <v>0.372</v>
      </c>
      <c r="H199" s="17">
        <v>0.5</v>
      </c>
      <c r="I199" s="17">
        <f t="shared" si="21"/>
        <v>1.0538342593157215</v>
      </c>
      <c r="J199" s="17">
        <f t="shared" si="22"/>
        <v>1.1941236362945948</v>
      </c>
      <c r="K199" s="17">
        <f t="shared" si="23"/>
        <v>4.228144236097485E-4</v>
      </c>
      <c r="L199" s="17">
        <f t="shared" si="24"/>
        <v>1.2874011960686857</v>
      </c>
      <c r="N199" s="27">
        <v>11.625999999999999</v>
      </c>
      <c r="O199" s="27">
        <v>49</v>
      </c>
      <c r="P199" s="103">
        <f t="shared" si="25"/>
        <v>41</v>
      </c>
      <c r="Z199" s="17">
        <v>5.43</v>
      </c>
      <c r="AA199" s="17">
        <v>140.86500000000001</v>
      </c>
      <c r="AB199" s="17">
        <v>124.47199999999999</v>
      </c>
      <c r="AC199" s="17">
        <v>1294.28</v>
      </c>
      <c r="AD199" s="17">
        <v>1252.29</v>
      </c>
      <c r="AE199" s="17">
        <v>185.41399999999999</v>
      </c>
      <c r="AF199" s="17">
        <v>174.61500000000001</v>
      </c>
      <c r="AG199" s="17">
        <v>0.26828000000000002</v>
      </c>
      <c r="AH199" s="17">
        <v>6.8559999999999996E-2</v>
      </c>
      <c r="AI199" s="17">
        <v>0.25647999999999999</v>
      </c>
      <c r="AJ199" s="17">
        <v>0</v>
      </c>
      <c r="AK199" s="17">
        <v>0.42930000000000001</v>
      </c>
      <c r="AL199" s="17">
        <v>5.5410000000000004</v>
      </c>
      <c r="AM199" s="17">
        <v>1.4778500000000001</v>
      </c>
      <c r="AN199" s="17">
        <v>44.33</v>
      </c>
      <c r="AO199" s="17">
        <v>0</v>
      </c>
      <c r="AP199" s="17">
        <v>735.35500000000002</v>
      </c>
      <c r="AQ199" s="17">
        <v>526.02499999999998</v>
      </c>
      <c r="AR199" s="17">
        <v>526.02499999999998</v>
      </c>
      <c r="AS199" s="17">
        <v>0</v>
      </c>
      <c r="AT199" s="17">
        <v>513.85299999999995</v>
      </c>
      <c r="AU199" s="17">
        <v>10.946999999999999</v>
      </c>
      <c r="AV199" s="17">
        <v>10.987</v>
      </c>
      <c r="AW199" s="17">
        <v>11.026999999999999</v>
      </c>
      <c r="AX199" s="17">
        <v>0.08</v>
      </c>
      <c r="AY199" s="17">
        <f t="shared" si="20"/>
        <v>1.2854522558037671</v>
      </c>
      <c r="AZ199" s="17">
        <f t="shared" si="19"/>
        <v>16.284971098265896</v>
      </c>
    </row>
    <row r="200" spans="1:52" ht="18" customHeight="1" x14ac:dyDescent="0.2">
      <c r="B200" s="27">
        <v>4</v>
      </c>
      <c r="C200" s="17">
        <v>108.30059500000002</v>
      </c>
      <c r="D200" s="17">
        <v>139.17850000000001</v>
      </c>
      <c r="E200" s="17">
        <v>1199.0243600000001</v>
      </c>
      <c r="F200" s="17">
        <v>1289.7565999999999</v>
      </c>
      <c r="G200" s="17">
        <v>0.38200000000000001</v>
      </c>
      <c r="H200" s="17">
        <v>0.504</v>
      </c>
      <c r="I200" s="17">
        <f t="shared" si="21"/>
        <v>1.0535416981539547</v>
      </c>
      <c r="J200" s="17">
        <f t="shared" si="22"/>
        <v>1.1949320997783033</v>
      </c>
      <c r="K200" s="17">
        <f t="shared" si="23"/>
        <v>3.097823091393493E-4</v>
      </c>
      <c r="L200" s="17">
        <f t="shared" si="24"/>
        <v>1.2851129765261216</v>
      </c>
      <c r="N200" s="27">
        <v>11.521000000000001</v>
      </c>
      <c r="O200" s="27">
        <v>47.83</v>
      </c>
      <c r="P200" s="103">
        <f t="shared" si="25"/>
        <v>42.17</v>
      </c>
      <c r="Z200" s="17">
        <v>5.43</v>
      </c>
      <c r="AA200" s="17">
        <v>140.60499999999999</v>
      </c>
      <c r="AB200" s="17">
        <v>124.58</v>
      </c>
      <c r="AC200" s="17">
        <v>1287.29</v>
      </c>
      <c r="AD200" s="17">
        <v>1246.4000000000001</v>
      </c>
      <c r="AE200" s="17">
        <v>183.613</v>
      </c>
      <c r="AF200" s="17">
        <v>173.10499999999999</v>
      </c>
      <c r="AG200" s="17">
        <v>0.26978000000000002</v>
      </c>
      <c r="AH200" s="17">
        <v>6.8559999999999996E-2</v>
      </c>
      <c r="AI200" s="17">
        <v>0.25629999999999997</v>
      </c>
      <c r="AJ200" s="17">
        <v>0</v>
      </c>
      <c r="AK200" s="17">
        <v>0.4244</v>
      </c>
      <c r="AL200" s="17">
        <v>5.5330000000000004</v>
      </c>
      <c r="AM200" s="17">
        <v>1.47658</v>
      </c>
      <c r="AN200" s="17">
        <v>43.77</v>
      </c>
      <c r="AO200" s="17">
        <v>0</v>
      </c>
      <c r="AP200" s="17">
        <v>725.39300000000003</v>
      </c>
      <c r="AQ200" s="17">
        <v>523.81600000000003</v>
      </c>
      <c r="AR200" s="17">
        <v>523.81600000000003</v>
      </c>
      <c r="AS200" s="17">
        <v>0</v>
      </c>
      <c r="AT200" s="17">
        <v>501.80900000000003</v>
      </c>
      <c r="AU200" s="17">
        <v>11.026999999999999</v>
      </c>
      <c r="AV200" s="17">
        <v>11.067</v>
      </c>
      <c r="AW200" s="17">
        <v>11.106999999999999</v>
      </c>
      <c r="AX200" s="17">
        <v>0.08</v>
      </c>
      <c r="AY200" s="17">
        <f t="shared" si="20"/>
        <v>1.2837825499433912</v>
      </c>
      <c r="AZ200" s="17">
        <f t="shared" si="19"/>
        <v>16.254913294797685</v>
      </c>
    </row>
    <row r="201" spans="1:52" ht="18" customHeight="1" x14ac:dyDescent="0.2">
      <c r="B201" s="27">
        <v>5</v>
      </c>
      <c r="C201" s="17">
        <v>108.65524499999999</v>
      </c>
      <c r="D201" s="17">
        <v>139.44492</v>
      </c>
      <c r="E201" s="17">
        <v>1191.4633399999998</v>
      </c>
      <c r="F201" s="17">
        <v>1280.55188</v>
      </c>
      <c r="G201" s="17">
        <v>0.39100000000000001</v>
      </c>
      <c r="H201" s="17">
        <v>0.50800000000000001</v>
      </c>
      <c r="I201" s="17">
        <f t="shared" si="21"/>
        <v>1.0532724848243484</v>
      </c>
      <c r="J201" s="17">
        <f t="shared" si="22"/>
        <v>1.195740281819847</v>
      </c>
      <c r="K201" s="17">
        <f t="shared" si="23"/>
        <v>2.0209932683009496E-4</v>
      </c>
      <c r="L201" s="17">
        <f t="shared" si="24"/>
        <v>1.2833703517947983</v>
      </c>
      <c r="N201" s="27">
        <v>11.422000000000001</v>
      </c>
      <c r="O201" s="27">
        <v>46.91</v>
      </c>
      <c r="P201" s="103">
        <f t="shared" si="25"/>
        <v>43.09</v>
      </c>
      <c r="Z201" s="17">
        <v>5.43</v>
      </c>
      <c r="AA201" s="17">
        <v>140.34</v>
      </c>
      <c r="AB201" s="17">
        <v>124.68300000000001</v>
      </c>
      <c r="AC201" s="17">
        <v>1283.3900000000001</v>
      </c>
      <c r="AD201" s="17">
        <v>1243.51</v>
      </c>
      <c r="AE201" s="17">
        <v>182.60900000000001</v>
      </c>
      <c r="AF201" s="17">
        <v>172.363</v>
      </c>
      <c r="AG201" s="17">
        <v>0.27062999999999998</v>
      </c>
      <c r="AH201" s="17">
        <v>6.8559999999999996E-2</v>
      </c>
      <c r="AI201" s="17">
        <v>0.25620999999999999</v>
      </c>
      <c r="AJ201" s="17">
        <v>0</v>
      </c>
      <c r="AK201" s="17">
        <v>0.41959999999999997</v>
      </c>
      <c r="AL201" s="17">
        <v>5.5529999999999999</v>
      </c>
      <c r="AM201" s="17">
        <v>1.47593</v>
      </c>
      <c r="AN201" s="17">
        <v>43.41</v>
      </c>
      <c r="AO201" s="17">
        <v>0</v>
      </c>
      <c r="AP201" s="17">
        <v>716.26599999999996</v>
      </c>
      <c r="AQ201" s="17">
        <v>520.33399999999995</v>
      </c>
      <c r="AR201" s="17">
        <v>520.33399999999995</v>
      </c>
      <c r="AS201" s="17">
        <v>0</v>
      </c>
      <c r="AT201" s="17">
        <v>492.22899999999998</v>
      </c>
      <c r="AU201" s="17">
        <v>11.106999999999999</v>
      </c>
      <c r="AV201" s="17">
        <v>11.147</v>
      </c>
      <c r="AW201" s="17">
        <v>11.186</v>
      </c>
      <c r="AX201" s="17">
        <v>7.9000000000000001E-2</v>
      </c>
      <c r="AY201" s="17">
        <f t="shared" si="20"/>
        <v>1.2825691594849251</v>
      </c>
      <c r="AZ201" s="17">
        <f t="shared" si="19"/>
        <v>16.2242774566474</v>
      </c>
    </row>
    <row r="202" spans="1:52" ht="18" customHeight="1" x14ac:dyDescent="0.2">
      <c r="B202" s="27">
        <v>6</v>
      </c>
      <c r="C202" s="17">
        <v>108.95713000000001</v>
      </c>
      <c r="D202" s="17">
        <v>139.71133999999998</v>
      </c>
      <c r="E202" s="17">
        <v>1188.9977900000001</v>
      </c>
      <c r="F202" s="17">
        <v>1277.1001100000001</v>
      </c>
      <c r="G202" s="17">
        <v>0.39700000000000002</v>
      </c>
      <c r="H202" s="17">
        <v>0.51300000000000001</v>
      </c>
      <c r="I202" s="17">
        <f t="shared" si="21"/>
        <v>1.0525554748081463</v>
      </c>
      <c r="J202" s="17">
        <f t="shared" si="22"/>
        <v>1.1944826657620287</v>
      </c>
      <c r="K202" s="17">
        <f t="shared" si="23"/>
        <v>1.1080006936860058E-4</v>
      </c>
      <c r="L202" s="17">
        <f t="shared" si="24"/>
        <v>1.2822597291246565</v>
      </c>
      <c r="N202" s="27">
        <v>11.327</v>
      </c>
      <c r="O202" s="27">
        <v>46</v>
      </c>
      <c r="P202" s="103">
        <f t="shared" si="25"/>
        <v>44</v>
      </c>
      <c r="Z202" s="17">
        <v>5.43</v>
      </c>
      <c r="AA202" s="17">
        <v>140.178</v>
      </c>
      <c r="AB202" s="17">
        <v>124.782</v>
      </c>
      <c r="AC202" s="17">
        <v>1282.32</v>
      </c>
      <c r="AD202" s="17">
        <v>1243.1099999999999</v>
      </c>
      <c r="AE202" s="17">
        <v>182.33199999999999</v>
      </c>
      <c r="AF202" s="17">
        <v>172.261</v>
      </c>
      <c r="AG202" s="17">
        <v>0.27093</v>
      </c>
      <c r="AH202" s="17">
        <v>6.8559999999999996E-2</v>
      </c>
      <c r="AI202" s="17">
        <v>0.25618999999999997</v>
      </c>
      <c r="AJ202" s="17">
        <v>0</v>
      </c>
      <c r="AK202" s="17">
        <v>0.41599999999999998</v>
      </c>
      <c r="AL202" s="17">
        <v>5.5720000000000001</v>
      </c>
      <c r="AM202" s="17">
        <v>1.4757899999999999</v>
      </c>
      <c r="AN202" s="17">
        <v>43.17</v>
      </c>
      <c r="AO202" s="17">
        <v>0</v>
      </c>
      <c r="AP202" s="17">
        <v>710.13099999999997</v>
      </c>
      <c r="AQ202" s="17">
        <v>517.90499999999997</v>
      </c>
      <c r="AR202" s="17">
        <v>517.90499999999997</v>
      </c>
      <c r="AS202" s="17">
        <v>0</v>
      </c>
      <c r="AT202" s="17">
        <v>485.86099999999999</v>
      </c>
      <c r="AU202" s="17">
        <v>11.186</v>
      </c>
      <c r="AV202" s="17">
        <v>11.226000000000001</v>
      </c>
      <c r="AW202" s="17">
        <v>11.265000000000001</v>
      </c>
      <c r="AX202" s="17">
        <v>7.9000000000000001E-2</v>
      </c>
      <c r="AY202" s="17">
        <f t="shared" si="20"/>
        <v>1.281979057112808</v>
      </c>
      <c r="AZ202" s="17">
        <f t="shared" si="19"/>
        <v>16.205549132947976</v>
      </c>
    </row>
    <row r="203" spans="1:52" ht="18" customHeight="1" x14ac:dyDescent="0.2">
      <c r="B203" s="27">
        <v>7</v>
      </c>
      <c r="C203" s="17">
        <v>109.19673500000002</v>
      </c>
      <c r="D203" s="17">
        <v>139.97689500000001</v>
      </c>
      <c r="E203" s="17">
        <v>1188.9977900000001</v>
      </c>
      <c r="F203" s="17">
        <v>1276.8809499999998</v>
      </c>
      <c r="G203" s="17">
        <v>0.40200000000000002</v>
      </c>
      <c r="H203" s="17">
        <v>0.51800000000000002</v>
      </c>
      <c r="I203" s="17">
        <f t="shared" si="21"/>
        <v>1.0521594653771447</v>
      </c>
      <c r="J203" s="17">
        <f t="shared" si="22"/>
        <v>1.1932719291634828</v>
      </c>
      <c r="K203" s="17">
        <f t="shared" si="23"/>
        <v>9.0004432695661718E-5</v>
      </c>
      <c r="L203" s="17">
        <f t="shared" si="24"/>
        <v>1.2818780250160409</v>
      </c>
      <c r="N203" s="27">
        <v>11.233000000000001</v>
      </c>
      <c r="O203" s="27">
        <v>44.98</v>
      </c>
      <c r="P203" s="103">
        <f t="shared" si="25"/>
        <v>45.02</v>
      </c>
      <c r="Z203" s="17">
        <v>5.43</v>
      </c>
      <c r="AA203" s="17">
        <v>139.82</v>
      </c>
      <c r="AB203" s="17">
        <v>124.879</v>
      </c>
      <c r="AC203" s="17">
        <v>1283.54</v>
      </c>
      <c r="AD203" s="17">
        <v>1245.4100000000001</v>
      </c>
      <c r="AE203" s="17">
        <v>182.64599999999999</v>
      </c>
      <c r="AF203" s="17">
        <v>172.85</v>
      </c>
      <c r="AG203" s="17">
        <v>0.27063999999999999</v>
      </c>
      <c r="AH203" s="17">
        <v>6.8559999999999996E-2</v>
      </c>
      <c r="AI203" s="17">
        <v>0.25627</v>
      </c>
      <c r="AJ203" s="17">
        <v>0</v>
      </c>
      <c r="AK203" s="17">
        <v>0.41</v>
      </c>
      <c r="AL203" s="17">
        <v>5.6959999999999997</v>
      </c>
      <c r="AM203" s="17">
        <v>1.47621</v>
      </c>
      <c r="AN203" s="17">
        <v>43.6</v>
      </c>
      <c r="AO203" s="17">
        <v>0</v>
      </c>
      <c r="AP203" s="17">
        <v>700.38</v>
      </c>
      <c r="AQ203" s="17">
        <v>507.18</v>
      </c>
      <c r="AR203" s="17">
        <v>507.18</v>
      </c>
      <c r="AS203" s="17">
        <v>0</v>
      </c>
      <c r="AT203" s="17">
        <v>483.012</v>
      </c>
      <c r="AU203" s="17">
        <v>11.265000000000001</v>
      </c>
      <c r="AV203" s="17">
        <v>11.305</v>
      </c>
      <c r="AW203" s="17">
        <v>11.345000000000001</v>
      </c>
      <c r="AX203" s="17">
        <v>0.08</v>
      </c>
      <c r="AY203" s="17">
        <f t="shared" si="20"/>
        <v>1.2821994185993195</v>
      </c>
      <c r="AZ203" s="17">
        <f t="shared" si="19"/>
        <v>16.164161849710982</v>
      </c>
    </row>
    <row r="204" spans="1:52" ht="18" customHeight="1" x14ac:dyDescent="0.2">
      <c r="B204" s="27">
        <v>8</v>
      </c>
      <c r="C204" s="17">
        <v>109.34465</v>
      </c>
      <c r="D204" s="17">
        <v>140.24331500000002</v>
      </c>
      <c r="E204" s="17">
        <v>1192.99746</v>
      </c>
      <c r="F204" s="17">
        <v>1281.5381</v>
      </c>
      <c r="G204" s="17">
        <v>0.40400000000000003</v>
      </c>
      <c r="H204" s="17">
        <v>0.52400000000000002</v>
      </c>
      <c r="I204" s="17">
        <f t="shared" si="21"/>
        <v>1.0515374457973068</v>
      </c>
      <c r="J204" s="17">
        <f t="shared" si="22"/>
        <v>1.1902802249511719</v>
      </c>
      <c r="K204" s="17">
        <f t="shared" si="23"/>
        <v>1.2015888292732022E-4</v>
      </c>
      <c r="L204" s="17">
        <f t="shared" si="24"/>
        <v>1.2825804920496797</v>
      </c>
      <c r="N204" s="27">
        <v>11.138</v>
      </c>
      <c r="O204" s="27">
        <v>43.76</v>
      </c>
      <c r="P204" s="103">
        <f t="shared" si="25"/>
        <v>46.24</v>
      </c>
      <c r="Z204" s="17">
        <v>5.43</v>
      </c>
      <c r="AA204" s="17">
        <v>139.55600000000001</v>
      </c>
      <c r="AB204" s="17">
        <v>124.976</v>
      </c>
      <c r="AC204" s="17">
        <v>1287.3399999999999</v>
      </c>
      <c r="AD204" s="17">
        <v>1250</v>
      </c>
      <c r="AE204" s="17">
        <v>183.624</v>
      </c>
      <c r="AF204" s="17">
        <v>174.02799999999999</v>
      </c>
      <c r="AG204" s="17">
        <v>0.26985999999999999</v>
      </c>
      <c r="AH204" s="17">
        <v>6.8559999999999996E-2</v>
      </c>
      <c r="AI204" s="17">
        <v>0.25641000000000003</v>
      </c>
      <c r="AJ204" s="17">
        <v>0</v>
      </c>
      <c r="AK204" s="17">
        <v>0.40510000000000002</v>
      </c>
      <c r="AL204" s="17">
        <v>5.8339999999999996</v>
      </c>
      <c r="AM204" s="17">
        <v>1.4771000000000001</v>
      </c>
      <c r="AN204" s="17">
        <v>44.23</v>
      </c>
      <c r="AO204" s="17">
        <v>0</v>
      </c>
      <c r="AP204" s="17">
        <v>693.20100000000002</v>
      </c>
      <c r="AQ204" s="17">
        <v>496.678</v>
      </c>
      <c r="AR204" s="17">
        <v>496.678</v>
      </c>
      <c r="AS204" s="17">
        <v>0</v>
      </c>
      <c r="AT204" s="17">
        <v>483.56900000000002</v>
      </c>
      <c r="AU204" s="17">
        <v>11.345000000000001</v>
      </c>
      <c r="AV204" s="17">
        <v>11.385999999999999</v>
      </c>
      <c r="AW204" s="17">
        <v>11.427</v>
      </c>
      <c r="AX204" s="17">
        <v>8.2000000000000003E-2</v>
      </c>
      <c r="AY204" s="17">
        <f t="shared" si="20"/>
        <v>1.2829668309185851</v>
      </c>
      <c r="AZ204" s="17">
        <f t="shared" si="19"/>
        <v>16.133641618497112</v>
      </c>
    </row>
    <row r="205" spans="1:52" ht="18" customHeight="1" x14ac:dyDescent="0.2">
      <c r="B205" s="27">
        <v>9</v>
      </c>
      <c r="C205" s="17">
        <v>109.42077</v>
      </c>
      <c r="D205" s="17">
        <v>140.50887</v>
      </c>
      <c r="E205" s="17">
        <v>1200.6680599999997</v>
      </c>
      <c r="F205" s="17">
        <v>1290.57845</v>
      </c>
      <c r="G205" s="17">
        <v>0.40500000000000003</v>
      </c>
      <c r="H205" s="17">
        <v>0.53100000000000003</v>
      </c>
      <c r="I205" s="17">
        <f t="shared" si="21"/>
        <v>1.050883557935947</v>
      </c>
      <c r="J205" s="17">
        <f t="shared" si="22"/>
        <v>1.1865334473072648</v>
      </c>
      <c r="K205" s="17">
        <f t="shared" si="23"/>
        <v>1.8699370961364377E-4</v>
      </c>
      <c r="L205" s="17">
        <f t="shared" si="24"/>
        <v>1.2841151638761086</v>
      </c>
      <c r="N205" s="27">
        <v>11.042</v>
      </c>
      <c r="O205" s="27">
        <v>42.3</v>
      </c>
      <c r="P205" s="103">
        <f t="shared" si="25"/>
        <v>47.7</v>
      </c>
      <c r="Z205" s="17">
        <v>5.43</v>
      </c>
      <c r="AA205" s="17">
        <v>139.36799999999999</v>
      </c>
      <c r="AB205" s="17">
        <v>125.075</v>
      </c>
      <c r="AC205" s="17">
        <v>1293.75</v>
      </c>
      <c r="AD205" s="17">
        <v>1256.97</v>
      </c>
      <c r="AE205" s="17">
        <v>185.27600000000001</v>
      </c>
      <c r="AF205" s="17">
        <v>175.816</v>
      </c>
      <c r="AG205" s="17">
        <v>0.26856999999999998</v>
      </c>
      <c r="AH205" s="17">
        <v>6.8559999999999996E-2</v>
      </c>
      <c r="AI205" s="17">
        <v>0.25663000000000002</v>
      </c>
      <c r="AJ205" s="17">
        <v>0</v>
      </c>
      <c r="AK205" s="17">
        <v>0.40110000000000001</v>
      </c>
      <c r="AL205" s="17">
        <v>5.9809999999999999</v>
      </c>
      <c r="AM205" s="17">
        <v>1.47848</v>
      </c>
      <c r="AN205" s="17">
        <v>44.99</v>
      </c>
      <c r="AO205" s="17">
        <v>0</v>
      </c>
      <c r="AP205" s="17">
        <v>688.27800000000002</v>
      </c>
      <c r="AQ205" s="17">
        <v>486.73500000000001</v>
      </c>
      <c r="AR205" s="17">
        <v>486.73500000000001</v>
      </c>
      <c r="AS205" s="17">
        <v>0</v>
      </c>
      <c r="AT205" s="17">
        <v>486.637</v>
      </c>
      <c r="AU205" s="17">
        <v>11.427</v>
      </c>
      <c r="AV205" s="17">
        <v>11.468</v>
      </c>
      <c r="AW205" s="17">
        <v>11.51</v>
      </c>
      <c r="AX205" s="17">
        <v>8.3000000000000004E-2</v>
      </c>
      <c r="AY205" s="17">
        <f t="shared" si="20"/>
        <v>1.2841662980981865</v>
      </c>
      <c r="AZ205" s="17">
        <f t="shared" si="19"/>
        <v>16.111907514450866</v>
      </c>
    </row>
    <row r="206" spans="1:52" ht="18" customHeight="1" x14ac:dyDescent="0.2">
      <c r="B206" s="27">
        <v>10</v>
      </c>
      <c r="C206" s="17">
        <v>109.43979999999999</v>
      </c>
      <c r="D206" s="17">
        <v>140.77529000000001</v>
      </c>
      <c r="E206" s="17">
        <v>1217.4885900000002</v>
      </c>
      <c r="F206" s="17">
        <v>1309.59058</v>
      </c>
      <c r="G206" s="17">
        <v>0.40400000000000003</v>
      </c>
      <c r="H206" s="17">
        <v>0.53800000000000003</v>
      </c>
      <c r="I206" s="17">
        <f t="shared" si="21"/>
        <v>1.0499797250774621</v>
      </c>
      <c r="J206" s="17">
        <f t="shared" si="22"/>
        <v>1.1820533715174986</v>
      </c>
      <c r="K206" s="17">
        <f t="shared" si="23"/>
        <v>2.3980703435085363E-4</v>
      </c>
      <c r="L206" s="17">
        <f t="shared" si="24"/>
        <v>1.2863262725260831</v>
      </c>
      <c r="N206" s="27">
        <v>10.943</v>
      </c>
      <c r="O206" s="27">
        <v>40.39</v>
      </c>
      <c r="P206" s="103">
        <f t="shared" si="25"/>
        <v>49.61</v>
      </c>
      <c r="Z206" s="17">
        <v>5.43</v>
      </c>
      <c r="AA206" s="17">
        <v>139.333</v>
      </c>
      <c r="AB206" s="17">
        <v>125.175</v>
      </c>
      <c r="AC206" s="17">
        <v>1304.96</v>
      </c>
      <c r="AD206" s="17">
        <v>1268.27</v>
      </c>
      <c r="AE206" s="17">
        <v>188.17099999999999</v>
      </c>
      <c r="AF206" s="17">
        <v>178.71899999999999</v>
      </c>
      <c r="AG206" s="17">
        <v>0.26639000000000002</v>
      </c>
      <c r="AH206" s="17">
        <v>6.8559999999999996E-2</v>
      </c>
      <c r="AI206" s="17">
        <v>0.25699</v>
      </c>
      <c r="AJ206" s="17">
        <v>0</v>
      </c>
      <c r="AK206" s="17">
        <v>0.39929999999999999</v>
      </c>
      <c r="AL206" s="17">
        <v>6.1070000000000002</v>
      </c>
      <c r="AM206" s="17">
        <v>1.48072</v>
      </c>
      <c r="AN206" s="17">
        <v>45.69</v>
      </c>
      <c r="AO206" s="17">
        <v>0</v>
      </c>
      <c r="AP206" s="17">
        <v>687.971</v>
      </c>
      <c r="AQ206" s="17">
        <v>480.61700000000002</v>
      </c>
      <c r="AR206" s="17">
        <v>480.61700000000002</v>
      </c>
      <c r="AS206" s="17">
        <v>0</v>
      </c>
      <c r="AT206" s="17">
        <v>492.25099999999998</v>
      </c>
      <c r="AU206" s="17">
        <v>11.51</v>
      </c>
      <c r="AV206" s="17">
        <v>11.552</v>
      </c>
      <c r="AW206" s="17">
        <v>11.593999999999999</v>
      </c>
      <c r="AX206" s="17">
        <v>8.4000000000000005E-2</v>
      </c>
      <c r="AY206" s="17">
        <f t="shared" si="20"/>
        <v>1.2857393326443232</v>
      </c>
      <c r="AZ206" s="17">
        <f t="shared" si="19"/>
        <v>16.107861271676299</v>
      </c>
    </row>
    <row r="207" spans="1:52" ht="18" customHeight="1" x14ac:dyDescent="0.2">
      <c r="B207" s="27">
        <v>11</v>
      </c>
      <c r="C207" s="17">
        <v>109.36368</v>
      </c>
      <c r="D207" s="17">
        <v>141.04170999999999</v>
      </c>
      <c r="E207" s="17">
        <v>1246.52729</v>
      </c>
      <c r="F207" s="17">
        <v>1341.8618899999999</v>
      </c>
      <c r="G207" s="17">
        <v>0.40200000000000002</v>
      </c>
      <c r="H207" s="17">
        <v>0.54700000000000004</v>
      </c>
      <c r="I207" s="17">
        <f t="shared" si="21"/>
        <v>1.0485271051803191</v>
      </c>
      <c r="J207" s="17">
        <f t="shared" si="22"/>
        <v>1.1762026890215711</v>
      </c>
      <c r="K207" s="17">
        <f t="shared" si="23"/>
        <v>2.4768035720990587E-4</v>
      </c>
      <c r="L207" s="17">
        <f t="shared" si="24"/>
        <v>1.289657681599595</v>
      </c>
      <c r="N207" s="27">
        <v>10.835000000000001</v>
      </c>
      <c r="O207" s="27">
        <v>37.82</v>
      </c>
      <c r="P207" s="103">
        <f t="shared" si="25"/>
        <v>52.18</v>
      </c>
      <c r="Z207" s="17">
        <v>5.43</v>
      </c>
      <c r="AA207" s="17">
        <v>139.30199999999999</v>
      </c>
      <c r="AB207" s="17">
        <v>125.27800000000001</v>
      </c>
      <c r="AC207" s="17">
        <v>1324.56</v>
      </c>
      <c r="AD207" s="17">
        <v>1287.77</v>
      </c>
      <c r="AE207" s="17">
        <v>193.238</v>
      </c>
      <c r="AF207" s="17">
        <v>183.73599999999999</v>
      </c>
      <c r="AG207" s="17">
        <v>0.26257999999999998</v>
      </c>
      <c r="AH207" s="17">
        <v>6.8559999999999996E-2</v>
      </c>
      <c r="AI207" s="17">
        <v>0.25763000000000003</v>
      </c>
      <c r="AJ207" s="17">
        <v>0</v>
      </c>
      <c r="AK207" s="17">
        <v>0.39750000000000002</v>
      </c>
      <c r="AL207" s="17">
        <v>6.2809999999999997</v>
      </c>
      <c r="AM207" s="17">
        <v>1.4845900000000001</v>
      </c>
      <c r="AN207" s="17">
        <v>46.58</v>
      </c>
      <c r="AO207" s="17">
        <v>0</v>
      </c>
      <c r="AP207" s="17">
        <v>689.78700000000003</v>
      </c>
      <c r="AQ207" s="17">
        <v>474.09300000000002</v>
      </c>
      <c r="AR207" s="17">
        <v>474.09300000000002</v>
      </c>
      <c r="AS207" s="17">
        <v>0</v>
      </c>
      <c r="AT207" s="17">
        <v>501.041</v>
      </c>
      <c r="AU207" s="17">
        <v>11.593999999999999</v>
      </c>
      <c r="AV207" s="17">
        <v>11.637</v>
      </c>
      <c r="AW207" s="17">
        <v>11.68</v>
      </c>
      <c r="AX207" s="17">
        <v>8.5999999999999993E-2</v>
      </c>
      <c r="AY207" s="17">
        <f t="shared" si="20"/>
        <v>1.2875919695345139</v>
      </c>
      <c r="AZ207" s="17">
        <f t="shared" si="19"/>
        <v>16.104277456647399</v>
      </c>
    </row>
    <row r="208" spans="1:52" ht="18" customHeight="1" x14ac:dyDescent="0.2">
      <c r="B208" s="27">
        <v>12</v>
      </c>
      <c r="C208" s="17">
        <v>109.300535</v>
      </c>
      <c r="D208" s="17">
        <v>141.17405499999998</v>
      </c>
      <c r="E208" s="17">
        <v>1267.2927</v>
      </c>
      <c r="F208" s="17">
        <v>1364.5997400000001</v>
      </c>
      <c r="G208" s="17">
        <v>0.40100000000000002</v>
      </c>
      <c r="H208" s="17">
        <v>0.55100000000000005</v>
      </c>
      <c r="I208" s="17">
        <f t="shared" si="21"/>
        <v>1.047790894928238</v>
      </c>
      <c r="J208" s="17">
        <f t="shared" si="22"/>
        <v>1.1739363322276817</v>
      </c>
      <c r="K208" s="17">
        <f t="shared" si="23"/>
        <v>2.1132059732640977E-4</v>
      </c>
      <c r="L208" s="17">
        <f t="shared" si="24"/>
        <v>1.2916135771888031</v>
      </c>
      <c r="N208" s="27">
        <v>10.775</v>
      </c>
      <c r="O208" s="27">
        <v>36.299999999999997</v>
      </c>
      <c r="P208" s="103">
        <f t="shared" si="25"/>
        <v>53.7</v>
      </c>
      <c r="Z208" s="17">
        <v>5.43</v>
      </c>
      <c r="AA208" s="17">
        <v>138.83799999999999</v>
      </c>
      <c r="AB208" s="17">
        <v>125.386</v>
      </c>
      <c r="AC208" s="17">
        <v>1359.57</v>
      </c>
      <c r="AD208" s="17">
        <v>1323.44</v>
      </c>
      <c r="AE208" s="17">
        <v>202.31899999999999</v>
      </c>
      <c r="AF208" s="17">
        <v>192.947</v>
      </c>
      <c r="AG208" s="17">
        <v>0.25572</v>
      </c>
      <c r="AH208" s="17">
        <v>6.8559999999999996E-2</v>
      </c>
      <c r="AI208" s="17">
        <v>0.25877</v>
      </c>
      <c r="AJ208" s="17">
        <v>0</v>
      </c>
      <c r="AK208" s="17">
        <v>0.38969999999999999</v>
      </c>
      <c r="AL208" s="17">
        <v>6.6920000000000002</v>
      </c>
      <c r="AM208" s="17">
        <v>1.49159</v>
      </c>
      <c r="AN208" s="17">
        <v>48.17</v>
      </c>
      <c r="AO208" s="17">
        <v>0</v>
      </c>
      <c r="AP208" s="17">
        <v>685.03800000000001</v>
      </c>
      <c r="AQ208" s="17">
        <v>456.911</v>
      </c>
      <c r="AR208" s="17">
        <v>456.911</v>
      </c>
      <c r="AS208" s="17">
        <v>0</v>
      </c>
      <c r="AT208" s="17">
        <v>510.40199999999999</v>
      </c>
      <c r="AU208" s="17">
        <v>11.68</v>
      </c>
      <c r="AV208" s="17">
        <v>11.725</v>
      </c>
      <c r="AW208" s="17">
        <v>11.771000000000001</v>
      </c>
      <c r="AX208" s="17">
        <v>9.0999999999999998E-2</v>
      </c>
      <c r="AY208" s="17">
        <f t="shared" ref="AY208:AY271" si="26">AA208/AA195</f>
        <v>1.2894411783826958</v>
      </c>
      <c r="AZ208" s="17">
        <f t="shared" ref="AZ208:AZ271" si="27">AA208/8.65</f>
        <v>16.050635838150288</v>
      </c>
    </row>
    <row r="209" spans="1:52" s="96" customFormat="1" ht="18" customHeight="1" x14ac:dyDescent="0.2">
      <c r="A209" s="94" t="s">
        <v>129</v>
      </c>
      <c r="B209" s="97"/>
      <c r="C209" s="95"/>
      <c r="D209" s="95"/>
      <c r="E209" s="95"/>
      <c r="F209" s="95"/>
      <c r="G209" s="95"/>
      <c r="H209" s="95"/>
      <c r="I209" s="95"/>
      <c r="J209" s="95"/>
      <c r="K209" s="95"/>
      <c r="L209" s="95"/>
      <c r="M209" s="95"/>
      <c r="N209" s="97"/>
      <c r="O209" s="97"/>
      <c r="P209" s="102"/>
      <c r="Z209" s="95">
        <v>0</v>
      </c>
      <c r="AA209" s="95">
        <v>0</v>
      </c>
      <c r="AB209" s="95">
        <v>0</v>
      </c>
      <c r="AC209" s="95">
        <v>0</v>
      </c>
      <c r="AD209" s="95">
        <v>0</v>
      </c>
      <c r="AE209" s="95">
        <v>0</v>
      </c>
      <c r="AF209" s="95">
        <v>0</v>
      </c>
      <c r="AG209" s="95">
        <v>0</v>
      </c>
      <c r="AH209" s="95">
        <v>0</v>
      </c>
      <c r="AI209" s="95">
        <v>0</v>
      </c>
      <c r="AJ209" s="95">
        <v>0</v>
      </c>
      <c r="AK209" s="95">
        <v>0</v>
      </c>
      <c r="AL209" s="95">
        <v>0</v>
      </c>
      <c r="AM209" s="95">
        <v>0</v>
      </c>
      <c r="AN209" s="95">
        <v>0</v>
      </c>
      <c r="AO209" s="95">
        <v>0</v>
      </c>
      <c r="AP209" s="95">
        <v>0</v>
      </c>
      <c r="AQ209" s="95">
        <v>0</v>
      </c>
      <c r="AR209" s="95">
        <v>0</v>
      </c>
      <c r="AS209" s="95">
        <v>0</v>
      </c>
      <c r="AT209" s="95">
        <v>0</v>
      </c>
      <c r="AU209" s="95">
        <v>0</v>
      </c>
      <c r="AV209" s="95">
        <v>0</v>
      </c>
      <c r="AW209" s="95">
        <v>0</v>
      </c>
      <c r="AX209" s="95">
        <v>0</v>
      </c>
      <c r="AY209" s="95"/>
      <c r="AZ209" s="95">
        <f t="shared" si="27"/>
        <v>0</v>
      </c>
    </row>
    <row r="210" spans="1:52" s="96" customFormat="1" ht="18" customHeight="1" x14ac:dyDescent="0.2">
      <c r="A210" s="97"/>
      <c r="B210" s="97">
        <v>1</v>
      </c>
      <c r="C210" s="95">
        <v>138.51418000000001</v>
      </c>
      <c r="D210" s="95">
        <v>136.721035</v>
      </c>
      <c r="E210" s="95">
        <v>1360.1069600000001</v>
      </c>
      <c r="F210" s="95">
        <v>1360.1069600000001</v>
      </c>
      <c r="G210" s="95">
        <v>0.497</v>
      </c>
      <c r="H210" s="95">
        <v>0.32100000000000001</v>
      </c>
      <c r="I210" s="95">
        <f t="shared" si="21"/>
        <v>1.0282121973936718</v>
      </c>
      <c r="J210" s="95">
        <f t="shared" si="22"/>
        <v>1.0880046017143719</v>
      </c>
      <c r="K210" s="95">
        <f t="shared" si="23"/>
        <v>8.9529956527198678E-4</v>
      </c>
      <c r="L210" s="95">
        <f t="shared" si="24"/>
        <v>0.98705443009517146</v>
      </c>
      <c r="M210" s="95"/>
      <c r="N210" s="97">
        <v>11.711</v>
      </c>
      <c r="O210" s="97">
        <v>26</v>
      </c>
      <c r="P210" s="102">
        <f t="shared" si="25"/>
        <v>64</v>
      </c>
      <c r="Z210" s="95">
        <v>5.43</v>
      </c>
      <c r="AA210" s="95">
        <v>139.11199999999999</v>
      </c>
      <c r="AB210" s="95">
        <v>129.625</v>
      </c>
      <c r="AC210" s="95">
        <v>1337.08</v>
      </c>
      <c r="AD210" s="95">
        <v>1312.28</v>
      </c>
      <c r="AE210" s="95">
        <v>196.47900000000001</v>
      </c>
      <c r="AF210" s="95">
        <v>190.06399999999999</v>
      </c>
      <c r="AG210" s="95">
        <v>0.26661000000000001</v>
      </c>
      <c r="AH210" s="95">
        <v>6.8559999999999996E-2</v>
      </c>
      <c r="AI210" s="95">
        <v>0.25840999999999997</v>
      </c>
      <c r="AJ210" s="95">
        <v>0</v>
      </c>
      <c r="AK210" s="95">
        <v>0.32369999999999999</v>
      </c>
      <c r="AL210" s="95">
        <v>5.5759999999999996</v>
      </c>
      <c r="AM210" s="95">
        <v>1.48712</v>
      </c>
      <c r="AN210" s="95">
        <v>21.86</v>
      </c>
      <c r="AO210" s="95">
        <v>0</v>
      </c>
      <c r="AP210" s="95">
        <v>566.74400000000003</v>
      </c>
      <c r="AQ210" s="95">
        <v>525.98500000000001</v>
      </c>
      <c r="AR210" s="95">
        <v>525.98500000000001</v>
      </c>
      <c r="AS210" s="95">
        <v>0</v>
      </c>
      <c r="AT210" s="95">
        <v>211.04300000000001</v>
      </c>
      <c r="AU210" s="95">
        <v>10.81</v>
      </c>
      <c r="AV210" s="95">
        <v>10.851000000000001</v>
      </c>
      <c r="AW210" s="95">
        <v>10.891</v>
      </c>
      <c r="AX210" s="95">
        <v>8.2000000000000003E-2</v>
      </c>
      <c r="AY210" s="95">
        <f t="shared" si="26"/>
        <v>0.98441071365389377</v>
      </c>
      <c r="AZ210" s="95">
        <f t="shared" si="27"/>
        <v>16.082312138728323</v>
      </c>
    </row>
    <row r="211" spans="1:52" s="96" customFormat="1" ht="18" customHeight="1" x14ac:dyDescent="0.2">
      <c r="A211" s="97"/>
      <c r="B211" s="97">
        <v>2</v>
      </c>
      <c r="C211" s="95">
        <v>138.71313000000001</v>
      </c>
      <c r="D211" s="95">
        <v>137.001295</v>
      </c>
      <c r="E211" s="95">
        <v>1338.84844</v>
      </c>
      <c r="F211" s="95">
        <v>1338.84844</v>
      </c>
      <c r="G211" s="95">
        <v>0.501</v>
      </c>
      <c r="H211" s="95">
        <v>0.32600000000000001</v>
      </c>
      <c r="I211" s="95">
        <f t="shared" si="21"/>
        <v>1.0283425729435698</v>
      </c>
      <c r="J211" s="95">
        <f t="shared" si="22"/>
        <v>1.0891544144782617</v>
      </c>
      <c r="K211" s="95">
        <f t="shared" si="23"/>
        <v>8.5332324035457523E-4</v>
      </c>
      <c r="L211" s="95">
        <f t="shared" si="24"/>
        <v>0.98765917112532886</v>
      </c>
      <c r="M211" s="95"/>
      <c r="N211" s="97">
        <v>11.669</v>
      </c>
      <c r="O211" s="97">
        <v>23.5</v>
      </c>
      <c r="P211" s="102">
        <f t="shared" si="25"/>
        <v>66.5</v>
      </c>
      <c r="Z211" s="95">
        <v>5.43</v>
      </c>
      <c r="AA211" s="95">
        <v>139.214</v>
      </c>
      <c r="AB211" s="95">
        <v>129.64099999999999</v>
      </c>
      <c r="AC211" s="95">
        <v>1312.42</v>
      </c>
      <c r="AD211" s="95">
        <v>1287.83</v>
      </c>
      <c r="AE211" s="95">
        <v>190.101</v>
      </c>
      <c r="AF211" s="95">
        <v>183.75</v>
      </c>
      <c r="AG211" s="95">
        <v>0.27171000000000001</v>
      </c>
      <c r="AH211" s="95">
        <v>6.8559999999999996E-2</v>
      </c>
      <c r="AI211" s="95">
        <v>0.25763000000000003</v>
      </c>
      <c r="AJ211" s="95">
        <v>0</v>
      </c>
      <c r="AK211" s="95">
        <v>0.32490000000000002</v>
      </c>
      <c r="AL211" s="95">
        <v>5.391</v>
      </c>
      <c r="AM211" s="95">
        <v>1.4822500000000001</v>
      </c>
      <c r="AN211" s="95">
        <v>18.809999999999999</v>
      </c>
      <c r="AO211" s="95">
        <v>0</v>
      </c>
      <c r="AP211" s="95">
        <v>563.92399999999998</v>
      </c>
      <c r="AQ211" s="95">
        <v>533.81899999999996</v>
      </c>
      <c r="AR211" s="95">
        <v>533.81899999999996</v>
      </c>
      <c r="AS211" s="95">
        <v>0</v>
      </c>
      <c r="AT211" s="95">
        <v>181.78899999999999</v>
      </c>
      <c r="AU211" s="95">
        <v>10.891</v>
      </c>
      <c r="AV211" s="95">
        <v>10.930999999999999</v>
      </c>
      <c r="AW211" s="95">
        <v>10.97</v>
      </c>
      <c r="AX211" s="95">
        <v>7.8E-2</v>
      </c>
      <c r="AY211" s="95">
        <f t="shared" si="26"/>
        <v>0.98659164032712998</v>
      </c>
      <c r="AZ211" s="95">
        <f t="shared" si="27"/>
        <v>16.094104046242773</v>
      </c>
    </row>
    <row r="212" spans="1:52" s="96" customFormat="1" ht="18" customHeight="1" x14ac:dyDescent="0.2">
      <c r="A212" s="97"/>
      <c r="B212" s="97">
        <v>3</v>
      </c>
      <c r="C212" s="95">
        <v>138.91294500000001</v>
      </c>
      <c r="D212" s="95">
        <v>137.36546000000001</v>
      </c>
      <c r="E212" s="95">
        <v>1310.19327</v>
      </c>
      <c r="F212" s="95">
        <v>1310.19327</v>
      </c>
      <c r="G212" s="95">
        <v>0.505</v>
      </c>
      <c r="H212" s="95">
        <v>0.33200000000000002</v>
      </c>
      <c r="I212" s="95">
        <f t="shared" si="21"/>
        <v>1.028335548500418</v>
      </c>
      <c r="J212" s="95">
        <f t="shared" si="22"/>
        <v>1.0904526151095035</v>
      </c>
      <c r="K212" s="95">
        <f t="shared" si="23"/>
        <v>7.7002538511598915E-4</v>
      </c>
      <c r="L212" s="95">
        <f t="shared" si="24"/>
        <v>0.98886003748606732</v>
      </c>
      <c r="M212" s="95"/>
      <c r="N212" s="97">
        <v>11.590999999999999</v>
      </c>
      <c r="O212" s="97">
        <v>19.79</v>
      </c>
      <c r="P212" s="102">
        <f t="shared" si="25"/>
        <v>70.210000000000008</v>
      </c>
      <c r="Z212" s="95">
        <v>5.43</v>
      </c>
      <c r="AA212" s="95">
        <v>139.22800000000001</v>
      </c>
      <c r="AB212" s="95">
        <v>129.654</v>
      </c>
      <c r="AC212" s="95">
        <v>1294.28</v>
      </c>
      <c r="AD212" s="95">
        <v>1269.95</v>
      </c>
      <c r="AE212" s="95">
        <v>185.41399999999999</v>
      </c>
      <c r="AF212" s="95">
        <v>179.15100000000001</v>
      </c>
      <c r="AG212" s="95">
        <v>0.27556000000000003</v>
      </c>
      <c r="AH212" s="95">
        <v>6.8559999999999996E-2</v>
      </c>
      <c r="AI212" s="95">
        <v>0.25705</v>
      </c>
      <c r="AJ212" s="95">
        <v>0</v>
      </c>
      <c r="AK212" s="95">
        <v>0.32479999999999998</v>
      </c>
      <c r="AL212" s="95">
        <v>5.2880000000000003</v>
      </c>
      <c r="AM212" s="95">
        <v>1.47865</v>
      </c>
      <c r="AN212" s="95">
        <v>16.61</v>
      </c>
      <c r="AO212" s="95">
        <v>0</v>
      </c>
      <c r="AP212" s="95">
        <v>559.99199999999996</v>
      </c>
      <c r="AQ212" s="95">
        <v>536.63199999999995</v>
      </c>
      <c r="AR212" s="95">
        <v>536.63199999999995</v>
      </c>
      <c r="AS212" s="95">
        <v>0</v>
      </c>
      <c r="AT212" s="95">
        <v>160.05500000000001</v>
      </c>
      <c r="AU212" s="95">
        <v>10.97</v>
      </c>
      <c r="AV212" s="95">
        <v>11.007999999999999</v>
      </c>
      <c r="AW212" s="95">
        <v>11.045999999999999</v>
      </c>
      <c r="AX212" s="95">
        <v>7.5999999999999998E-2</v>
      </c>
      <c r="AY212" s="95">
        <f t="shared" si="26"/>
        <v>0.98837894437937035</v>
      </c>
      <c r="AZ212" s="95">
        <f t="shared" si="27"/>
        <v>16.095722543352601</v>
      </c>
    </row>
    <row r="213" spans="1:52" s="96" customFormat="1" ht="18" customHeight="1" x14ac:dyDescent="0.2">
      <c r="A213" s="97"/>
      <c r="B213" s="97">
        <v>4</v>
      </c>
      <c r="C213" s="95">
        <v>139.17850000000001</v>
      </c>
      <c r="D213" s="95">
        <v>137.82477500000002</v>
      </c>
      <c r="E213" s="95">
        <v>1289.7565999999999</v>
      </c>
      <c r="F213" s="95">
        <v>1289.7565999999999</v>
      </c>
      <c r="G213" s="95">
        <v>0.51</v>
      </c>
      <c r="H213" s="95">
        <v>0.34100000000000003</v>
      </c>
      <c r="I213" s="95">
        <f t="shared" si="21"/>
        <v>1.0281100666675655</v>
      </c>
      <c r="J213" s="95">
        <f t="shared" si="22"/>
        <v>1.0911734264056057</v>
      </c>
      <c r="K213" s="95">
        <f t="shared" si="23"/>
        <v>6.7209714828998356E-4</v>
      </c>
      <c r="L213" s="95">
        <f t="shared" si="24"/>
        <v>0.99027346177750153</v>
      </c>
      <c r="M213" s="95"/>
      <c r="N213" s="97">
        <v>11.492000000000001</v>
      </c>
      <c r="O213" s="97">
        <v>16.54</v>
      </c>
      <c r="P213" s="102">
        <f t="shared" si="25"/>
        <v>73.460000000000008</v>
      </c>
      <c r="Z213" s="95">
        <v>5.43</v>
      </c>
      <c r="AA213" s="95">
        <v>139.172</v>
      </c>
      <c r="AB213" s="95">
        <v>129.66300000000001</v>
      </c>
      <c r="AC213" s="95">
        <v>1287.29</v>
      </c>
      <c r="AD213" s="95">
        <v>1263.24</v>
      </c>
      <c r="AE213" s="95">
        <v>183.613</v>
      </c>
      <c r="AF213" s="95">
        <v>177.42599999999999</v>
      </c>
      <c r="AG213" s="95">
        <v>0.27704000000000001</v>
      </c>
      <c r="AH213" s="95">
        <v>6.8559999999999996E-2</v>
      </c>
      <c r="AI213" s="95">
        <v>0.25683</v>
      </c>
      <c r="AJ213" s="95">
        <v>0</v>
      </c>
      <c r="AK213" s="95">
        <v>0.3236</v>
      </c>
      <c r="AL213" s="95">
        <v>5.2519999999999998</v>
      </c>
      <c r="AM213" s="95">
        <v>1.4772799999999999</v>
      </c>
      <c r="AN213" s="95">
        <v>15.11</v>
      </c>
      <c r="AO213" s="95">
        <v>0</v>
      </c>
      <c r="AP213" s="95">
        <v>556.60400000000004</v>
      </c>
      <c r="AQ213" s="95">
        <v>537.351</v>
      </c>
      <c r="AR213" s="95">
        <v>537.351</v>
      </c>
      <c r="AS213" s="95">
        <v>0</v>
      </c>
      <c r="AT213" s="95">
        <v>145.126</v>
      </c>
      <c r="AU213" s="95">
        <v>11.045999999999999</v>
      </c>
      <c r="AV213" s="95">
        <v>11.084</v>
      </c>
      <c r="AW213" s="95">
        <v>11.122</v>
      </c>
      <c r="AX213" s="95">
        <v>7.4999999999999997E-2</v>
      </c>
      <c r="AY213" s="95">
        <f t="shared" si="26"/>
        <v>0.98980832829557985</v>
      </c>
      <c r="AZ213" s="95">
        <f t="shared" si="27"/>
        <v>16.089248554913294</v>
      </c>
    </row>
    <row r="214" spans="1:52" s="96" customFormat="1" ht="18" customHeight="1" x14ac:dyDescent="0.2">
      <c r="A214" s="97"/>
      <c r="B214" s="97">
        <v>5</v>
      </c>
      <c r="C214" s="95">
        <v>139.44492</v>
      </c>
      <c r="D214" s="95">
        <v>138.227</v>
      </c>
      <c r="E214" s="95">
        <v>1280.55188</v>
      </c>
      <c r="F214" s="95">
        <v>1280.55188</v>
      </c>
      <c r="G214" s="95">
        <v>0.51400000000000001</v>
      </c>
      <c r="H214" s="95">
        <v>0.34799999999999998</v>
      </c>
      <c r="I214" s="95">
        <f t="shared" si="21"/>
        <v>1.0279416313357432</v>
      </c>
      <c r="J214" s="95">
        <f t="shared" si="22"/>
        <v>1.0916408482440834</v>
      </c>
      <c r="K214" s="95">
        <f t="shared" si="23"/>
        <v>6.0341649624154683E-4</v>
      </c>
      <c r="L214" s="95">
        <f t="shared" si="24"/>
        <v>0.9912659421368667</v>
      </c>
      <c r="M214" s="95"/>
      <c r="N214" s="97">
        <v>11.396000000000001</v>
      </c>
      <c r="O214" s="97">
        <v>14.54</v>
      </c>
      <c r="P214" s="102">
        <f t="shared" si="25"/>
        <v>75.460000000000008</v>
      </c>
      <c r="Z214" s="95">
        <v>5.43</v>
      </c>
      <c r="AA214" s="95">
        <v>139.071</v>
      </c>
      <c r="AB214" s="95">
        <v>129.67099999999999</v>
      </c>
      <c r="AC214" s="95">
        <v>1283.3900000000001</v>
      </c>
      <c r="AD214" s="95">
        <v>1259.67</v>
      </c>
      <c r="AE214" s="95">
        <v>182.60900000000001</v>
      </c>
      <c r="AF214" s="95">
        <v>176.50800000000001</v>
      </c>
      <c r="AG214" s="95">
        <v>0.27784999999999999</v>
      </c>
      <c r="AH214" s="95">
        <v>6.8559999999999996E-2</v>
      </c>
      <c r="AI214" s="95">
        <v>0.25672</v>
      </c>
      <c r="AJ214" s="95">
        <v>0</v>
      </c>
      <c r="AK214" s="95">
        <v>0.32179999999999997</v>
      </c>
      <c r="AL214" s="95">
        <v>5.2510000000000003</v>
      </c>
      <c r="AM214" s="95">
        <v>1.47655</v>
      </c>
      <c r="AN214" s="95">
        <v>14.14</v>
      </c>
      <c r="AO214" s="95">
        <v>0</v>
      </c>
      <c r="AP214" s="95">
        <v>552.68299999999999</v>
      </c>
      <c r="AQ214" s="95">
        <v>535.94399999999996</v>
      </c>
      <c r="AR214" s="95">
        <v>535.94399999999996</v>
      </c>
      <c r="AS214" s="95">
        <v>0</v>
      </c>
      <c r="AT214" s="95">
        <v>134.98699999999999</v>
      </c>
      <c r="AU214" s="95">
        <v>11.122</v>
      </c>
      <c r="AV214" s="95">
        <v>11.159000000000001</v>
      </c>
      <c r="AW214" s="95">
        <v>11.196999999999999</v>
      </c>
      <c r="AX214" s="95">
        <v>7.4999999999999997E-2</v>
      </c>
      <c r="AY214" s="95">
        <f t="shared" si="26"/>
        <v>0.990957674219752</v>
      </c>
      <c r="AZ214" s="95">
        <f t="shared" si="27"/>
        <v>16.077572254335259</v>
      </c>
    </row>
    <row r="215" spans="1:52" s="96" customFormat="1" ht="18" customHeight="1" x14ac:dyDescent="0.2">
      <c r="A215" s="97"/>
      <c r="B215" s="97">
        <v>6</v>
      </c>
      <c r="C215" s="95">
        <v>139.71133999999998</v>
      </c>
      <c r="D215" s="95">
        <v>138.56175500000001</v>
      </c>
      <c r="E215" s="95">
        <v>1277.1001100000001</v>
      </c>
      <c r="F215" s="95">
        <v>1277.1001100000001</v>
      </c>
      <c r="G215" s="95">
        <v>0.51900000000000002</v>
      </c>
      <c r="H215" s="95">
        <v>0.35299999999999998</v>
      </c>
      <c r="I215" s="95">
        <f t="shared" si="21"/>
        <v>1.0282464476802036</v>
      </c>
      <c r="J215" s="95">
        <f t="shared" si="22"/>
        <v>1.0933317993674276</v>
      </c>
      <c r="K215" s="95">
        <f t="shared" si="23"/>
        <v>5.6847157553271532E-4</v>
      </c>
      <c r="L215" s="95">
        <f t="shared" si="24"/>
        <v>0.9917717130191438</v>
      </c>
      <c r="M215" s="95"/>
      <c r="N215" s="97">
        <v>11.302</v>
      </c>
      <c r="O215" s="97">
        <v>13.71</v>
      </c>
      <c r="P215" s="102">
        <f t="shared" si="25"/>
        <v>76.289999999999992</v>
      </c>
      <c r="Z215" s="95">
        <v>5.43</v>
      </c>
      <c r="AA215" s="95">
        <v>139.006</v>
      </c>
      <c r="AB215" s="95">
        <v>129.678</v>
      </c>
      <c r="AC215" s="95">
        <v>1282.32</v>
      </c>
      <c r="AD215" s="95">
        <v>1258.79</v>
      </c>
      <c r="AE215" s="95">
        <v>182.33199999999999</v>
      </c>
      <c r="AF215" s="95">
        <v>176.28200000000001</v>
      </c>
      <c r="AG215" s="95">
        <v>0.27805999999999997</v>
      </c>
      <c r="AH215" s="95">
        <v>6.8559999999999996E-2</v>
      </c>
      <c r="AI215" s="95">
        <v>0.25668999999999997</v>
      </c>
      <c r="AJ215" s="95">
        <v>0</v>
      </c>
      <c r="AK215" s="95">
        <v>0.3206</v>
      </c>
      <c r="AL215" s="95">
        <v>5.2590000000000003</v>
      </c>
      <c r="AM215" s="95">
        <v>1.47637</v>
      </c>
      <c r="AN215" s="95">
        <v>13.72</v>
      </c>
      <c r="AO215" s="95">
        <v>0</v>
      </c>
      <c r="AP215" s="95">
        <v>550.41600000000005</v>
      </c>
      <c r="AQ215" s="95">
        <v>534.72</v>
      </c>
      <c r="AR215" s="95">
        <v>534.72</v>
      </c>
      <c r="AS215" s="95">
        <v>0</v>
      </c>
      <c r="AT215" s="95">
        <v>130.50899999999999</v>
      </c>
      <c r="AU215" s="95">
        <v>11.196999999999999</v>
      </c>
      <c r="AV215" s="95">
        <v>11.234</v>
      </c>
      <c r="AW215" s="95">
        <v>11.271000000000001</v>
      </c>
      <c r="AX215" s="95">
        <v>7.4999999999999997E-2</v>
      </c>
      <c r="AY215" s="95">
        <f t="shared" si="26"/>
        <v>0.99163920158655428</v>
      </c>
      <c r="AZ215" s="95">
        <f t="shared" si="27"/>
        <v>16.070057803468206</v>
      </c>
    </row>
    <row r="216" spans="1:52" s="96" customFormat="1" ht="18" customHeight="1" x14ac:dyDescent="0.2">
      <c r="A216" s="97"/>
      <c r="B216" s="97">
        <v>7</v>
      </c>
      <c r="C216" s="95">
        <v>139.97689500000001</v>
      </c>
      <c r="D216" s="95">
        <v>138.82125500000001</v>
      </c>
      <c r="E216" s="95">
        <v>1276.8809499999998</v>
      </c>
      <c r="F216" s="95">
        <v>1276.8809499999998</v>
      </c>
      <c r="G216" s="95">
        <v>0.52400000000000002</v>
      </c>
      <c r="H216" s="95">
        <v>0.35699999999999998</v>
      </c>
      <c r="I216" s="95">
        <f t="shared" si="21"/>
        <v>1.0286939957862087</v>
      </c>
      <c r="J216" s="95">
        <f t="shared" si="22"/>
        <v>1.0949677498140955</v>
      </c>
      <c r="K216" s="95">
        <f t="shared" si="23"/>
        <v>5.7041516263127423E-4</v>
      </c>
      <c r="L216" s="95">
        <f t="shared" si="24"/>
        <v>0.99174406604747156</v>
      </c>
      <c r="M216" s="95"/>
      <c r="N216" s="97">
        <v>11.208</v>
      </c>
      <c r="O216" s="97">
        <v>13.63</v>
      </c>
      <c r="P216" s="102">
        <f t="shared" si="25"/>
        <v>76.37</v>
      </c>
      <c r="Z216" s="95">
        <v>5.43</v>
      </c>
      <c r="AA216" s="95">
        <v>138.66999999999999</v>
      </c>
      <c r="AB216" s="95">
        <v>129.685</v>
      </c>
      <c r="AC216" s="95">
        <v>1283.54</v>
      </c>
      <c r="AD216" s="95">
        <v>1260.82</v>
      </c>
      <c r="AE216" s="95">
        <v>182.64599999999999</v>
      </c>
      <c r="AF216" s="95">
        <v>176.804</v>
      </c>
      <c r="AG216" s="95">
        <v>0.27761999999999998</v>
      </c>
      <c r="AH216" s="95">
        <v>6.8559999999999996E-2</v>
      </c>
      <c r="AI216" s="95">
        <v>0.25674999999999998</v>
      </c>
      <c r="AJ216" s="95">
        <v>0</v>
      </c>
      <c r="AK216" s="95">
        <v>0.31480000000000002</v>
      </c>
      <c r="AL216" s="95">
        <v>5.359</v>
      </c>
      <c r="AM216" s="95">
        <v>1.47678</v>
      </c>
      <c r="AN216" s="95">
        <v>13.68</v>
      </c>
      <c r="AO216" s="95">
        <v>0</v>
      </c>
      <c r="AP216" s="95">
        <v>540.88300000000004</v>
      </c>
      <c r="AQ216" s="95">
        <v>525.53700000000003</v>
      </c>
      <c r="AR216" s="95">
        <v>525.53700000000003</v>
      </c>
      <c r="AS216" s="95">
        <v>0</v>
      </c>
      <c r="AT216" s="95">
        <v>127.931</v>
      </c>
      <c r="AU216" s="95">
        <v>11.271000000000001</v>
      </c>
      <c r="AV216" s="95">
        <v>11.308999999999999</v>
      </c>
      <c r="AW216" s="95">
        <v>11.347</v>
      </c>
      <c r="AX216" s="95">
        <v>7.4999999999999997E-2</v>
      </c>
      <c r="AY216" s="95">
        <f t="shared" si="26"/>
        <v>0.99177513946502638</v>
      </c>
      <c r="AZ216" s="95">
        <f t="shared" si="27"/>
        <v>16.031213872832367</v>
      </c>
    </row>
    <row r="217" spans="1:52" s="96" customFormat="1" ht="18" customHeight="1" x14ac:dyDescent="0.2">
      <c r="A217" s="97"/>
      <c r="B217" s="97">
        <v>8</v>
      </c>
      <c r="C217" s="95">
        <v>140.24331500000002</v>
      </c>
      <c r="D217" s="95">
        <v>138.97262999999998</v>
      </c>
      <c r="E217" s="95">
        <v>1281.5381</v>
      </c>
      <c r="F217" s="95">
        <v>1281.5381</v>
      </c>
      <c r="G217" s="95">
        <v>0.53</v>
      </c>
      <c r="H217" s="95">
        <v>0.35899999999999999</v>
      </c>
      <c r="I217" s="95">
        <f t="shared" si="21"/>
        <v>1.0296397986227406</v>
      </c>
      <c r="J217" s="95">
        <f t="shared" si="22"/>
        <v>1.0976041263340575</v>
      </c>
      <c r="K217" s="95">
        <f t="shared" si="23"/>
        <v>6.2612394228716249E-4</v>
      </c>
      <c r="L217" s="95">
        <f t="shared" si="24"/>
        <v>0.99093942552627168</v>
      </c>
      <c r="M217" s="95"/>
      <c r="N217" s="97">
        <v>11.115</v>
      </c>
      <c r="O217" s="97">
        <v>14.15</v>
      </c>
      <c r="P217" s="102">
        <f t="shared" si="25"/>
        <v>75.849999999999994</v>
      </c>
      <c r="Z217" s="95">
        <v>5.43</v>
      </c>
      <c r="AA217" s="95">
        <v>138.374</v>
      </c>
      <c r="AB217" s="95">
        <v>129.691</v>
      </c>
      <c r="AC217" s="95">
        <v>1287.3399999999999</v>
      </c>
      <c r="AD217" s="95">
        <v>1265.3</v>
      </c>
      <c r="AE217" s="95">
        <v>183.624</v>
      </c>
      <c r="AF217" s="95">
        <v>177.95400000000001</v>
      </c>
      <c r="AG217" s="95">
        <v>0.27666000000000002</v>
      </c>
      <c r="AH217" s="95">
        <v>6.8559999999999996E-2</v>
      </c>
      <c r="AI217" s="95">
        <v>0.25690000000000002</v>
      </c>
      <c r="AJ217" s="95">
        <v>0</v>
      </c>
      <c r="AK217" s="95">
        <v>0.30959999999999999</v>
      </c>
      <c r="AL217" s="95">
        <v>5.4690000000000003</v>
      </c>
      <c r="AM217" s="95">
        <v>1.4776899999999999</v>
      </c>
      <c r="AN217" s="95">
        <v>14.09</v>
      </c>
      <c r="AO217" s="95">
        <v>0</v>
      </c>
      <c r="AP217" s="95">
        <v>532.84100000000001</v>
      </c>
      <c r="AQ217" s="95">
        <v>516.80700000000002</v>
      </c>
      <c r="AR217" s="95">
        <v>516.80700000000002</v>
      </c>
      <c r="AS217" s="95">
        <v>0</v>
      </c>
      <c r="AT217" s="95">
        <v>129.73099999999999</v>
      </c>
      <c r="AU217" s="95">
        <v>11.347</v>
      </c>
      <c r="AV217" s="95">
        <v>11.385</v>
      </c>
      <c r="AW217" s="95">
        <v>11.423</v>
      </c>
      <c r="AX217" s="95">
        <v>7.5999999999999998E-2</v>
      </c>
      <c r="AY217" s="95">
        <f t="shared" si="26"/>
        <v>0.99153028175069491</v>
      </c>
      <c r="AZ217" s="95">
        <f t="shared" si="27"/>
        <v>15.996994219653178</v>
      </c>
    </row>
    <row r="218" spans="1:52" s="96" customFormat="1" ht="18" customHeight="1" x14ac:dyDescent="0.2">
      <c r="A218" s="97"/>
      <c r="B218" s="97">
        <v>9</v>
      </c>
      <c r="C218" s="95">
        <v>140.50887</v>
      </c>
      <c r="D218" s="95">
        <v>139.02972000000003</v>
      </c>
      <c r="E218" s="95">
        <v>1290.57845</v>
      </c>
      <c r="F218" s="95">
        <v>1290.57845</v>
      </c>
      <c r="G218" s="95">
        <v>0.53500000000000003</v>
      </c>
      <c r="H218" s="95">
        <v>0.36</v>
      </c>
      <c r="I218" s="95">
        <f t="shared" si="21"/>
        <v>1.0305335698689957</v>
      </c>
      <c r="J218" s="95">
        <f t="shared" si="22"/>
        <v>1.0993131158856628</v>
      </c>
      <c r="K218" s="95">
        <f t="shared" si="23"/>
        <v>7.2771322016790697E-4</v>
      </c>
      <c r="L218" s="95">
        <f t="shared" si="24"/>
        <v>0.98947290658589759</v>
      </c>
      <c r="M218" s="95"/>
      <c r="N218" s="97">
        <v>11.02</v>
      </c>
      <c r="O218" s="97">
        <v>15.4</v>
      </c>
      <c r="P218" s="102">
        <f t="shared" si="25"/>
        <v>74.599999999999994</v>
      </c>
      <c r="Z218" s="95">
        <v>5.43</v>
      </c>
      <c r="AA218" s="95">
        <v>138.11099999999999</v>
      </c>
      <c r="AB218" s="95">
        <v>129.69900000000001</v>
      </c>
      <c r="AC218" s="95">
        <v>1293.75</v>
      </c>
      <c r="AD218" s="95">
        <v>1272.28</v>
      </c>
      <c r="AE218" s="95">
        <v>185.27600000000001</v>
      </c>
      <c r="AF218" s="95">
        <v>179.74799999999999</v>
      </c>
      <c r="AG218" s="95">
        <v>0.27515000000000001</v>
      </c>
      <c r="AH218" s="95">
        <v>6.8559999999999996E-2</v>
      </c>
      <c r="AI218" s="95">
        <v>0.25712000000000002</v>
      </c>
      <c r="AJ218" s="95">
        <v>0</v>
      </c>
      <c r="AK218" s="95">
        <v>0.3049</v>
      </c>
      <c r="AL218" s="95">
        <v>5.5949999999999998</v>
      </c>
      <c r="AM218" s="95">
        <v>1.4791000000000001</v>
      </c>
      <c r="AN218" s="95">
        <v>15.11</v>
      </c>
      <c r="AO218" s="95">
        <v>0</v>
      </c>
      <c r="AP218" s="95">
        <v>526.125</v>
      </c>
      <c r="AQ218" s="95">
        <v>507.93099999999998</v>
      </c>
      <c r="AR218" s="95">
        <v>507.93099999999998</v>
      </c>
      <c r="AS218" s="95">
        <v>0</v>
      </c>
      <c r="AT218" s="95">
        <v>137.16200000000001</v>
      </c>
      <c r="AU218" s="95">
        <v>11.423</v>
      </c>
      <c r="AV218" s="95">
        <v>11.462</v>
      </c>
      <c r="AW218" s="95">
        <v>11.500999999999999</v>
      </c>
      <c r="AX218" s="95">
        <v>7.8E-2</v>
      </c>
      <c r="AY218" s="95">
        <f t="shared" si="26"/>
        <v>0.99098071293266743</v>
      </c>
      <c r="AZ218" s="95">
        <f t="shared" si="27"/>
        <v>15.966589595375721</v>
      </c>
    </row>
    <row r="219" spans="1:52" s="96" customFormat="1" ht="18" customHeight="1" x14ac:dyDescent="0.2">
      <c r="A219" s="97"/>
      <c r="B219" s="97">
        <v>10</v>
      </c>
      <c r="C219" s="95">
        <v>140.77529000000001</v>
      </c>
      <c r="D219" s="95">
        <v>139.020205</v>
      </c>
      <c r="E219" s="95">
        <v>1309.59058</v>
      </c>
      <c r="F219" s="95">
        <v>1309.59058</v>
      </c>
      <c r="G219" s="95">
        <v>0.54200000000000004</v>
      </c>
      <c r="H219" s="95">
        <v>0.35899999999999999</v>
      </c>
      <c r="I219" s="95">
        <f t="shared" si="21"/>
        <v>1.0321479480611853</v>
      </c>
      <c r="J219" s="95">
        <f t="shared" si="22"/>
        <v>1.1031849570869818</v>
      </c>
      <c r="K219" s="95">
        <f t="shared" si="23"/>
        <v>8.6237738231004744E-4</v>
      </c>
      <c r="L219" s="95">
        <f t="shared" si="24"/>
        <v>0.98753271969817991</v>
      </c>
      <c r="M219" s="95"/>
      <c r="N219" s="97">
        <v>10.923</v>
      </c>
      <c r="O219" s="97">
        <v>17.559999999999999</v>
      </c>
      <c r="P219" s="102">
        <f t="shared" si="25"/>
        <v>72.44</v>
      </c>
      <c r="Z219" s="95">
        <v>5.43</v>
      </c>
      <c r="AA219" s="95">
        <v>137.96</v>
      </c>
      <c r="AB219" s="95">
        <v>129.70699999999999</v>
      </c>
      <c r="AC219" s="95">
        <v>1304.96</v>
      </c>
      <c r="AD219" s="95">
        <v>1283.73</v>
      </c>
      <c r="AE219" s="95">
        <v>188.17099999999999</v>
      </c>
      <c r="AF219" s="95">
        <v>182.696</v>
      </c>
      <c r="AG219" s="95">
        <v>0.27271000000000001</v>
      </c>
      <c r="AH219" s="95">
        <v>6.8559999999999996E-2</v>
      </c>
      <c r="AI219" s="95">
        <v>0.25750000000000001</v>
      </c>
      <c r="AJ219" s="95">
        <v>0</v>
      </c>
      <c r="AK219" s="95">
        <v>0.30209999999999998</v>
      </c>
      <c r="AL219" s="95">
        <v>5.7229999999999999</v>
      </c>
      <c r="AM219" s="95">
        <v>1.4814000000000001</v>
      </c>
      <c r="AN219" s="95">
        <v>16.899999999999999</v>
      </c>
      <c r="AO219" s="95">
        <v>0</v>
      </c>
      <c r="AP219" s="95">
        <v>523.577</v>
      </c>
      <c r="AQ219" s="95">
        <v>500.96800000000002</v>
      </c>
      <c r="AR219" s="95">
        <v>500.96800000000002</v>
      </c>
      <c r="AS219" s="95">
        <v>0</v>
      </c>
      <c r="AT219" s="95">
        <v>152.19499999999999</v>
      </c>
      <c r="AU219" s="95">
        <v>11.500999999999999</v>
      </c>
      <c r="AV219" s="95">
        <v>11.54</v>
      </c>
      <c r="AW219" s="95">
        <v>11.58</v>
      </c>
      <c r="AX219" s="95">
        <v>7.9000000000000001E-2</v>
      </c>
      <c r="AY219" s="95">
        <f t="shared" si="26"/>
        <v>0.99014590943997483</v>
      </c>
      <c r="AZ219" s="95">
        <f t="shared" si="27"/>
        <v>15.94913294797688</v>
      </c>
    </row>
    <row r="220" spans="1:52" s="96" customFormat="1" ht="18" customHeight="1" x14ac:dyDescent="0.2">
      <c r="A220" s="97"/>
      <c r="B220" s="97">
        <v>11</v>
      </c>
      <c r="C220" s="95">
        <v>141.04170999999999</v>
      </c>
      <c r="D220" s="95">
        <v>138.89651000000001</v>
      </c>
      <c r="E220" s="95">
        <v>1341.8618899999999</v>
      </c>
      <c r="F220" s="95">
        <v>1341.8618899999999</v>
      </c>
      <c r="G220" s="95">
        <v>0.54900000000000004</v>
      </c>
      <c r="H220" s="95">
        <v>0.35699999999999998</v>
      </c>
      <c r="I220" s="95">
        <f t="shared" si="21"/>
        <v>1.0339256421663092</v>
      </c>
      <c r="J220" s="95">
        <f t="shared" si="22"/>
        <v>1.1067673551324848</v>
      </c>
      <c r="K220" s="95">
        <f t="shared" si="23"/>
        <v>1.0531364480232189E-3</v>
      </c>
      <c r="L220" s="95">
        <f t="shared" si="24"/>
        <v>0.98479031486501412</v>
      </c>
      <c r="M220" s="95"/>
      <c r="N220" s="97">
        <v>10.821999999999999</v>
      </c>
      <c r="O220" s="97">
        <v>21.22</v>
      </c>
      <c r="P220" s="102">
        <f t="shared" si="25"/>
        <v>68.78</v>
      </c>
      <c r="Z220" s="95">
        <v>5.43</v>
      </c>
      <c r="AA220" s="95">
        <v>137.76400000000001</v>
      </c>
      <c r="AB220" s="95">
        <v>129.71799999999999</v>
      </c>
      <c r="AC220" s="95">
        <v>1324.56</v>
      </c>
      <c r="AD220" s="95">
        <v>1303.58</v>
      </c>
      <c r="AE220" s="95">
        <v>193.238</v>
      </c>
      <c r="AF220" s="95">
        <v>187.816</v>
      </c>
      <c r="AG220" s="95">
        <v>0.26857999999999999</v>
      </c>
      <c r="AH220" s="95">
        <v>6.8559999999999996E-2</v>
      </c>
      <c r="AI220" s="95">
        <v>0.25813000000000003</v>
      </c>
      <c r="AJ220" s="95">
        <v>0</v>
      </c>
      <c r="AK220" s="95">
        <v>0.29849999999999999</v>
      </c>
      <c r="AL220" s="95">
        <v>5.9290000000000003</v>
      </c>
      <c r="AM220" s="95">
        <v>1.4853499999999999</v>
      </c>
      <c r="AN220" s="95">
        <v>19.55</v>
      </c>
      <c r="AO220" s="95">
        <v>0</v>
      </c>
      <c r="AP220" s="95">
        <v>521.04700000000003</v>
      </c>
      <c r="AQ220" s="95">
        <v>490.99900000000002</v>
      </c>
      <c r="AR220" s="95">
        <v>490.99900000000002</v>
      </c>
      <c r="AS220" s="95">
        <v>0</v>
      </c>
      <c r="AT220" s="95">
        <v>174.38300000000001</v>
      </c>
      <c r="AU220" s="95">
        <v>11.58</v>
      </c>
      <c r="AV220" s="95">
        <v>11.62</v>
      </c>
      <c r="AW220" s="95">
        <v>11.661</v>
      </c>
      <c r="AX220" s="95">
        <v>8.1000000000000003E-2</v>
      </c>
      <c r="AY220" s="95">
        <f t="shared" si="26"/>
        <v>0.988959239637622</v>
      </c>
      <c r="AZ220" s="95">
        <f t="shared" si="27"/>
        <v>15.926473988439307</v>
      </c>
    </row>
    <row r="221" spans="1:52" s="96" customFormat="1" ht="18" customHeight="1" x14ac:dyDescent="0.2">
      <c r="A221" s="97"/>
      <c r="B221" s="97">
        <v>12</v>
      </c>
      <c r="C221" s="95">
        <v>141.17405499999998</v>
      </c>
      <c r="D221" s="95">
        <v>138.81001000000001</v>
      </c>
      <c r="E221" s="95">
        <v>1364.5997400000001</v>
      </c>
      <c r="F221" s="95">
        <v>1364.5997400000001</v>
      </c>
      <c r="G221" s="95">
        <v>0.55300000000000005</v>
      </c>
      <c r="H221" s="95">
        <v>0.35499999999999998</v>
      </c>
      <c r="I221" s="95">
        <f t="shared" si="21"/>
        <v>1.035072790319985</v>
      </c>
      <c r="J221" s="95">
        <f t="shared" si="22"/>
        <v>1.1093383290233116</v>
      </c>
      <c r="K221" s="95">
        <f t="shared" si="23"/>
        <v>1.1602165204688403E-3</v>
      </c>
      <c r="L221" s="95">
        <f t="shared" si="24"/>
        <v>0.98325439472571663</v>
      </c>
      <c r="M221" s="95"/>
      <c r="N221" s="97">
        <v>10.769</v>
      </c>
      <c r="O221" s="97">
        <v>23.9</v>
      </c>
      <c r="P221" s="102">
        <f t="shared" si="25"/>
        <v>66.099999999999994</v>
      </c>
      <c r="Z221" s="95">
        <v>5.43</v>
      </c>
      <c r="AA221" s="95">
        <v>137.126</v>
      </c>
      <c r="AB221" s="95">
        <v>129.732</v>
      </c>
      <c r="AC221" s="95">
        <v>1359.57</v>
      </c>
      <c r="AD221" s="95">
        <v>1339.82</v>
      </c>
      <c r="AE221" s="95">
        <v>202.31899999999999</v>
      </c>
      <c r="AF221" s="95">
        <v>197.19</v>
      </c>
      <c r="AG221" s="95">
        <v>0.26135000000000003</v>
      </c>
      <c r="AH221" s="95">
        <v>6.8559999999999996E-2</v>
      </c>
      <c r="AI221" s="95">
        <v>0.25929000000000002</v>
      </c>
      <c r="AJ221" s="95">
        <v>0</v>
      </c>
      <c r="AK221" s="95">
        <v>0.28660000000000002</v>
      </c>
      <c r="AL221" s="95">
        <v>6.4349999999999996</v>
      </c>
      <c r="AM221" s="95">
        <v>1.49244</v>
      </c>
      <c r="AN221" s="95">
        <v>23.44</v>
      </c>
      <c r="AO221" s="95">
        <v>0</v>
      </c>
      <c r="AP221" s="95">
        <v>506.78399999999999</v>
      </c>
      <c r="AQ221" s="95">
        <v>464.94900000000001</v>
      </c>
      <c r="AR221" s="95">
        <v>464.94900000000001</v>
      </c>
      <c r="AS221" s="95">
        <v>0</v>
      </c>
      <c r="AT221" s="95">
        <v>201.625</v>
      </c>
      <c r="AU221" s="95">
        <v>11.661</v>
      </c>
      <c r="AV221" s="95">
        <v>11.705</v>
      </c>
      <c r="AW221" s="95">
        <v>11.747999999999999</v>
      </c>
      <c r="AX221" s="95">
        <v>8.6999999999999994E-2</v>
      </c>
      <c r="AY221" s="95">
        <f t="shared" si="26"/>
        <v>0.98766908195162717</v>
      </c>
      <c r="AZ221" s="95">
        <f t="shared" si="27"/>
        <v>15.85271676300578</v>
      </c>
    </row>
    <row r="222" spans="1:52" ht="18" customHeight="1" x14ac:dyDescent="0.2">
      <c r="A222" s="26" t="s">
        <v>130</v>
      </c>
      <c r="N222" s="27"/>
      <c r="O222" s="27"/>
      <c r="P222" s="103"/>
      <c r="Z222" s="17">
        <v>0</v>
      </c>
      <c r="AA222" s="17">
        <v>0</v>
      </c>
      <c r="AB222" s="17">
        <v>0</v>
      </c>
      <c r="AC222" s="17">
        <v>0</v>
      </c>
      <c r="AD222" s="17">
        <v>0</v>
      </c>
      <c r="AE222" s="17">
        <v>0</v>
      </c>
      <c r="AF222" s="17">
        <v>0</v>
      </c>
      <c r="AG222" s="17">
        <v>0</v>
      </c>
      <c r="AH222" s="17">
        <v>0</v>
      </c>
      <c r="AI222" s="17">
        <v>0</v>
      </c>
      <c r="AJ222" s="17">
        <v>0</v>
      </c>
      <c r="AK222" s="17">
        <v>0</v>
      </c>
      <c r="AL222" s="17">
        <v>0</v>
      </c>
      <c r="AM222" s="17">
        <v>0</v>
      </c>
      <c r="AN222" s="17">
        <v>0</v>
      </c>
      <c r="AO222" s="17">
        <v>0</v>
      </c>
      <c r="AP222" s="17">
        <v>0</v>
      </c>
      <c r="AQ222" s="17">
        <v>0</v>
      </c>
      <c r="AR222" s="17">
        <v>0</v>
      </c>
      <c r="AS222" s="17">
        <v>0</v>
      </c>
      <c r="AT222" s="17">
        <v>0</v>
      </c>
      <c r="AU222" s="17">
        <v>0</v>
      </c>
      <c r="AV222" s="17">
        <v>0</v>
      </c>
      <c r="AW222" s="17">
        <v>0</v>
      </c>
      <c r="AX222" s="17">
        <v>0</v>
      </c>
      <c r="AZ222" s="17">
        <f t="shared" si="27"/>
        <v>0</v>
      </c>
    </row>
    <row r="223" spans="1:52" ht="18" customHeight="1" x14ac:dyDescent="0.2">
      <c r="B223" s="27">
        <v>1</v>
      </c>
      <c r="C223" s="17">
        <v>136.721035</v>
      </c>
      <c r="D223" s="17">
        <v>174.69367</v>
      </c>
      <c r="E223" s="17">
        <v>1360.1069600000001</v>
      </c>
      <c r="F223" s="17">
        <v>1460.37266</v>
      </c>
      <c r="G223" s="17">
        <v>0.32600000000000001</v>
      </c>
      <c r="H223" s="17">
        <v>0.46700000000000003</v>
      </c>
      <c r="I223" s="17">
        <f t="shared" si="21"/>
        <v>1.0507113747284076</v>
      </c>
      <c r="J223" s="17">
        <f t="shared" si="22"/>
        <v>1.1844497534840797</v>
      </c>
      <c r="K223" s="17">
        <f t="shared" si="23"/>
        <v>2.6815519344620085E-4</v>
      </c>
      <c r="L223" s="17">
        <f t="shared" si="24"/>
        <v>1.2777380598384147</v>
      </c>
      <c r="N223" s="27">
        <v>11.669</v>
      </c>
      <c r="O223" s="27">
        <v>54.35</v>
      </c>
      <c r="P223" s="103">
        <f t="shared" si="25"/>
        <v>35.65</v>
      </c>
      <c r="Z223" s="17">
        <v>5.43</v>
      </c>
      <c r="AA223" s="17">
        <v>177.678</v>
      </c>
      <c r="AB223" s="17">
        <v>149.64599999999999</v>
      </c>
      <c r="AC223" s="17">
        <v>1434.41</v>
      </c>
      <c r="AD223" s="17">
        <v>1371.21</v>
      </c>
      <c r="AE223" s="17">
        <v>221.85499999999999</v>
      </c>
      <c r="AF223" s="17">
        <v>205.34399999999999</v>
      </c>
      <c r="AG223" s="17">
        <v>0.29455999999999999</v>
      </c>
      <c r="AH223" s="17">
        <v>6.8559999999999996E-2</v>
      </c>
      <c r="AI223" s="17">
        <v>0.26027</v>
      </c>
      <c r="AJ223" s="17">
        <v>0</v>
      </c>
      <c r="AK223" s="17">
        <v>0.50870000000000004</v>
      </c>
      <c r="AL223" s="17">
        <v>5.9169999999999998</v>
      </c>
      <c r="AM223" s="17">
        <v>1.4886600000000001</v>
      </c>
      <c r="AN223" s="17">
        <v>60.44</v>
      </c>
      <c r="AO223" s="17">
        <v>0</v>
      </c>
      <c r="AP223" s="17">
        <v>909.274</v>
      </c>
      <c r="AQ223" s="17">
        <v>448.58699999999999</v>
      </c>
      <c r="AR223" s="17">
        <v>448.58699999999999</v>
      </c>
      <c r="AS223" s="17">
        <v>0</v>
      </c>
      <c r="AT223" s="17">
        <v>790.91700000000003</v>
      </c>
      <c r="AU223" s="17">
        <v>10.787000000000001</v>
      </c>
      <c r="AV223" s="17">
        <v>10.831</v>
      </c>
      <c r="AW223" s="17">
        <v>10.874000000000001</v>
      </c>
      <c r="AX223" s="17">
        <v>8.6999999999999994E-2</v>
      </c>
      <c r="AY223" s="17">
        <f t="shared" si="26"/>
        <v>1.2772298579561792</v>
      </c>
      <c r="AZ223" s="17">
        <f t="shared" si="27"/>
        <v>20.540809248554911</v>
      </c>
    </row>
    <row r="224" spans="1:52" ht="18" customHeight="1" x14ac:dyDescent="0.2">
      <c r="B224" s="27">
        <v>2</v>
      </c>
      <c r="C224" s="17">
        <v>137.001295</v>
      </c>
      <c r="D224" s="17">
        <v>174.90213499999999</v>
      </c>
      <c r="E224" s="17">
        <v>1338.84844</v>
      </c>
      <c r="F224" s="17">
        <v>1437.19649</v>
      </c>
      <c r="G224" s="17">
        <v>0.33100000000000002</v>
      </c>
      <c r="H224" s="17">
        <v>0.47</v>
      </c>
      <c r="I224" s="17">
        <f t="shared" si="21"/>
        <v>1.0505650395875268</v>
      </c>
      <c r="J224" s="17">
        <f t="shared" si="22"/>
        <v>1.183870463445001</v>
      </c>
      <c r="K224" s="17">
        <f t="shared" si="23"/>
        <v>2.682620769040335E-4</v>
      </c>
      <c r="L224" s="17">
        <f t="shared" si="24"/>
        <v>1.2766458521432225</v>
      </c>
      <c r="N224" s="27">
        <v>11.621</v>
      </c>
      <c r="O224" s="27">
        <v>52.1</v>
      </c>
      <c r="P224" s="103">
        <f t="shared" si="25"/>
        <v>37.9</v>
      </c>
      <c r="Z224" s="17">
        <v>5.43</v>
      </c>
      <c r="AA224" s="17">
        <v>177.46799999999999</v>
      </c>
      <c r="AB224" s="17">
        <v>149.929</v>
      </c>
      <c r="AC224" s="17">
        <v>1407.24</v>
      </c>
      <c r="AD224" s="17">
        <v>1346.12</v>
      </c>
      <c r="AE224" s="17">
        <v>214.74199999999999</v>
      </c>
      <c r="AF224" s="17">
        <v>198.827</v>
      </c>
      <c r="AG224" s="17">
        <v>0.30062</v>
      </c>
      <c r="AH224" s="17">
        <v>6.8559999999999996E-2</v>
      </c>
      <c r="AI224" s="17">
        <v>0.25947999999999999</v>
      </c>
      <c r="AJ224" s="17">
        <v>0</v>
      </c>
      <c r="AK224" s="17">
        <v>0.50380000000000003</v>
      </c>
      <c r="AL224" s="17">
        <v>5.218</v>
      </c>
      <c r="AM224" s="17">
        <v>1.4837400000000001</v>
      </c>
      <c r="AN224" s="17">
        <v>56.06</v>
      </c>
      <c r="AO224" s="17">
        <v>0</v>
      </c>
      <c r="AP224" s="17">
        <v>892.70399999999995</v>
      </c>
      <c r="AQ224" s="17">
        <v>498.44600000000003</v>
      </c>
      <c r="AR224" s="17">
        <v>498.44600000000003</v>
      </c>
      <c r="AS224" s="17">
        <v>0</v>
      </c>
      <c r="AT224" s="17">
        <v>740.58900000000006</v>
      </c>
      <c r="AU224" s="17">
        <v>10.874000000000001</v>
      </c>
      <c r="AV224" s="17">
        <v>10.912000000000001</v>
      </c>
      <c r="AW224" s="17">
        <v>10.95</v>
      </c>
      <c r="AX224" s="17">
        <v>7.5999999999999998E-2</v>
      </c>
      <c r="AY224" s="17">
        <f t="shared" si="26"/>
        <v>1.2747855819098652</v>
      </c>
      <c r="AZ224" s="17">
        <f t="shared" si="27"/>
        <v>20.516531791907511</v>
      </c>
    </row>
    <row r="225" spans="1:52" ht="18" customHeight="1" x14ac:dyDescent="0.2">
      <c r="B225" s="27">
        <v>3</v>
      </c>
      <c r="C225" s="17">
        <v>137.36546000000001</v>
      </c>
      <c r="D225" s="17">
        <v>175.109735</v>
      </c>
      <c r="E225" s="17">
        <v>1310.19327</v>
      </c>
      <c r="F225" s="17">
        <v>1405.5826599999998</v>
      </c>
      <c r="G225" s="17">
        <v>0.33900000000000002</v>
      </c>
      <c r="H225" s="17">
        <v>0.47299999999999998</v>
      </c>
      <c r="I225" s="17">
        <f t="shared" si="21"/>
        <v>1.0504595137784887</v>
      </c>
      <c r="J225" s="17">
        <f t="shared" si="22"/>
        <v>1.1842319353671218</v>
      </c>
      <c r="K225" s="17">
        <f t="shared" si="23"/>
        <v>2.2322643360679281E-4</v>
      </c>
      <c r="L225" s="17">
        <f t="shared" si="24"/>
        <v>1.2747726757512403</v>
      </c>
      <c r="N225" s="27">
        <v>11.54</v>
      </c>
      <c r="O225" s="27">
        <v>50.1</v>
      </c>
      <c r="P225" s="103">
        <f t="shared" si="25"/>
        <v>39.9</v>
      </c>
      <c r="Z225" s="17">
        <v>5.43</v>
      </c>
      <c r="AA225" s="17">
        <v>177.203</v>
      </c>
      <c r="AB225" s="17">
        <v>150.15600000000001</v>
      </c>
      <c r="AC225" s="17">
        <v>1386.99</v>
      </c>
      <c r="AD225" s="17">
        <v>1327.69</v>
      </c>
      <c r="AE225" s="17">
        <v>209.45699999999999</v>
      </c>
      <c r="AF225" s="17">
        <v>194.047</v>
      </c>
      <c r="AG225" s="17">
        <v>0.30525999999999998</v>
      </c>
      <c r="AH225" s="17">
        <v>6.8559999999999996E-2</v>
      </c>
      <c r="AI225" s="17">
        <v>0.25890000000000002</v>
      </c>
      <c r="AJ225" s="17">
        <v>0</v>
      </c>
      <c r="AK225" s="17">
        <v>0.49890000000000001</v>
      </c>
      <c r="AL225" s="17">
        <v>4.8470000000000004</v>
      </c>
      <c r="AM225" s="17">
        <v>1.4800599999999999</v>
      </c>
      <c r="AN225" s="17">
        <v>53.02</v>
      </c>
      <c r="AO225" s="17">
        <v>0</v>
      </c>
      <c r="AP225" s="17">
        <v>878.44600000000003</v>
      </c>
      <c r="AQ225" s="17">
        <v>528.47</v>
      </c>
      <c r="AR225" s="17">
        <v>528.47</v>
      </c>
      <c r="AS225" s="17">
        <v>0</v>
      </c>
      <c r="AT225" s="17">
        <v>701.702</v>
      </c>
      <c r="AU225" s="17">
        <v>10.95</v>
      </c>
      <c r="AV225" s="17">
        <v>10.986000000000001</v>
      </c>
      <c r="AW225" s="17">
        <v>11.021000000000001</v>
      </c>
      <c r="AX225" s="17">
        <v>7.0000000000000007E-2</v>
      </c>
      <c r="AY225" s="17">
        <f t="shared" si="26"/>
        <v>1.2727540437268365</v>
      </c>
      <c r="AZ225" s="17">
        <f t="shared" si="27"/>
        <v>20.485895953757225</v>
      </c>
    </row>
    <row r="226" spans="1:52" ht="18" customHeight="1" x14ac:dyDescent="0.2">
      <c r="B226" s="27">
        <v>4</v>
      </c>
      <c r="C226" s="17">
        <v>137.82477500000002</v>
      </c>
      <c r="D226" s="17">
        <v>175.38740000000001</v>
      </c>
      <c r="E226" s="17">
        <v>1289.7565999999999</v>
      </c>
      <c r="F226" s="17">
        <v>1382.46128</v>
      </c>
      <c r="G226" s="17">
        <v>0.34799999999999998</v>
      </c>
      <c r="H226" s="17">
        <v>0.47699999999999998</v>
      </c>
      <c r="I226" s="17">
        <f t="shared" si="21"/>
        <v>1.0500557618740964</v>
      </c>
      <c r="J226" s="17">
        <f t="shared" si="22"/>
        <v>1.1841483246293343</v>
      </c>
      <c r="K226" s="17">
        <f t="shared" si="23"/>
        <v>1.3580295180622842E-4</v>
      </c>
      <c r="L226" s="17">
        <f t="shared" si="24"/>
        <v>1.2725389901779269</v>
      </c>
      <c r="N226" s="27">
        <v>11.445</v>
      </c>
      <c r="O226" s="27">
        <v>48.79</v>
      </c>
      <c r="P226" s="103">
        <f t="shared" si="25"/>
        <v>41.21</v>
      </c>
      <c r="Z226" s="17">
        <v>5.43</v>
      </c>
      <c r="AA226" s="17">
        <v>176.911</v>
      </c>
      <c r="AB226" s="17">
        <v>150.351</v>
      </c>
      <c r="AC226" s="17">
        <v>1378.71</v>
      </c>
      <c r="AD226" s="17">
        <v>1320.73</v>
      </c>
      <c r="AE226" s="17">
        <v>207.29900000000001</v>
      </c>
      <c r="AF226" s="17">
        <v>192.24799999999999</v>
      </c>
      <c r="AG226" s="17">
        <v>0.30726999999999999</v>
      </c>
      <c r="AH226" s="17">
        <v>6.8559999999999996E-2</v>
      </c>
      <c r="AI226" s="17">
        <v>0.25868000000000002</v>
      </c>
      <c r="AJ226" s="17">
        <v>0</v>
      </c>
      <c r="AK226" s="17">
        <v>0.49430000000000002</v>
      </c>
      <c r="AL226" s="17">
        <v>4.6660000000000004</v>
      </c>
      <c r="AM226" s="17">
        <v>1.47861</v>
      </c>
      <c r="AN226" s="17">
        <v>51.08</v>
      </c>
      <c r="AO226" s="17">
        <v>0</v>
      </c>
      <c r="AP226" s="17">
        <v>868.149</v>
      </c>
      <c r="AQ226" s="17">
        <v>545.36400000000003</v>
      </c>
      <c r="AR226" s="17">
        <v>545.36400000000003</v>
      </c>
      <c r="AS226" s="17">
        <v>0</v>
      </c>
      <c r="AT226" s="17">
        <v>675.471</v>
      </c>
      <c r="AU226" s="17">
        <v>11.021000000000001</v>
      </c>
      <c r="AV226" s="17">
        <v>11.054</v>
      </c>
      <c r="AW226" s="17">
        <v>11.087999999999999</v>
      </c>
      <c r="AX226" s="17">
        <v>6.7000000000000004E-2</v>
      </c>
      <c r="AY226" s="17">
        <f t="shared" si="26"/>
        <v>1.2711680510447505</v>
      </c>
      <c r="AZ226" s="17">
        <f t="shared" si="27"/>
        <v>20.4521387283237</v>
      </c>
    </row>
    <row r="227" spans="1:52" ht="18" customHeight="1" x14ac:dyDescent="0.2">
      <c r="B227" s="27">
        <v>5</v>
      </c>
      <c r="C227" s="17">
        <v>138.227</v>
      </c>
      <c r="D227" s="17">
        <v>175.665065</v>
      </c>
      <c r="E227" s="17">
        <v>1280.55188</v>
      </c>
      <c r="F227" s="17">
        <v>1371.5580699999998</v>
      </c>
      <c r="G227" s="17">
        <v>0.35599999999999998</v>
      </c>
      <c r="H227" s="17">
        <v>0.48</v>
      </c>
      <c r="I227" s="17">
        <f t="shared" si="21"/>
        <v>1.0498398955654502</v>
      </c>
      <c r="J227" s="17">
        <f t="shared" si="22"/>
        <v>1.1848508826685842</v>
      </c>
      <c r="K227" s="17">
        <f t="shared" si="23"/>
        <v>4.5800810356082938E-5</v>
      </c>
      <c r="L227" s="17">
        <f t="shared" si="24"/>
        <v>1.2708448060075093</v>
      </c>
      <c r="N227" s="27">
        <v>11.351000000000001</v>
      </c>
      <c r="O227" s="27">
        <v>47.88</v>
      </c>
      <c r="P227" s="103">
        <f t="shared" si="25"/>
        <v>42.12</v>
      </c>
      <c r="Z227" s="17">
        <v>5.43</v>
      </c>
      <c r="AA227" s="17">
        <v>176.61500000000001</v>
      </c>
      <c r="AB227" s="17">
        <v>150.52799999999999</v>
      </c>
      <c r="AC227" s="17">
        <v>1373.93</v>
      </c>
      <c r="AD227" s="17">
        <v>1317.11</v>
      </c>
      <c r="AE227" s="17">
        <v>206.054</v>
      </c>
      <c r="AF227" s="17">
        <v>191.31200000000001</v>
      </c>
      <c r="AG227" s="17">
        <v>0.30847000000000002</v>
      </c>
      <c r="AH227" s="17">
        <v>6.8559999999999996E-2</v>
      </c>
      <c r="AI227" s="17">
        <v>0.25856000000000001</v>
      </c>
      <c r="AJ227" s="17">
        <v>0</v>
      </c>
      <c r="AK227" s="17">
        <v>0.48980000000000001</v>
      </c>
      <c r="AL227" s="17">
        <v>4.577</v>
      </c>
      <c r="AM227" s="17">
        <v>1.4778199999999999</v>
      </c>
      <c r="AN227" s="17">
        <v>49.87</v>
      </c>
      <c r="AO227" s="17">
        <v>0</v>
      </c>
      <c r="AP227" s="17">
        <v>859.178</v>
      </c>
      <c r="AQ227" s="17">
        <v>553.78200000000004</v>
      </c>
      <c r="AR227" s="17">
        <v>553.78200000000004</v>
      </c>
      <c r="AS227" s="17">
        <v>0</v>
      </c>
      <c r="AT227" s="17">
        <v>656.89599999999996</v>
      </c>
      <c r="AU227" s="17">
        <v>11.087999999999999</v>
      </c>
      <c r="AV227" s="17">
        <v>11.121</v>
      </c>
      <c r="AW227" s="17">
        <v>11.153</v>
      </c>
      <c r="AX227" s="17">
        <v>6.6000000000000003E-2</v>
      </c>
      <c r="AY227" s="17">
        <f t="shared" si="26"/>
        <v>1.2699628247441954</v>
      </c>
      <c r="AZ227" s="17">
        <f t="shared" si="27"/>
        <v>20.417919075144511</v>
      </c>
    </row>
    <row r="228" spans="1:52" ht="18" customHeight="1" x14ac:dyDescent="0.2">
      <c r="B228" s="27">
        <v>6</v>
      </c>
      <c r="C228" s="17">
        <v>138.56175500000001</v>
      </c>
      <c r="D228" s="17">
        <v>175.94273000000001</v>
      </c>
      <c r="E228" s="17">
        <v>1277.1001100000001</v>
      </c>
      <c r="F228" s="17">
        <v>1367.0652899999998</v>
      </c>
      <c r="G228" s="17">
        <v>0.36199999999999999</v>
      </c>
      <c r="H228" s="17">
        <v>0.48399999999999999</v>
      </c>
      <c r="I228" s="17">
        <f t="shared" si="21"/>
        <v>1.0493372588483851</v>
      </c>
      <c r="J228" s="17">
        <f t="shared" si="22"/>
        <v>1.184283500072395</v>
      </c>
      <c r="K228" s="17">
        <f t="shared" si="23"/>
        <v>-3.6298620042007901E-5</v>
      </c>
      <c r="L228" s="17">
        <f t="shared" si="24"/>
        <v>1.2697784464407225</v>
      </c>
      <c r="N228" s="27">
        <v>11.272</v>
      </c>
      <c r="O228" s="27">
        <v>47.05</v>
      </c>
      <c r="P228" s="103">
        <f t="shared" si="25"/>
        <v>42.95</v>
      </c>
      <c r="Z228" s="17">
        <v>5.43</v>
      </c>
      <c r="AA228" s="17">
        <v>176.46299999999999</v>
      </c>
      <c r="AB228" s="17">
        <v>150.69300000000001</v>
      </c>
      <c r="AC228" s="17">
        <v>1372.49</v>
      </c>
      <c r="AD228" s="17">
        <v>1316.39</v>
      </c>
      <c r="AE228" s="17">
        <v>205.67599999999999</v>
      </c>
      <c r="AF228" s="17">
        <v>191.12700000000001</v>
      </c>
      <c r="AG228" s="17">
        <v>0.30897999999999998</v>
      </c>
      <c r="AH228" s="17">
        <v>6.8559999999999996E-2</v>
      </c>
      <c r="AI228" s="17">
        <v>0.25853999999999999</v>
      </c>
      <c r="AJ228" s="17">
        <v>0</v>
      </c>
      <c r="AK228" s="17">
        <v>0.48670000000000002</v>
      </c>
      <c r="AL228" s="17">
        <v>4.548</v>
      </c>
      <c r="AM228" s="17">
        <v>1.4776</v>
      </c>
      <c r="AN228" s="17">
        <v>49.31</v>
      </c>
      <c r="AO228" s="17">
        <v>0</v>
      </c>
      <c r="AP228" s="17">
        <v>853.54600000000005</v>
      </c>
      <c r="AQ228" s="17">
        <v>556.44899999999996</v>
      </c>
      <c r="AR228" s="17">
        <v>556.44899999999996</v>
      </c>
      <c r="AS228" s="17">
        <v>0</v>
      </c>
      <c r="AT228" s="17">
        <v>647.22900000000004</v>
      </c>
      <c r="AU228" s="17">
        <v>11.153</v>
      </c>
      <c r="AV228" s="17">
        <v>11.186</v>
      </c>
      <c r="AW228" s="17">
        <v>11.218</v>
      </c>
      <c r="AX228" s="17">
        <v>6.5000000000000002E-2</v>
      </c>
      <c r="AY228" s="17">
        <f t="shared" si="26"/>
        <v>1.2694631886393393</v>
      </c>
      <c r="AZ228" s="17">
        <f t="shared" si="27"/>
        <v>20.400346820809247</v>
      </c>
    </row>
    <row r="229" spans="1:52" ht="18" customHeight="1" x14ac:dyDescent="0.2">
      <c r="B229" s="27">
        <v>7</v>
      </c>
      <c r="C229" s="17">
        <v>138.82125500000001</v>
      </c>
      <c r="D229" s="17">
        <v>176.220395</v>
      </c>
      <c r="E229" s="17">
        <v>1276.8809499999998</v>
      </c>
      <c r="F229" s="17">
        <v>1366.6817599999999</v>
      </c>
      <c r="G229" s="17">
        <v>0.36699999999999999</v>
      </c>
      <c r="H229" s="17">
        <v>0.48799999999999999</v>
      </c>
      <c r="I229" s="17">
        <f t="shared" si="21"/>
        <v>1.0491889343120013</v>
      </c>
      <c r="J229" s="17">
        <f t="shared" si="22"/>
        <v>1.1838009721330029</v>
      </c>
      <c r="K229" s="17">
        <f t="shared" si="23"/>
        <v>-4.2289276974877971E-5</v>
      </c>
      <c r="L229" s="17">
        <f t="shared" si="24"/>
        <v>1.2694049985357068</v>
      </c>
      <c r="N229" s="27">
        <v>11.189</v>
      </c>
      <c r="O229" s="27">
        <v>46.14</v>
      </c>
      <c r="P229" s="103">
        <f t="shared" si="25"/>
        <v>43.86</v>
      </c>
      <c r="Z229" s="17">
        <v>5.43</v>
      </c>
      <c r="AA229" s="17">
        <v>176.07</v>
      </c>
      <c r="AB229" s="17">
        <v>150.85400000000001</v>
      </c>
      <c r="AC229" s="17">
        <v>1373.86</v>
      </c>
      <c r="AD229" s="17">
        <v>1318.87</v>
      </c>
      <c r="AE229" s="17">
        <v>206.03399999999999</v>
      </c>
      <c r="AF229" s="17">
        <v>191.768</v>
      </c>
      <c r="AG229" s="17">
        <v>0.30873</v>
      </c>
      <c r="AH229" s="17">
        <v>6.8559999999999996E-2</v>
      </c>
      <c r="AI229" s="17">
        <v>0.25862000000000002</v>
      </c>
      <c r="AJ229" s="17">
        <v>0</v>
      </c>
      <c r="AK229" s="17">
        <v>0.48159999999999997</v>
      </c>
      <c r="AL229" s="17">
        <v>4.6139999999999999</v>
      </c>
      <c r="AM229" s="17">
        <v>1.4780199999999999</v>
      </c>
      <c r="AN229" s="17">
        <v>49.5</v>
      </c>
      <c r="AO229" s="17">
        <v>0</v>
      </c>
      <c r="AP229" s="17">
        <v>845.19399999999996</v>
      </c>
      <c r="AQ229" s="17">
        <v>548.86699999999996</v>
      </c>
      <c r="AR229" s="17">
        <v>548.86699999999996</v>
      </c>
      <c r="AS229" s="17">
        <v>0</v>
      </c>
      <c r="AT229" s="17">
        <v>642.72699999999998</v>
      </c>
      <c r="AU229" s="17">
        <v>11.218</v>
      </c>
      <c r="AV229" s="17">
        <v>11.250999999999999</v>
      </c>
      <c r="AW229" s="17">
        <v>11.282999999999999</v>
      </c>
      <c r="AX229" s="17">
        <v>6.5000000000000002E-2</v>
      </c>
      <c r="AY229" s="17">
        <f t="shared" si="26"/>
        <v>1.2697050551669431</v>
      </c>
      <c r="AZ229" s="17">
        <f t="shared" si="27"/>
        <v>20.354913294797687</v>
      </c>
    </row>
    <row r="230" spans="1:52" ht="18" customHeight="1" x14ac:dyDescent="0.2">
      <c r="B230" s="27">
        <v>8</v>
      </c>
      <c r="C230" s="17">
        <v>138.97262999999998</v>
      </c>
      <c r="D230" s="17">
        <v>176.497195</v>
      </c>
      <c r="E230" s="17">
        <v>1281.5381</v>
      </c>
      <c r="F230" s="17">
        <v>1371.99639</v>
      </c>
      <c r="G230" s="17">
        <v>0.36899999999999999</v>
      </c>
      <c r="H230" s="17">
        <v>0.49299999999999999</v>
      </c>
      <c r="I230" s="17">
        <f t="shared" si="21"/>
        <v>1.0487601058546523</v>
      </c>
      <c r="J230" s="17">
        <f t="shared" si="22"/>
        <v>1.1816803787919747</v>
      </c>
      <c r="K230" s="17">
        <f t="shared" si="23"/>
        <v>-1.7496368594578995E-5</v>
      </c>
      <c r="L230" s="17">
        <f t="shared" si="24"/>
        <v>1.2700140667986208</v>
      </c>
      <c r="N230" s="27">
        <v>11.105</v>
      </c>
      <c r="O230" s="27">
        <v>45.06</v>
      </c>
      <c r="P230" s="103">
        <f t="shared" si="25"/>
        <v>44.94</v>
      </c>
      <c r="Z230" s="17">
        <v>5.43</v>
      </c>
      <c r="AA230" s="17">
        <v>175.798</v>
      </c>
      <c r="AB230" s="17">
        <v>151.01499999999999</v>
      </c>
      <c r="AC230" s="17">
        <v>1378.45</v>
      </c>
      <c r="AD230" s="17">
        <v>1324.23</v>
      </c>
      <c r="AE230" s="17">
        <v>207.23</v>
      </c>
      <c r="AF230" s="17">
        <v>193.154</v>
      </c>
      <c r="AG230" s="17">
        <v>0.30780999999999997</v>
      </c>
      <c r="AH230" s="17">
        <v>6.8559999999999996E-2</v>
      </c>
      <c r="AI230" s="17">
        <v>0.25879000000000002</v>
      </c>
      <c r="AJ230" s="17">
        <v>0</v>
      </c>
      <c r="AK230" s="17">
        <v>0.47739999999999999</v>
      </c>
      <c r="AL230" s="17">
        <v>4.742</v>
      </c>
      <c r="AM230" s="17">
        <v>1.47899</v>
      </c>
      <c r="AN230" s="17">
        <v>50.35</v>
      </c>
      <c r="AO230" s="17">
        <v>0</v>
      </c>
      <c r="AP230" s="17">
        <v>839.56600000000003</v>
      </c>
      <c r="AQ230" s="17">
        <v>535.72400000000005</v>
      </c>
      <c r="AR230" s="17">
        <v>535.72400000000005</v>
      </c>
      <c r="AS230" s="17">
        <v>0</v>
      </c>
      <c r="AT230" s="17">
        <v>646.42999999999995</v>
      </c>
      <c r="AU230" s="17">
        <v>11.282999999999999</v>
      </c>
      <c r="AV230" s="17">
        <v>11.317</v>
      </c>
      <c r="AW230" s="17">
        <v>11.35</v>
      </c>
      <c r="AX230" s="17">
        <v>6.7000000000000004E-2</v>
      </c>
      <c r="AY230" s="17">
        <f t="shared" si="26"/>
        <v>1.2704554323789152</v>
      </c>
      <c r="AZ230" s="17">
        <f t="shared" si="27"/>
        <v>20.323468208092486</v>
      </c>
    </row>
    <row r="231" spans="1:52" ht="18" customHeight="1" x14ac:dyDescent="0.2">
      <c r="B231" s="27">
        <v>9</v>
      </c>
      <c r="C231" s="17">
        <v>139.02972000000003</v>
      </c>
      <c r="D231" s="17">
        <v>176.77485999999999</v>
      </c>
      <c r="E231" s="17">
        <v>1290.57845</v>
      </c>
      <c r="F231" s="17">
        <v>1382.3516999999999</v>
      </c>
      <c r="G231" s="17">
        <v>0.36899999999999999</v>
      </c>
      <c r="H231" s="17">
        <v>0.499</v>
      </c>
      <c r="I231" s="17">
        <f t="shared" si="21"/>
        <v>1.0480840582820175</v>
      </c>
      <c r="J231" s="17">
        <f t="shared" si="22"/>
        <v>1.178364799079354</v>
      </c>
      <c r="K231" s="17">
        <f t="shared" si="23"/>
        <v>2.0355042292717618E-5</v>
      </c>
      <c r="L231" s="17">
        <f t="shared" si="24"/>
        <v>1.2714897217659646</v>
      </c>
      <c r="N231" s="27">
        <v>11.02</v>
      </c>
      <c r="O231" s="27">
        <v>43.77</v>
      </c>
      <c r="P231" s="103">
        <f t="shared" si="25"/>
        <v>46.23</v>
      </c>
      <c r="Z231" s="17">
        <v>5.43</v>
      </c>
      <c r="AA231" s="17">
        <v>175.62700000000001</v>
      </c>
      <c r="AB231" s="17">
        <v>151.184</v>
      </c>
      <c r="AC231" s="17">
        <v>1386.09</v>
      </c>
      <c r="AD231" s="17">
        <v>1332.38</v>
      </c>
      <c r="AE231" s="17">
        <v>209.22300000000001</v>
      </c>
      <c r="AF231" s="17">
        <v>195.25800000000001</v>
      </c>
      <c r="AG231" s="17">
        <v>0.30626999999999999</v>
      </c>
      <c r="AH231" s="17">
        <v>6.8559999999999996E-2</v>
      </c>
      <c r="AI231" s="17">
        <v>0.25905</v>
      </c>
      <c r="AJ231" s="17">
        <v>0</v>
      </c>
      <c r="AK231" s="17">
        <v>0.47420000000000001</v>
      </c>
      <c r="AL231" s="17">
        <v>4.9509999999999996</v>
      </c>
      <c r="AM231" s="17">
        <v>1.4804999999999999</v>
      </c>
      <c r="AN231" s="17">
        <v>51.93</v>
      </c>
      <c r="AO231" s="17">
        <v>0</v>
      </c>
      <c r="AP231" s="17">
        <v>836.21900000000005</v>
      </c>
      <c r="AQ231" s="17">
        <v>515.63</v>
      </c>
      <c r="AR231" s="17">
        <v>515.63</v>
      </c>
      <c r="AS231" s="17">
        <v>0</v>
      </c>
      <c r="AT231" s="17">
        <v>658.322</v>
      </c>
      <c r="AU231" s="17">
        <v>11.35</v>
      </c>
      <c r="AV231" s="17">
        <v>11.385</v>
      </c>
      <c r="AW231" s="17">
        <v>11.419</v>
      </c>
      <c r="AX231" s="17">
        <v>6.9000000000000006E-2</v>
      </c>
      <c r="AY231" s="17">
        <f t="shared" si="26"/>
        <v>1.2716365821694147</v>
      </c>
      <c r="AZ231" s="17">
        <f t="shared" si="27"/>
        <v>20.30369942196532</v>
      </c>
    </row>
    <row r="232" spans="1:52" ht="18" customHeight="1" x14ac:dyDescent="0.2">
      <c r="B232" s="27">
        <v>10</v>
      </c>
      <c r="C232" s="17">
        <v>139.020205</v>
      </c>
      <c r="D232" s="17">
        <v>177.052525</v>
      </c>
      <c r="E232" s="17">
        <v>1309.59058</v>
      </c>
      <c r="F232" s="17">
        <v>1403.6650099999999</v>
      </c>
      <c r="G232" s="17">
        <v>0.36699999999999999</v>
      </c>
      <c r="H232" s="17">
        <v>0.505</v>
      </c>
      <c r="I232" s="17">
        <f t="shared" si="21"/>
        <v>1.0472908021931699</v>
      </c>
      <c r="J232" s="17">
        <f t="shared" si="22"/>
        <v>1.1743889391630213</v>
      </c>
      <c r="K232" s="17">
        <f t="shared" si="23"/>
        <v>7.0321230735357829E-5</v>
      </c>
      <c r="L232" s="17">
        <f t="shared" si="24"/>
        <v>1.2735740463049958</v>
      </c>
      <c r="N232" s="27">
        <v>10.93</v>
      </c>
      <c r="O232" s="27">
        <v>42.12</v>
      </c>
      <c r="P232" s="103">
        <f t="shared" si="25"/>
        <v>47.88</v>
      </c>
      <c r="Z232" s="17">
        <v>5.43</v>
      </c>
      <c r="AA232" s="17">
        <v>175.642</v>
      </c>
      <c r="AB232" s="17">
        <v>151.36799999999999</v>
      </c>
      <c r="AC232" s="17">
        <v>1398.99</v>
      </c>
      <c r="AD232" s="17">
        <v>1345.23</v>
      </c>
      <c r="AE232" s="17">
        <v>212.58699999999999</v>
      </c>
      <c r="AF232" s="17">
        <v>198.596</v>
      </c>
      <c r="AG232" s="17">
        <v>0.30370999999999998</v>
      </c>
      <c r="AH232" s="17">
        <v>6.8559999999999996E-2</v>
      </c>
      <c r="AI232" s="17">
        <v>0.25946000000000002</v>
      </c>
      <c r="AJ232" s="17">
        <v>0</v>
      </c>
      <c r="AK232" s="17">
        <v>0.47249999999999998</v>
      </c>
      <c r="AL232" s="17">
        <v>5.282</v>
      </c>
      <c r="AM232" s="17">
        <v>1.48291</v>
      </c>
      <c r="AN232" s="17">
        <v>54.39</v>
      </c>
      <c r="AO232" s="17">
        <v>0</v>
      </c>
      <c r="AP232" s="17">
        <v>836.995</v>
      </c>
      <c r="AQ232" s="17">
        <v>487.40199999999999</v>
      </c>
      <c r="AR232" s="17">
        <v>487.40199999999999</v>
      </c>
      <c r="AS232" s="17">
        <v>0</v>
      </c>
      <c r="AT232" s="17">
        <v>680.44200000000001</v>
      </c>
      <c r="AU232" s="17">
        <v>11.419</v>
      </c>
      <c r="AV232" s="17">
        <v>11.456</v>
      </c>
      <c r="AW232" s="17">
        <v>11.493</v>
      </c>
      <c r="AX232" s="17">
        <v>7.2999999999999995E-2</v>
      </c>
      <c r="AY232" s="17">
        <f t="shared" si="26"/>
        <v>1.2731371412003478</v>
      </c>
      <c r="AZ232" s="17">
        <f t="shared" si="27"/>
        <v>20.305433526011559</v>
      </c>
    </row>
    <row r="233" spans="1:52" ht="18" customHeight="1" x14ac:dyDescent="0.2">
      <c r="B233" s="27">
        <v>11</v>
      </c>
      <c r="C233" s="17">
        <v>138.89651000000001</v>
      </c>
      <c r="D233" s="17">
        <v>177.33018999999999</v>
      </c>
      <c r="E233" s="17">
        <v>1341.8618899999999</v>
      </c>
      <c r="F233" s="17">
        <v>1439.2785099999999</v>
      </c>
      <c r="G233" s="17">
        <v>0.36499999999999999</v>
      </c>
      <c r="H233" s="17">
        <v>0.51200000000000001</v>
      </c>
      <c r="I233" s="17">
        <f t="shared" si="21"/>
        <v>1.0463201629998311</v>
      </c>
      <c r="J233" s="17">
        <f t="shared" si="22"/>
        <v>1.1705442841754161</v>
      </c>
      <c r="K233" s="17">
        <f t="shared" si="23"/>
        <v>7.2567439853704618E-5</v>
      </c>
      <c r="L233" s="17">
        <f t="shared" si="24"/>
        <v>1.2767073125163475</v>
      </c>
      <c r="N233" s="27">
        <v>10.833</v>
      </c>
      <c r="O233" s="27">
        <v>40.08</v>
      </c>
      <c r="P233" s="103">
        <f t="shared" si="25"/>
        <v>49.92</v>
      </c>
      <c r="Z233" s="17">
        <v>5.43</v>
      </c>
      <c r="AA233" s="17">
        <v>175.64400000000001</v>
      </c>
      <c r="AB233" s="17">
        <v>151.58099999999999</v>
      </c>
      <c r="AC233" s="17">
        <v>1420.94</v>
      </c>
      <c r="AD233" s="17">
        <v>1367</v>
      </c>
      <c r="AE233" s="17">
        <v>218.328</v>
      </c>
      <c r="AF233" s="17">
        <v>204.24799999999999</v>
      </c>
      <c r="AG233" s="17">
        <v>0.29929</v>
      </c>
      <c r="AH233" s="17">
        <v>6.8559999999999996E-2</v>
      </c>
      <c r="AI233" s="17">
        <v>0.26013999999999998</v>
      </c>
      <c r="AJ233" s="17">
        <v>0</v>
      </c>
      <c r="AK233" s="17">
        <v>0.47039999999999998</v>
      </c>
      <c r="AL233" s="17">
        <v>5.907</v>
      </c>
      <c r="AM233" s="17">
        <v>1.48698</v>
      </c>
      <c r="AN233" s="17">
        <v>58.21</v>
      </c>
      <c r="AO233" s="17">
        <v>0</v>
      </c>
      <c r="AP233" s="17">
        <v>839.67499999999995</v>
      </c>
      <c r="AQ233" s="17">
        <v>442.291</v>
      </c>
      <c r="AR233" s="17">
        <v>442.291</v>
      </c>
      <c r="AS233" s="17">
        <v>0</v>
      </c>
      <c r="AT233" s="17">
        <v>713.745</v>
      </c>
      <c r="AU233" s="17">
        <v>11.493</v>
      </c>
      <c r="AV233" s="17">
        <v>11.532999999999999</v>
      </c>
      <c r="AW233" s="17">
        <v>11.574</v>
      </c>
      <c r="AX233" s="17">
        <v>8.2000000000000003E-2</v>
      </c>
      <c r="AY233" s="17">
        <f t="shared" si="26"/>
        <v>1.2749629801689846</v>
      </c>
      <c r="AZ233" s="17">
        <f t="shared" si="27"/>
        <v>20.305664739884392</v>
      </c>
    </row>
    <row r="234" spans="1:52" ht="18" customHeight="1" x14ac:dyDescent="0.2">
      <c r="B234" s="27">
        <v>12</v>
      </c>
      <c r="C234" s="17">
        <v>138.81001000000001</v>
      </c>
      <c r="D234" s="17">
        <v>177.46859000000001</v>
      </c>
      <c r="E234" s="17">
        <v>1364.5997400000001</v>
      </c>
      <c r="F234" s="17">
        <v>1464.04359</v>
      </c>
      <c r="G234" s="17">
        <v>0.36399999999999999</v>
      </c>
      <c r="H234" s="17">
        <v>0.51600000000000001</v>
      </c>
      <c r="I234" s="17">
        <f t="shared" si="21"/>
        <v>1.045623597799205</v>
      </c>
      <c r="J234" s="17">
        <f t="shared" si="22"/>
        <v>1.1684065893023052</v>
      </c>
      <c r="K234" s="17">
        <f t="shared" si="23"/>
        <v>3.8042590277726288E-5</v>
      </c>
      <c r="L234" s="17">
        <f t="shared" si="24"/>
        <v>1.2784999439161484</v>
      </c>
      <c r="N234" s="27">
        <v>10.778</v>
      </c>
      <c r="O234" s="27">
        <v>39.01</v>
      </c>
      <c r="P234" s="103">
        <f t="shared" si="25"/>
        <v>50.99</v>
      </c>
      <c r="Z234" s="17">
        <v>5.43</v>
      </c>
      <c r="AA234" s="17">
        <v>175.07599999999999</v>
      </c>
      <c r="AB234" s="17">
        <v>151.857</v>
      </c>
      <c r="AC234" s="17">
        <v>1459.27</v>
      </c>
      <c r="AD234" s="17">
        <v>1405.99</v>
      </c>
      <c r="AE234" s="17">
        <v>228.387</v>
      </c>
      <c r="AF234" s="17">
        <v>214.41300000000001</v>
      </c>
      <c r="AG234" s="17">
        <v>0.29152</v>
      </c>
      <c r="AH234" s="17">
        <v>6.8559999999999996E-2</v>
      </c>
      <c r="AI234" s="17">
        <v>0.26135999999999998</v>
      </c>
      <c r="AJ234" s="17">
        <v>0</v>
      </c>
      <c r="AK234" s="17">
        <v>0.46250000000000002</v>
      </c>
      <c r="AL234" s="17">
        <v>7.5620000000000003</v>
      </c>
      <c r="AM234" s="17">
        <v>1.4941899999999999</v>
      </c>
      <c r="AN234" s="17">
        <v>64.91</v>
      </c>
      <c r="AO234" s="17">
        <v>0</v>
      </c>
      <c r="AP234" s="17">
        <v>836.48199999999997</v>
      </c>
      <c r="AQ234" s="17">
        <v>354.69900000000001</v>
      </c>
      <c r="AR234" s="17">
        <v>354.69900000000001</v>
      </c>
      <c r="AS234" s="17">
        <v>0</v>
      </c>
      <c r="AT234" s="17">
        <v>757.55499999999995</v>
      </c>
      <c r="AU234" s="17">
        <v>11.574</v>
      </c>
      <c r="AV234" s="17">
        <v>11.625999999999999</v>
      </c>
      <c r="AW234" s="17">
        <v>11.678000000000001</v>
      </c>
      <c r="AX234" s="17">
        <v>0.104</v>
      </c>
      <c r="AY234" s="17">
        <f t="shared" si="26"/>
        <v>1.2767527675276751</v>
      </c>
      <c r="AZ234" s="17">
        <f t="shared" si="27"/>
        <v>20.239999999999998</v>
      </c>
    </row>
    <row r="235" spans="1:52" s="96" customFormat="1" ht="18" customHeight="1" x14ac:dyDescent="0.2">
      <c r="A235" s="94" t="s">
        <v>131</v>
      </c>
      <c r="B235" s="97"/>
      <c r="C235" s="95"/>
      <c r="D235" s="95"/>
      <c r="E235" s="95"/>
      <c r="F235" s="95"/>
      <c r="G235" s="95"/>
      <c r="H235" s="95"/>
      <c r="I235" s="95"/>
      <c r="J235" s="95"/>
      <c r="K235" s="95"/>
      <c r="L235" s="95"/>
      <c r="M235" s="95"/>
      <c r="N235" s="97"/>
      <c r="O235" s="97"/>
      <c r="P235" s="102"/>
      <c r="Z235" s="95">
        <v>0</v>
      </c>
      <c r="AA235" s="95">
        <v>0</v>
      </c>
      <c r="AB235" s="95">
        <v>0</v>
      </c>
      <c r="AC235" s="95">
        <v>0</v>
      </c>
      <c r="AD235" s="95">
        <v>0</v>
      </c>
      <c r="AE235" s="95">
        <v>0</v>
      </c>
      <c r="AF235" s="95">
        <v>0</v>
      </c>
      <c r="AG235" s="95">
        <v>0</v>
      </c>
      <c r="AH235" s="95">
        <v>0</v>
      </c>
      <c r="AI235" s="95">
        <v>0</v>
      </c>
      <c r="AJ235" s="95">
        <v>0</v>
      </c>
      <c r="AK235" s="95">
        <v>0</v>
      </c>
      <c r="AL235" s="95">
        <v>0</v>
      </c>
      <c r="AM235" s="95">
        <v>0</v>
      </c>
      <c r="AN235" s="95">
        <v>0</v>
      </c>
      <c r="AO235" s="95">
        <v>0</v>
      </c>
      <c r="AP235" s="95">
        <v>0</v>
      </c>
      <c r="AQ235" s="95">
        <v>0</v>
      </c>
      <c r="AR235" s="95">
        <v>0</v>
      </c>
      <c r="AS235" s="95">
        <v>0</v>
      </c>
      <c r="AT235" s="95">
        <v>0</v>
      </c>
      <c r="AU235" s="95">
        <v>0</v>
      </c>
      <c r="AV235" s="95">
        <v>0</v>
      </c>
      <c r="AW235" s="95">
        <v>0</v>
      </c>
      <c r="AX235" s="95">
        <v>0</v>
      </c>
      <c r="AY235" s="95"/>
      <c r="AZ235" s="95">
        <f t="shared" si="27"/>
        <v>0</v>
      </c>
    </row>
    <row r="236" spans="1:52" s="96" customFormat="1" ht="18" customHeight="1" x14ac:dyDescent="0.2">
      <c r="A236" s="97"/>
      <c r="B236" s="97">
        <v>1</v>
      </c>
      <c r="C236" s="95">
        <v>174.69367</v>
      </c>
      <c r="D236" s="95">
        <v>172.578745</v>
      </c>
      <c r="E236" s="95">
        <v>1460.37266</v>
      </c>
      <c r="F236" s="95">
        <v>1460.37266</v>
      </c>
      <c r="G236" s="95">
        <v>0.47099999999999997</v>
      </c>
      <c r="H236" s="95">
        <v>0.29399999999999998</v>
      </c>
      <c r="I236" s="95">
        <f t="shared" si="21"/>
        <v>1.02662080089084</v>
      </c>
      <c r="J236" s="95">
        <f t="shared" si="22"/>
        <v>1.0830421177395473</v>
      </c>
      <c r="K236" s="95">
        <f t="shared" si="23"/>
        <v>8.3693397989357664E-4</v>
      </c>
      <c r="L236" s="95">
        <f t="shared" si="24"/>
        <v>0.98789352241555173</v>
      </c>
      <c r="M236" s="95"/>
      <c r="N236" s="98">
        <v>11.618</v>
      </c>
      <c r="O236" s="104">
        <v>25.8</v>
      </c>
      <c r="P236" s="102">
        <f t="shared" si="25"/>
        <v>64.2</v>
      </c>
      <c r="Z236" s="95">
        <v>5.43</v>
      </c>
      <c r="AA236" s="95">
        <v>175.28800000000001</v>
      </c>
      <c r="AB236" s="95">
        <v>165.387</v>
      </c>
      <c r="AC236" s="95">
        <v>1434.41</v>
      </c>
      <c r="AD236" s="95">
        <v>1412.74</v>
      </c>
      <c r="AE236" s="95">
        <v>221.85499999999999</v>
      </c>
      <c r="AF236" s="95">
        <v>216.18</v>
      </c>
      <c r="AG236" s="95">
        <v>0.31597999999999998</v>
      </c>
      <c r="AH236" s="95">
        <v>6.8559999999999996E-2</v>
      </c>
      <c r="AI236" s="95">
        <v>0.26156000000000001</v>
      </c>
      <c r="AJ236" s="95">
        <v>0</v>
      </c>
      <c r="AK236" s="95">
        <v>0.29409999999999997</v>
      </c>
      <c r="AL236" s="95">
        <v>4.99</v>
      </c>
      <c r="AM236" s="95">
        <v>1.48959</v>
      </c>
      <c r="AN236" s="95">
        <v>21.53</v>
      </c>
      <c r="AO236" s="95">
        <v>0</v>
      </c>
      <c r="AP236" s="95">
        <v>533.072</v>
      </c>
      <c r="AQ236" s="95">
        <v>495.87900000000002</v>
      </c>
      <c r="AR236" s="95">
        <v>495.87900000000002</v>
      </c>
      <c r="AS236" s="95">
        <v>0</v>
      </c>
      <c r="AT236" s="95">
        <v>195.62700000000001</v>
      </c>
      <c r="AU236" s="95">
        <v>10.791</v>
      </c>
      <c r="AV236" s="95">
        <v>10.827999999999999</v>
      </c>
      <c r="AW236" s="95">
        <v>10.865</v>
      </c>
      <c r="AX236" s="95">
        <v>7.2999999999999995E-2</v>
      </c>
      <c r="AY236" s="95">
        <f t="shared" si="26"/>
        <v>0.98654870045813225</v>
      </c>
      <c r="AZ236" s="95">
        <f t="shared" si="27"/>
        <v>20.264508670520232</v>
      </c>
    </row>
    <row r="237" spans="1:52" s="96" customFormat="1" ht="18" customHeight="1" x14ac:dyDescent="0.2">
      <c r="A237" s="97"/>
      <c r="B237" s="97">
        <v>2</v>
      </c>
      <c r="C237" s="95">
        <v>174.90213499999999</v>
      </c>
      <c r="D237" s="95">
        <v>172.88063</v>
      </c>
      <c r="E237" s="95">
        <v>1437.19649</v>
      </c>
      <c r="F237" s="95">
        <v>1437.19649</v>
      </c>
      <c r="G237" s="95">
        <v>0.47399999999999998</v>
      </c>
      <c r="H237" s="95">
        <v>0.29899999999999999</v>
      </c>
      <c r="I237" s="95">
        <f t="shared" si="21"/>
        <v>1.0265797487759365</v>
      </c>
      <c r="J237" s="95">
        <f t="shared" si="22"/>
        <v>1.0834918531882376</v>
      </c>
      <c r="K237" s="95">
        <f t="shared" si="23"/>
        <v>7.9887714218955085E-4</v>
      </c>
      <c r="L237" s="95">
        <f t="shared" si="24"/>
        <v>0.98844207933768224</v>
      </c>
      <c r="M237" s="95"/>
      <c r="N237" s="98">
        <v>11.58</v>
      </c>
      <c r="O237" s="104">
        <v>23.3</v>
      </c>
      <c r="P237" s="102">
        <f t="shared" si="25"/>
        <v>66.7</v>
      </c>
      <c r="Z237" s="95">
        <v>5.43</v>
      </c>
      <c r="AA237" s="95">
        <v>175.35900000000001</v>
      </c>
      <c r="AB237" s="95">
        <v>165.40199999999999</v>
      </c>
      <c r="AC237" s="95">
        <v>1407.24</v>
      </c>
      <c r="AD237" s="95">
        <v>1385.79</v>
      </c>
      <c r="AE237" s="95">
        <v>214.74199999999999</v>
      </c>
      <c r="AF237" s="95">
        <v>209.14500000000001</v>
      </c>
      <c r="AG237" s="95">
        <v>0.32214999999999999</v>
      </c>
      <c r="AH237" s="95">
        <v>6.8559999999999996E-2</v>
      </c>
      <c r="AI237" s="95">
        <v>0.26073000000000002</v>
      </c>
      <c r="AJ237" s="95">
        <v>0</v>
      </c>
      <c r="AK237" s="95">
        <v>0.29470000000000002</v>
      </c>
      <c r="AL237" s="95">
        <v>4.8339999999999996</v>
      </c>
      <c r="AM237" s="95">
        <v>1.4845600000000001</v>
      </c>
      <c r="AN237" s="95">
        <v>18.47</v>
      </c>
      <c r="AO237" s="95">
        <v>0</v>
      </c>
      <c r="AP237" s="95">
        <v>529.40700000000004</v>
      </c>
      <c r="AQ237" s="95">
        <v>502.14400000000001</v>
      </c>
      <c r="AR237" s="95">
        <v>502.14400000000001</v>
      </c>
      <c r="AS237" s="95">
        <v>0</v>
      </c>
      <c r="AT237" s="95">
        <v>167.69800000000001</v>
      </c>
      <c r="AU237" s="95">
        <v>10.865</v>
      </c>
      <c r="AV237" s="95">
        <v>10.9</v>
      </c>
      <c r="AW237" s="95">
        <v>10.935</v>
      </c>
      <c r="AX237" s="95">
        <v>7.0999999999999994E-2</v>
      </c>
      <c r="AY237" s="95">
        <f t="shared" si="26"/>
        <v>0.98811616742173247</v>
      </c>
      <c r="AZ237" s="95">
        <f t="shared" si="27"/>
        <v>20.272716763005782</v>
      </c>
    </row>
    <row r="238" spans="1:52" s="96" customFormat="1" ht="18" customHeight="1" x14ac:dyDescent="0.2">
      <c r="A238" s="97"/>
      <c r="B238" s="97">
        <v>3</v>
      </c>
      <c r="C238" s="95">
        <v>175.109735</v>
      </c>
      <c r="D238" s="95">
        <v>173.27680000000001</v>
      </c>
      <c r="E238" s="95">
        <v>1405.5826599999998</v>
      </c>
      <c r="F238" s="95">
        <v>1405.5826599999998</v>
      </c>
      <c r="G238" s="95">
        <v>0.47599999999999998</v>
      </c>
      <c r="H238" s="95">
        <v>0.30499999999999999</v>
      </c>
      <c r="I238" s="95">
        <f t="shared" si="21"/>
        <v>1.0262223334855023</v>
      </c>
      <c r="J238" s="95">
        <f t="shared" si="22"/>
        <v>1.0833661075405565</v>
      </c>
      <c r="K238" s="95">
        <f t="shared" si="23"/>
        <v>7.2325998766736236E-4</v>
      </c>
      <c r="L238" s="95">
        <f t="shared" si="24"/>
        <v>0.98953264934128304</v>
      </c>
      <c r="M238" s="95"/>
      <c r="N238" s="98">
        <v>11.51</v>
      </c>
      <c r="O238" s="104">
        <v>19.61</v>
      </c>
      <c r="P238" s="102">
        <f t="shared" si="25"/>
        <v>70.39</v>
      </c>
      <c r="Z238" s="95">
        <v>5.43</v>
      </c>
      <c r="AA238" s="95">
        <v>175.33099999999999</v>
      </c>
      <c r="AB238" s="95">
        <v>165.41300000000001</v>
      </c>
      <c r="AC238" s="95">
        <v>1386.99</v>
      </c>
      <c r="AD238" s="95">
        <v>1365.9</v>
      </c>
      <c r="AE238" s="95">
        <v>209.45699999999999</v>
      </c>
      <c r="AF238" s="95">
        <v>203.96199999999999</v>
      </c>
      <c r="AG238" s="95">
        <v>0.32686999999999999</v>
      </c>
      <c r="AH238" s="95">
        <v>6.8559999999999996E-2</v>
      </c>
      <c r="AI238" s="95">
        <v>0.26011000000000001</v>
      </c>
      <c r="AJ238" s="95">
        <v>0</v>
      </c>
      <c r="AK238" s="95">
        <v>0.29399999999999998</v>
      </c>
      <c r="AL238" s="95">
        <v>4.7560000000000002</v>
      </c>
      <c r="AM238" s="95">
        <v>1.48078</v>
      </c>
      <c r="AN238" s="95">
        <v>16.5</v>
      </c>
      <c r="AO238" s="95">
        <v>0</v>
      </c>
      <c r="AP238" s="95">
        <v>524.57799999999997</v>
      </c>
      <c r="AQ238" s="95">
        <v>502.98099999999999</v>
      </c>
      <c r="AR238" s="95">
        <v>502.98099999999999</v>
      </c>
      <c r="AS238" s="95">
        <v>0</v>
      </c>
      <c r="AT238" s="95">
        <v>148.97300000000001</v>
      </c>
      <c r="AU238" s="95">
        <v>10.935</v>
      </c>
      <c r="AV238" s="95">
        <v>10.97</v>
      </c>
      <c r="AW238" s="95">
        <v>11.004</v>
      </c>
      <c r="AX238" s="95">
        <v>6.9000000000000006E-2</v>
      </c>
      <c r="AY238" s="95">
        <f t="shared" si="26"/>
        <v>0.98943584476560775</v>
      </c>
      <c r="AZ238" s="95">
        <f t="shared" si="27"/>
        <v>20.269479768786127</v>
      </c>
    </row>
    <row r="239" spans="1:52" s="96" customFormat="1" ht="18" customHeight="1" x14ac:dyDescent="0.2">
      <c r="A239" s="97"/>
      <c r="B239" s="97">
        <v>4</v>
      </c>
      <c r="C239" s="95">
        <v>175.38740000000001</v>
      </c>
      <c r="D239" s="95">
        <v>173.77417500000001</v>
      </c>
      <c r="E239" s="95">
        <v>1382.46128</v>
      </c>
      <c r="F239" s="95">
        <v>1382.46128</v>
      </c>
      <c r="G239" s="95">
        <v>0.48199999999999998</v>
      </c>
      <c r="H239" s="95">
        <v>0.313</v>
      </c>
      <c r="I239" s="95">
        <f t="shared" si="21"/>
        <v>1.0263546129841119</v>
      </c>
      <c r="J239" s="95">
        <f t="shared" si="22"/>
        <v>1.0852452170295419</v>
      </c>
      <c r="K239" s="95">
        <f t="shared" si="23"/>
        <v>6.3539619167540546E-4</v>
      </c>
      <c r="L239" s="95">
        <f t="shared" si="24"/>
        <v>0.99080193332018152</v>
      </c>
      <c r="M239" s="95"/>
      <c r="N239" s="98">
        <v>11.420999999999999</v>
      </c>
      <c r="O239" s="104">
        <v>16.37</v>
      </c>
      <c r="P239" s="102">
        <f t="shared" si="25"/>
        <v>73.63</v>
      </c>
      <c r="Z239" s="95">
        <v>5.43</v>
      </c>
      <c r="AA239" s="95">
        <v>175.24700000000001</v>
      </c>
      <c r="AB239" s="95">
        <v>165.422</v>
      </c>
      <c r="AC239" s="95">
        <v>1378.71</v>
      </c>
      <c r="AD239" s="95">
        <v>1357.91</v>
      </c>
      <c r="AE239" s="95">
        <v>207.29900000000001</v>
      </c>
      <c r="AF239" s="95">
        <v>201.886</v>
      </c>
      <c r="AG239" s="95">
        <v>0.32880999999999999</v>
      </c>
      <c r="AH239" s="95">
        <v>6.8559999999999996E-2</v>
      </c>
      <c r="AI239" s="95">
        <v>0.25985999999999998</v>
      </c>
      <c r="AJ239" s="95">
        <v>0</v>
      </c>
      <c r="AK239" s="95">
        <v>0.29260000000000003</v>
      </c>
      <c r="AL239" s="95">
        <v>4.7320000000000002</v>
      </c>
      <c r="AM239" s="95">
        <v>1.47926</v>
      </c>
      <c r="AN239" s="95">
        <v>15.14</v>
      </c>
      <c r="AO239" s="95">
        <v>0</v>
      </c>
      <c r="AP239" s="95">
        <v>520.63699999999994</v>
      </c>
      <c r="AQ239" s="95">
        <v>502.56599999999997</v>
      </c>
      <c r="AR239" s="95">
        <v>502.56599999999997</v>
      </c>
      <c r="AS239" s="95">
        <v>0</v>
      </c>
      <c r="AT239" s="95">
        <v>135.98099999999999</v>
      </c>
      <c r="AU239" s="95">
        <v>11.004</v>
      </c>
      <c r="AV239" s="95">
        <v>11.038</v>
      </c>
      <c r="AW239" s="95">
        <v>11.071999999999999</v>
      </c>
      <c r="AX239" s="95">
        <v>6.8000000000000005E-2</v>
      </c>
      <c r="AY239" s="95">
        <f t="shared" si="26"/>
        <v>0.99059414055655115</v>
      </c>
      <c r="AZ239" s="95">
        <f t="shared" si="27"/>
        <v>20.259768786127168</v>
      </c>
    </row>
    <row r="240" spans="1:52" s="96" customFormat="1" ht="18" customHeight="1" x14ac:dyDescent="0.2">
      <c r="A240" s="97"/>
      <c r="B240" s="97">
        <v>5</v>
      </c>
      <c r="C240" s="95">
        <v>175.665065</v>
      </c>
      <c r="D240" s="95">
        <v>174.640905</v>
      </c>
      <c r="E240" s="95">
        <v>1371.5580699999998</v>
      </c>
      <c r="F240" s="95">
        <v>1371.5580699999998</v>
      </c>
      <c r="G240" s="95">
        <v>0.48599999999999999</v>
      </c>
      <c r="H240" s="95">
        <v>0.32</v>
      </c>
      <c r="I240" s="95">
        <f t="shared" si="21"/>
        <v>1.0262221699592347</v>
      </c>
      <c r="J240" s="95">
        <f t="shared" si="22"/>
        <v>1.0884423891132962</v>
      </c>
      <c r="K240" s="101">
        <f t="shared" si="23"/>
        <v>4.0277016105909249E-4</v>
      </c>
      <c r="L240" s="95">
        <f t="shared" si="24"/>
        <v>0.99416981401509741</v>
      </c>
      <c r="M240" s="95"/>
      <c r="N240" s="98">
        <v>11.343999999999999</v>
      </c>
      <c r="O240" s="104">
        <v>14.36</v>
      </c>
      <c r="P240" s="102">
        <f t="shared" si="25"/>
        <v>75.64</v>
      </c>
      <c r="Z240" s="95">
        <v>5.43</v>
      </c>
      <c r="AA240" s="95">
        <v>175.11799999999999</v>
      </c>
      <c r="AB240" s="95">
        <v>165.429</v>
      </c>
      <c r="AC240" s="95">
        <v>1373.93</v>
      </c>
      <c r="AD240" s="95">
        <v>1353.46</v>
      </c>
      <c r="AE240" s="95">
        <v>206.054</v>
      </c>
      <c r="AF240" s="95">
        <v>200.732</v>
      </c>
      <c r="AG240" s="95">
        <v>0.32990000000000003</v>
      </c>
      <c r="AH240" s="95">
        <v>6.8559999999999996E-2</v>
      </c>
      <c r="AI240" s="95">
        <v>0.25972000000000001</v>
      </c>
      <c r="AJ240" s="95">
        <v>0</v>
      </c>
      <c r="AK240" s="95">
        <v>0.29060000000000002</v>
      </c>
      <c r="AL240" s="95">
        <v>4.7350000000000003</v>
      </c>
      <c r="AM240" s="95">
        <v>1.4783999999999999</v>
      </c>
      <c r="AN240" s="95">
        <v>14.16</v>
      </c>
      <c r="AO240" s="95">
        <v>0</v>
      </c>
      <c r="AP240" s="95">
        <v>516.21</v>
      </c>
      <c r="AQ240" s="95">
        <v>500.52100000000002</v>
      </c>
      <c r="AR240" s="95">
        <v>500.52100000000002</v>
      </c>
      <c r="AS240" s="95">
        <v>0</v>
      </c>
      <c r="AT240" s="95">
        <v>126.29900000000001</v>
      </c>
      <c r="AU240" s="95">
        <v>11.071999999999999</v>
      </c>
      <c r="AV240" s="95">
        <v>11.106</v>
      </c>
      <c r="AW240" s="95">
        <v>11.14</v>
      </c>
      <c r="AX240" s="95">
        <v>6.8000000000000005E-2</v>
      </c>
      <c r="AY240" s="95">
        <f t="shared" si="26"/>
        <v>0.99152393624550572</v>
      </c>
      <c r="AZ240" s="95">
        <f t="shared" si="27"/>
        <v>20.244855491329478</v>
      </c>
    </row>
    <row r="241" spans="1:52" s="96" customFormat="1" ht="18" customHeight="1" x14ac:dyDescent="0.2">
      <c r="A241" s="97"/>
      <c r="B241" s="97">
        <v>6</v>
      </c>
      <c r="C241" s="95">
        <v>175.94273000000001</v>
      </c>
      <c r="D241" s="95">
        <v>174.56478500000003</v>
      </c>
      <c r="E241" s="95">
        <v>1367.0652899999998</v>
      </c>
      <c r="F241" s="95">
        <v>1367.0652899999998</v>
      </c>
      <c r="G241" s="95">
        <v>0.49</v>
      </c>
      <c r="H241" s="95">
        <v>0.32500000000000001</v>
      </c>
      <c r="I241" s="95">
        <f t="shared" si="21"/>
        <v>1.0263385971355121</v>
      </c>
      <c r="J241" s="95">
        <f t="shared" si="22"/>
        <v>1.0866823842632398</v>
      </c>
      <c r="K241" s="95">
        <f t="shared" si="23"/>
        <v>5.409318033345956E-4</v>
      </c>
      <c r="L241" s="95">
        <f t="shared" si="24"/>
        <v>0.9921682186015871</v>
      </c>
      <c r="M241" s="95"/>
      <c r="N241" s="98">
        <v>11.25</v>
      </c>
      <c r="O241" s="104">
        <v>13.46</v>
      </c>
      <c r="P241" s="102">
        <f t="shared" si="25"/>
        <v>76.539999999999992</v>
      </c>
      <c r="Z241" s="95">
        <v>5.43</v>
      </c>
      <c r="AA241" s="95">
        <v>175.054</v>
      </c>
      <c r="AB241" s="95">
        <v>165.43600000000001</v>
      </c>
      <c r="AC241" s="95">
        <v>1372.49</v>
      </c>
      <c r="AD241" s="95">
        <v>1352.17</v>
      </c>
      <c r="AE241" s="95">
        <v>205.67599999999999</v>
      </c>
      <c r="AF241" s="95">
        <v>200.39699999999999</v>
      </c>
      <c r="AG241" s="95">
        <v>0.33023000000000002</v>
      </c>
      <c r="AH241" s="95">
        <v>6.8559999999999996E-2</v>
      </c>
      <c r="AI241" s="95">
        <v>0.25968000000000002</v>
      </c>
      <c r="AJ241" s="95">
        <v>0</v>
      </c>
      <c r="AK241" s="95">
        <v>0.28949999999999998</v>
      </c>
      <c r="AL241" s="95">
        <v>4.7380000000000004</v>
      </c>
      <c r="AM241" s="95">
        <v>1.4781500000000001</v>
      </c>
      <c r="AN241" s="95">
        <v>13.56</v>
      </c>
      <c r="AO241" s="95">
        <v>0</v>
      </c>
      <c r="AP241" s="95">
        <v>514.12400000000002</v>
      </c>
      <c r="AQ241" s="95">
        <v>499.78399999999999</v>
      </c>
      <c r="AR241" s="95">
        <v>499.78399999999999</v>
      </c>
      <c r="AS241" s="95">
        <v>0</v>
      </c>
      <c r="AT241" s="95">
        <v>120.581</v>
      </c>
      <c r="AU241" s="95">
        <v>11.14</v>
      </c>
      <c r="AV241" s="95">
        <v>11.173999999999999</v>
      </c>
      <c r="AW241" s="95">
        <v>11.208</v>
      </c>
      <c r="AX241" s="95">
        <v>6.7000000000000004E-2</v>
      </c>
      <c r="AY241" s="95">
        <f t="shared" si="26"/>
        <v>0.99201532332556974</v>
      </c>
      <c r="AZ241" s="95">
        <f t="shared" si="27"/>
        <v>20.237456647398844</v>
      </c>
    </row>
    <row r="242" spans="1:52" s="96" customFormat="1" ht="18" customHeight="1" x14ac:dyDescent="0.2">
      <c r="A242" s="97"/>
      <c r="B242" s="97">
        <v>7</v>
      </c>
      <c r="C242" s="95">
        <v>176.220395</v>
      </c>
      <c r="D242" s="95">
        <v>174.83812499999999</v>
      </c>
      <c r="E242" s="95">
        <v>1366.6817599999999</v>
      </c>
      <c r="F242" s="95">
        <v>1366.6817599999999</v>
      </c>
      <c r="G242" s="95">
        <v>0.49399999999999999</v>
      </c>
      <c r="H242" s="95">
        <v>0.32900000000000001</v>
      </c>
      <c r="I242" s="95">
        <f t="shared" si="21"/>
        <v>1.0265835147558622</v>
      </c>
      <c r="J242" s="95">
        <f t="shared" si="22"/>
        <v>1.0875768901876304</v>
      </c>
      <c r="K242" s="95">
        <f t="shared" si="23"/>
        <v>5.4179281119013777E-4</v>
      </c>
      <c r="L242" s="95">
        <f t="shared" si="24"/>
        <v>0.99215601576650647</v>
      </c>
      <c r="M242" s="95"/>
      <c r="N242" s="98">
        <v>11.166</v>
      </c>
      <c r="O242" s="104">
        <v>13.41</v>
      </c>
      <c r="P242" s="102">
        <f t="shared" si="25"/>
        <v>76.59</v>
      </c>
      <c r="Z242" s="95">
        <v>5.43</v>
      </c>
      <c r="AA242" s="95">
        <v>174.69</v>
      </c>
      <c r="AB242" s="95">
        <v>165.44200000000001</v>
      </c>
      <c r="AC242" s="95">
        <v>1373.86</v>
      </c>
      <c r="AD242" s="95">
        <v>1354.29</v>
      </c>
      <c r="AE242" s="95">
        <v>206.03399999999999</v>
      </c>
      <c r="AF242" s="95">
        <v>200.946</v>
      </c>
      <c r="AG242" s="95">
        <v>0.32973000000000002</v>
      </c>
      <c r="AH242" s="95">
        <v>6.8559999999999996E-2</v>
      </c>
      <c r="AI242" s="95">
        <v>0.25974000000000003</v>
      </c>
      <c r="AJ242" s="95">
        <v>0</v>
      </c>
      <c r="AK242" s="95">
        <v>0.28399999999999997</v>
      </c>
      <c r="AL242" s="95">
        <v>4.8310000000000004</v>
      </c>
      <c r="AM242" s="95">
        <v>1.47855</v>
      </c>
      <c r="AN242" s="95">
        <v>13.44</v>
      </c>
      <c r="AO242" s="95">
        <v>0</v>
      </c>
      <c r="AP242" s="95">
        <v>504.72199999999998</v>
      </c>
      <c r="AQ242" s="95">
        <v>490.90499999999997</v>
      </c>
      <c r="AR242" s="95">
        <v>490.90499999999997</v>
      </c>
      <c r="AS242" s="95">
        <v>0</v>
      </c>
      <c r="AT242" s="95">
        <v>117.288</v>
      </c>
      <c r="AU242" s="95">
        <v>11.208</v>
      </c>
      <c r="AV242" s="95">
        <v>11.242000000000001</v>
      </c>
      <c r="AW242" s="95">
        <v>11.276</v>
      </c>
      <c r="AX242" s="95">
        <v>6.8000000000000005E-2</v>
      </c>
      <c r="AY242" s="95">
        <f t="shared" si="26"/>
        <v>0.99216220821264267</v>
      </c>
      <c r="AZ242" s="95">
        <f t="shared" si="27"/>
        <v>20.19537572254335</v>
      </c>
    </row>
    <row r="243" spans="1:52" s="96" customFormat="1" ht="18" customHeight="1" x14ac:dyDescent="0.2">
      <c r="A243" s="97"/>
      <c r="B243" s="97">
        <v>8</v>
      </c>
      <c r="C243" s="95">
        <v>176.497195</v>
      </c>
      <c r="D243" s="95">
        <v>174.98950000000002</v>
      </c>
      <c r="E243" s="95">
        <v>1371.99639</v>
      </c>
      <c r="F243" s="95">
        <v>1371.99639</v>
      </c>
      <c r="G243" s="95">
        <v>0.498</v>
      </c>
      <c r="H243" s="95">
        <v>0.33</v>
      </c>
      <c r="I243" s="95">
        <f t="shared" si="21"/>
        <v>1.0272277789739475</v>
      </c>
      <c r="J243" s="95">
        <f t="shared" si="22"/>
        <v>1.0892004856150836</v>
      </c>
      <c r="K243" s="95">
        <f t="shared" si="23"/>
        <v>5.9010603426819762E-4</v>
      </c>
      <c r="L243" s="95">
        <f t="shared" si="24"/>
        <v>0.99145768293938052</v>
      </c>
      <c r="M243" s="95"/>
      <c r="N243" s="98">
        <v>11.082000000000001</v>
      </c>
      <c r="O243" s="104">
        <v>14.22</v>
      </c>
      <c r="P243" s="102">
        <f t="shared" si="25"/>
        <v>75.78</v>
      </c>
      <c r="Z243" s="95">
        <v>5.43</v>
      </c>
      <c r="AA243" s="95">
        <v>174.51400000000001</v>
      </c>
      <c r="AB243" s="95">
        <v>165.44800000000001</v>
      </c>
      <c r="AC243" s="95">
        <v>1378.45</v>
      </c>
      <c r="AD243" s="95">
        <v>1359.21</v>
      </c>
      <c r="AE243" s="95">
        <v>207.23</v>
      </c>
      <c r="AF243" s="95">
        <v>202.22300000000001</v>
      </c>
      <c r="AG243" s="95">
        <v>0.32855000000000001</v>
      </c>
      <c r="AH243" s="95">
        <v>6.8559999999999996E-2</v>
      </c>
      <c r="AI243" s="95">
        <v>0.25990000000000002</v>
      </c>
      <c r="AJ243" s="95">
        <v>0</v>
      </c>
      <c r="AK243" s="95">
        <v>0.28129999999999999</v>
      </c>
      <c r="AL243" s="95">
        <v>4.8920000000000003</v>
      </c>
      <c r="AM243" s="95">
        <v>1.47949</v>
      </c>
      <c r="AN243" s="95">
        <v>13.7</v>
      </c>
      <c r="AO243" s="95">
        <v>0</v>
      </c>
      <c r="AP243" s="95">
        <v>500.71499999999997</v>
      </c>
      <c r="AQ243" s="95">
        <v>486.47899999999998</v>
      </c>
      <c r="AR243" s="95">
        <v>486.47899999999998</v>
      </c>
      <c r="AS243" s="95">
        <v>0</v>
      </c>
      <c r="AT243" s="95">
        <v>118.55</v>
      </c>
      <c r="AU243" s="95">
        <v>11.276</v>
      </c>
      <c r="AV243" s="95">
        <v>11.311</v>
      </c>
      <c r="AW243" s="95">
        <v>11.345000000000001</v>
      </c>
      <c r="AX243" s="95">
        <v>6.9000000000000006E-2</v>
      </c>
      <c r="AY243" s="95">
        <f t="shared" si="26"/>
        <v>0.9926961626412133</v>
      </c>
      <c r="AZ243" s="95">
        <f t="shared" si="27"/>
        <v>20.175028901734105</v>
      </c>
    </row>
    <row r="244" spans="1:52" s="96" customFormat="1" ht="18" customHeight="1" x14ac:dyDescent="0.2">
      <c r="A244" s="97"/>
      <c r="B244" s="97">
        <v>9</v>
      </c>
      <c r="C244" s="95">
        <v>176.77485999999999</v>
      </c>
      <c r="D244" s="95">
        <v>175.03534500000001</v>
      </c>
      <c r="E244" s="95">
        <v>1382.3516999999999</v>
      </c>
      <c r="F244" s="95">
        <v>1382.3516999999999</v>
      </c>
      <c r="G244" s="95">
        <v>0.503</v>
      </c>
      <c r="H244" s="95">
        <v>0.33100000000000002</v>
      </c>
      <c r="I244" s="95">
        <f t="shared" si="21"/>
        <v>1.0280744275290967</v>
      </c>
      <c r="J244" s="95">
        <f t="shared" si="22"/>
        <v>1.0909157225757851</v>
      </c>
      <c r="K244" s="95">
        <f t="shared" si="23"/>
        <v>6.7996892703072343E-4</v>
      </c>
      <c r="L244" s="95">
        <f t="shared" si="24"/>
        <v>0.9901597150183008</v>
      </c>
      <c r="M244" s="95"/>
      <c r="N244" s="98">
        <v>10.997</v>
      </c>
      <c r="O244" s="104">
        <v>15.59</v>
      </c>
      <c r="P244" s="102">
        <f t="shared" si="25"/>
        <v>74.41</v>
      </c>
      <c r="Z244" s="95">
        <v>5.43</v>
      </c>
      <c r="AA244" s="95">
        <v>174.58099999999999</v>
      </c>
      <c r="AB244" s="95">
        <v>165.45500000000001</v>
      </c>
      <c r="AC244" s="95">
        <v>1386.09</v>
      </c>
      <c r="AD244" s="95">
        <v>1366.65</v>
      </c>
      <c r="AE244" s="95">
        <v>209.22300000000001</v>
      </c>
      <c r="AF244" s="95">
        <v>204.15600000000001</v>
      </c>
      <c r="AG244" s="95">
        <v>0.32677</v>
      </c>
      <c r="AH244" s="95">
        <v>6.8559999999999996E-2</v>
      </c>
      <c r="AI244" s="95">
        <v>0.26012999999999997</v>
      </c>
      <c r="AJ244" s="95">
        <v>0</v>
      </c>
      <c r="AK244" s="95">
        <v>0.28220000000000001</v>
      </c>
      <c r="AL244" s="95">
        <v>4.9029999999999996</v>
      </c>
      <c r="AM244" s="95">
        <v>1.4809099999999999</v>
      </c>
      <c r="AN244" s="95">
        <v>14.31</v>
      </c>
      <c r="AO244" s="95">
        <v>0</v>
      </c>
      <c r="AP244" s="95">
        <v>503.714</v>
      </c>
      <c r="AQ244" s="95">
        <v>488.07600000000002</v>
      </c>
      <c r="AR244" s="95">
        <v>488.07600000000002</v>
      </c>
      <c r="AS244" s="95">
        <v>0</v>
      </c>
      <c r="AT244" s="95">
        <v>124.539</v>
      </c>
      <c r="AU244" s="95">
        <v>11.345000000000001</v>
      </c>
      <c r="AV244" s="95">
        <v>11.379</v>
      </c>
      <c r="AW244" s="95">
        <v>11.414</v>
      </c>
      <c r="AX244" s="95">
        <v>6.9000000000000006E-2</v>
      </c>
      <c r="AY244" s="95">
        <f t="shared" si="26"/>
        <v>0.9940441959379821</v>
      </c>
      <c r="AZ244" s="95">
        <f t="shared" si="27"/>
        <v>20.182774566473988</v>
      </c>
    </row>
    <row r="245" spans="1:52" s="96" customFormat="1" ht="18" customHeight="1" x14ac:dyDescent="0.2">
      <c r="A245" s="97"/>
      <c r="B245" s="97">
        <v>10</v>
      </c>
      <c r="C245" s="95">
        <v>177.052525</v>
      </c>
      <c r="D245" s="95">
        <v>175.00593499999999</v>
      </c>
      <c r="E245" s="95">
        <v>1403.6650099999999</v>
      </c>
      <c r="F245" s="95">
        <v>1403.6650099999999</v>
      </c>
      <c r="G245" s="95">
        <v>0.50900000000000001</v>
      </c>
      <c r="H245" s="95">
        <v>0.33</v>
      </c>
      <c r="I245" s="95">
        <f t="shared" si="21"/>
        <v>1.0293959560766506</v>
      </c>
      <c r="J245" s="95">
        <f t="shared" si="22"/>
        <v>1.093929300318544</v>
      </c>
      <c r="K245" s="95">
        <f t="shared" si="23"/>
        <v>7.9917307571447486E-4</v>
      </c>
      <c r="L245" s="95">
        <f t="shared" si="24"/>
        <v>0.98844077484915838</v>
      </c>
      <c r="M245" s="95"/>
      <c r="N245" s="98">
        <v>10.91</v>
      </c>
      <c r="O245" s="104">
        <v>17.7</v>
      </c>
      <c r="P245" s="102">
        <f t="shared" si="25"/>
        <v>72.3</v>
      </c>
      <c r="Z245" s="95">
        <v>5.43</v>
      </c>
      <c r="AA245" s="95">
        <v>174.136</v>
      </c>
      <c r="AB245" s="95">
        <v>165.46199999999999</v>
      </c>
      <c r="AC245" s="95">
        <v>1398.99</v>
      </c>
      <c r="AD245" s="95">
        <v>1380.32</v>
      </c>
      <c r="AE245" s="95">
        <v>212.58699999999999</v>
      </c>
      <c r="AF245" s="95">
        <v>207.71799999999999</v>
      </c>
      <c r="AG245" s="95">
        <v>0.32355</v>
      </c>
      <c r="AH245" s="95">
        <v>6.8559999999999996E-2</v>
      </c>
      <c r="AI245" s="95">
        <v>0.26056000000000001</v>
      </c>
      <c r="AJ245" s="95">
        <v>0</v>
      </c>
      <c r="AK245" s="95">
        <v>0.27529999999999999</v>
      </c>
      <c r="AL245" s="95">
        <v>5.0919999999999996</v>
      </c>
      <c r="AM245" s="95">
        <v>1.4835</v>
      </c>
      <c r="AN245" s="95">
        <v>16.010000000000002</v>
      </c>
      <c r="AO245" s="95">
        <v>0</v>
      </c>
      <c r="AP245" s="95">
        <v>493.73200000000003</v>
      </c>
      <c r="AQ245" s="95">
        <v>474.59100000000001</v>
      </c>
      <c r="AR245" s="95">
        <v>474.59100000000001</v>
      </c>
      <c r="AS245" s="95">
        <v>0</v>
      </c>
      <c r="AT245" s="95">
        <v>136.143</v>
      </c>
      <c r="AU245" s="95">
        <v>11.414</v>
      </c>
      <c r="AV245" s="95">
        <v>11.449</v>
      </c>
      <c r="AW245" s="95">
        <v>11.484</v>
      </c>
      <c r="AX245" s="95">
        <v>7.0999999999999994E-2</v>
      </c>
      <c r="AY245" s="95">
        <f t="shared" si="26"/>
        <v>0.99142574099588932</v>
      </c>
      <c r="AZ245" s="95">
        <f t="shared" si="27"/>
        <v>20.131329479768784</v>
      </c>
    </row>
    <row r="246" spans="1:52" s="96" customFormat="1" ht="18" customHeight="1" x14ac:dyDescent="0.2">
      <c r="A246" s="97"/>
      <c r="B246" s="97">
        <v>11</v>
      </c>
      <c r="C246" s="95">
        <v>177.33018999999999</v>
      </c>
      <c r="D246" s="95">
        <v>174.84764000000001</v>
      </c>
      <c r="E246" s="95">
        <v>1439.2785099999999</v>
      </c>
      <c r="F246" s="95">
        <v>1438.9497699999999</v>
      </c>
      <c r="G246" s="95">
        <v>0.51500000000000001</v>
      </c>
      <c r="H246" s="95">
        <v>0.32700000000000001</v>
      </c>
      <c r="I246" s="95">
        <f t="shared" si="21"/>
        <v>1.0307608330682172</v>
      </c>
      <c r="J246" s="95">
        <f t="shared" si="22"/>
        <v>1.0971777625249184</v>
      </c>
      <c r="K246" s="95">
        <f t="shared" si="23"/>
        <v>9.1391847531606223E-4</v>
      </c>
      <c r="L246" s="95">
        <f t="shared" si="24"/>
        <v>0.98600040974410519</v>
      </c>
      <c r="M246" s="95"/>
      <c r="N246" s="98">
        <v>10.819000000000001</v>
      </c>
      <c r="O246" s="104">
        <v>21.18</v>
      </c>
      <c r="P246" s="102">
        <f t="shared" si="25"/>
        <v>68.819999999999993</v>
      </c>
      <c r="Z246" s="95">
        <v>5.43</v>
      </c>
      <c r="AA246" s="95">
        <v>173.88</v>
      </c>
      <c r="AB246" s="95">
        <v>165.471</v>
      </c>
      <c r="AC246" s="95">
        <v>1420.94</v>
      </c>
      <c r="AD246" s="95">
        <v>1402.61</v>
      </c>
      <c r="AE246" s="95">
        <v>218.328</v>
      </c>
      <c r="AF246" s="95">
        <v>213.53</v>
      </c>
      <c r="AG246" s="95">
        <v>0.31841999999999998</v>
      </c>
      <c r="AH246" s="95">
        <v>6.8559999999999996E-2</v>
      </c>
      <c r="AI246" s="95">
        <v>0.26124999999999998</v>
      </c>
      <c r="AJ246" s="95">
        <v>0</v>
      </c>
      <c r="AK246" s="95">
        <v>0.27129999999999999</v>
      </c>
      <c r="AL246" s="95">
        <v>5.2839999999999998</v>
      </c>
      <c r="AM246" s="95">
        <v>1.48767</v>
      </c>
      <c r="AN246" s="95">
        <v>18.54</v>
      </c>
      <c r="AO246" s="95">
        <v>0</v>
      </c>
      <c r="AP246" s="95">
        <v>490.15</v>
      </c>
      <c r="AQ246" s="95">
        <v>464.7</v>
      </c>
      <c r="AR246" s="95">
        <v>464.7</v>
      </c>
      <c r="AS246" s="95">
        <v>0</v>
      </c>
      <c r="AT246" s="95">
        <v>155.88999999999999</v>
      </c>
      <c r="AU246" s="95">
        <v>11.484</v>
      </c>
      <c r="AV246" s="95">
        <v>11.521000000000001</v>
      </c>
      <c r="AW246" s="95">
        <v>11.557</v>
      </c>
      <c r="AX246" s="95">
        <v>7.2999999999999995E-2</v>
      </c>
      <c r="AY246" s="95">
        <f t="shared" si="26"/>
        <v>0.98995695839311326</v>
      </c>
      <c r="AZ246" s="95">
        <f t="shared" si="27"/>
        <v>20.101734104046241</v>
      </c>
    </row>
    <row r="247" spans="1:52" s="96" customFormat="1" ht="18" customHeight="1" x14ac:dyDescent="0.2">
      <c r="A247" s="97"/>
      <c r="B247" s="97">
        <v>12</v>
      </c>
      <c r="C247" s="95">
        <v>177.46859000000001</v>
      </c>
      <c r="D247" s="95">
        <v>174.73692000000003</v>
      </c>
      <c r="E247" s="95">
        <v>1464.04359</v>
      </c>
      <c r="F247" s="95">
        <v>1464.04359</v>
      </c>
      <c r="G247" s="95">
        <v>0.51900000000000002</v>
      </c>
      <c r="H247" s="95">
        <v>0.32600000000000001</v>
      </c>
      <c r="I247" s="95">
        <f t="shared" si="21"/>
        <v>1.0319381482708732</v>
      </c>
      <c r="J247" s="95">
        <f t="shared" si="22"/>
        <v>1.0991349408174693</v>
      </c>
      <c r="K247" s="95">
        <f t="shared" si="23"/>
        <v>1.0657128385406344E-3</v>
      </c>
      <c r="L247" s="95">
        <f t="shared" si="24"/>
        <v>0.98460758605226995</v>
      </c>
      <c r="M247" s="95"/>
      <c r="N247" s="98">
        <v>10.771000000000001</v>
      </c>
      <c r="O247" s="104">
        <v>23.7</v>
      </c>
      <c r="P247" s="102">
        <f t="shared" si="25"/>
        <v>66.3</v>
      </c>
      <c r="Z247" s="95">
        <v>5.43</v>
      </c>
      <c r="AA247" s="95">
        <v>173.08099999999999</v>
      </c>
      <c r="AB247" s="95">
        <v>165.48400000000001</v>
      </c>
      <c r="AC247" s="95">
        <v>1459.27</v>
      </c>
      <c r="AD247" s="95">
        <v>1442.29</v>
      </c>
      <c r="AE247" s="95">
        <v>228.387</v>
      </c>
      <c r="AF247" s="95">
        <v>223.922</v>
      </c>
      <c r="AG247" s="95">
        <v>0.30969000000000002</v>
      </c>
      <c r="AH247" s="95">
        <v>6.8559999999999996E-2</v>
      </c>
      <c r="AI247" s="95">
        <v>0.26246999999999998</v>
      </c>
      <c r="AJ247" s="95">
        <v>0</v>
      </c>
      <c r="AK247" s="95">
        <v>0.25829999999999997</v>
      </c>
      <c r="AL247" s="95">
        <v>5.7889999999999997</v>
      </c>
      <c r="AM247" s="95">
        <v>1.4949699999999999</v>
      </c>
      <c r="AN247" s="95">
        <v>22.71</v>
      </c>
      <c r="AO247" s="95">
        <v>0</v>
      </c>
      <c r="AP247" s="95">
        <v>472.81299999999999</v>
      </c>
      <c r="AQ247" s="95">
        <v>436.161</v>
      </c>
      <c r="AR247" s="95">
        <v>436.161</v>
      </c>
      <c r="AS247" s="95">
        <v>0</v>
      </c>
      <c r="AT247" s="95">
        <v>182.52699999999999</v>
      </c>
      <c r="AU247" s="95">
        <v>11.557</v>
      </c>
      <c r="AV247" s="95">
        <v>11.597</v>
      </c>
      <c r="AW247" s="95">
        <v>11.637</v>
      </c>
      <c r="AX247" s="95">
        <v>7.9000000000000001E-2</v>
      </c>
      <c r="AY247" s="95">
        <f t="shared" si="26"/>
        <v>0.98860494870798965</v>
      </c>
      <c r="AZ247" s="95">
        <f t="shared" si="27"/>
        <v>20.00936416184971</v>
      </c>
    </row>
    <row r="248" spans="1:52" ht="18" customHeight="1" x14ac:dyDescent="0.2">
      <c r="A248" s="26" t="s">
        <v>132</v>
      </c>
      <c r="N248" s="27"/>
      <c r="O248" s="27"/>
      <c r="P248" s="103"/>
      <c r="Z248" s="17">
        <v>0</v>
      </c>
      <c r="AA248" s="17">
        <v>0</v>
      </c>
      <c r="AB248" s="17">
        <v>0</v>
      </c>
      <c r="AC248" s="17">
        <v>0</v>
      </c>
      <c r="AD248" s="17">
        <v>0</v>
      </c>
      <c r="AE248" s="17">
        <v>0</v>
      </c>
      <c r="AF248" s="17">
        <v>0</v>
      </c>
      <c r="AG248" s="17">
        <v>0</v>
      </c>
      <c r="AH248" s="17">
        <v>0</v>
      </c>
      <c r="AI248" s="17">
        <v>0</v>
      </c>
      <c r="AJ248" s="17">
        <v>0</v>
      </c>
      <c r="AK248" s="17">
        <v>0</v>
      </c>
      <c r="AL248" s="17">
        <v>0</v>
      </c>
      <c r="AM248" s="17">
        <v>0</v>
      </c>
      <c r="AN248" s="17">
        <v>0</v>
      </c>
      <c r="AO248" s="17">
        <v>0</v>
      </c>
      <c r="AP248" s="17">
        <v>0</v>
      </c>
      <c r="AQ248" s="17">
        <v>0</v>
      </c>
      <c r="AR248" s="17">
        <v>0</v>
      </c>
      <c r="AS248" s="17">
        <v>0</v>
      </c>
      <c r="AT248" s="17">
        <v>0</v>
      </c>
      <c r="AU248" s="17">
        <v>0</v>
      </c>
      <c r="AV248" s="17">
        <v>0</v>
      </c>
      <c r="AW248" s="17">
        <v>0</v>
      </c>
      <c r="AX248" s="17">
        <v>0</v>
      </c>
      <c r="AZ248" s="17">
        <f t="shared" si="27"/>
        <v>0</v>
      </c>
    </row>
    <row r="249" spans="1:52" ht="18" customHeight="1" x14ac:dyDescent="0.2">
      <c r="B249" s="26">
        <v>1</v>
      </c>
      <c r="C249" s="17">
        <v>172.578745</v>
      </c>
      <c r="D249" s="17">
        <v>217.07347999999999</v>
      </c>
      <c r="E249" s="17">
        <v>1460.37266</v>
      </c>
      <c r="F249" s="17">
        <v>1559.9808799999998</v>
      </c>
      <c r="G249" s="17">
        <v>0.30099999999999999</v>
      </c>
      <c r="H249" s="17">
        <v>0.44600000000000001</v>
      </c>
      <c r="I249" s="17">
        <f t="shared" si="21"/>
        <v>1.0459522044757532</v>
      </c>
      <c r="J249" s="17">
        <f t="shared" si="22"/>
        <v>1.1684667676668645</v>
      </c>
      <c r="K249" s="17">
        <f t="shared" si="23"/>
        <v>1.099246554455563E-4</v>
      </c>
      <c r="L249" s="17">
        <f t="shared" si="24"/>
        <v>1.2578227985143824</v>
      </c>
      <c r="N249" s="26">
        <v>11.577</v>
      </c>
      <c r="O249" s="103">
        <v>54.98</v>
      </c>
      <c r="P249" s="103">
        <f t="shared" si="25"/>
        <v>35.020000000000003</v>
      </c>
      <c r="Z249" s="17">
        <v>5.43</v>
      </c>
      <c r="AA249" s="17">
        <v>219.63800000000001</v>
      </c>
      <c r="AB249" s="17">
        <v>189.251</v>
      </c>
      <c r="AC249" s="17">
        <v>1529.67</v>
      </c>
      <c r="AD249" s="17">
        <v>1471.71</v>
      </c>
      <c r="AE249" s="17">
        <v>246.977</v>
      </c>
      <c r="AF249" s="17">
        <v>231.65799999999999</v>
      </c>
      <c r="AG249" s="17">
        <v>0.34708</v>
      </c>
      <c r="AH249" s="17">
        <v>6.8559999999999996E-2</v>
      </c>
      <c r="AI249" s="17">
        <v>0.26336999999999999</v>
      </c>
      <c r="AJ249" s="17">
        <v>0</v>
      </c>
      <c r="AK249" s="17">
        <v>0.47389999999999999</v>
      </c>
      <c r="AL249" s="17">
        <v>5.3879999999999999</v>
      </c>
      <c r="AM249" s="17">
        <v>1.49108</v>
      </c>
      <c r="AN249" s="17">
        <v>61.48</v>
      </c>
      <c r="AO249" s="17">
        <v>0</v>
      </c>
      <c r="AP249" s="17">
        <v>875.81700000000001</v>
      </c>
      <c r="AQ249" s="17">
        <v>418.142</v>
      </c>
      <c r="AR249" s="17">
        <v>418.142</v>
      </c>
      <c r="AS249" s="17">
        <v>0</v>
      </c>
      <c r="AT249" s="17">
        <v>769.553</v>
      </c>
      <c r="AU249" s="17">
        <v>10.787000000000001</v>
      </c>
      <c r="AV249" s="17">
        <v>10.826000000000001</v>
      </c>
      <c r="AW249" s="17">
        <v>10.866</v>
      </c>
      <c r="AX249" s="17">
        <v>7.9000000000000001E-2</v>
      </c>
      <c r="AY249" s="17">
        <f t="shared" si="26"/>
        <v>1.2530121856601706</v>
      </c>
      <c r="AZ249" s="17">
        <f t="shared" si="27"/>
        <v>25.391676300578034</v>
      </c>
    </row>
    <row r="250" spans="1:52" ht="18" customHeight="1" x14ac:dyDescent="0.2">
      <c r="B250" s="26">
        <v>2</v>
      </c>
      <c r="C250" s="17">
        <v>172.88063</v>
      </c>
      <c r="D250" s="17">
        <v>217.226585</v>
      </c>
      <c r="E250" s="17">
        <v>1437.19649</v>
      </c>
      <c r="F250" s="17">
        <v>1534.77748</v>
      </c>
      <c r="G250" s="17">
        <v>0.30599999999999999</v>
      </c>
      <c r="H250" s="17">
        <v>0.44800000000000001</v>
      </c>
      <c r="I250" s="17">
        <f t="shared" si="21"/>
        <v>1.0459117454469582</v>
      </c>
      <c r="J250" s="17">
        <f t="shared" si="22"/>
        <v>1.168279706132598</v>
      </c>
      <c r="K250" s="17">
        <f t="shared" si="23"/>
        <v>1.116160564779943E-4</v>
      </c>
      <c r="L250" s="17">
        <f t="shared" si="24"/>
        <v>1.2565119932753601</v>
      </c>
      <c r="N250" s="26">
        <v>11.534000000000001</v>
      </c>
      <c r="O250" s="103">
        <v>52.83</v>
      </c>
      <c r="P250" s="103">
        <f t="shared" si="25"/>
        <v>37.17</v>
      </c>
      <c r="Z250" s="17">
        <v>5.43</v>
      </c>
      <c r="AA250" s="17">
        <v>219.41200000000001</v>
      </c>
      <c r="AB250" s="17">
        <v>189.53800000000001</v>
      </c>
      <c r="AC250" s="17">
        <v>1500.11</v>
      </c>
      <c r="AD250" s="17">
        <v>1444.04</v>
      </c>
      <c r="AE250" s="17">
        <v>239.15100000000001</v>
      </c>
      <c r="AF250" s="17">
        <v>224.381</v>
      </c>
      <c r="AG250" s="17">
        <v>0.35426999999999997</v>
      </c>
      <c r="AH250" s="17">
        <v>6.8559999999999996E-2</v>
      </c>
      <c r="AI250" s="17">
        <v>0.26251999999999998</v>
      </c>
      <c r="AJ250" s="17">
        <v>0</v>
      </c>
      <c r="AK250" s="17">
        <v>0.46949999999999997</v>
      </c>
      <c r="AL250" s="17">
        <v>4.7160000000000002</v>
      </c>
      <c r="AM250" s="17">
        <v>1.4859899999999999</v>
      </c>
      <c r="AN250" s="17">
        <v>57.03</v>
      </c>
      <c r="AO250" s="17">
        <v>0</v>
      </c>
      <c r="AP250" s="17">
        <v>859.99099999999999</v>
      </c>
      <c r="AQ250" s="17">
        <v>467.97</v>
      </c>
      <c r="AR250" s="17">
        <v>467.97</v>
      </c>
      <c r="AS250" s="17">
        <v>0</v>
      </c>
      <c r="AT250" s="17">
        <v>721.51800000000003</v>
      </c>
      <c r="AU250" s="17">
        <v>10.866</v>
      </c>
      <c r="AV250" s="17">
        <v>10.9</v>
      </c>
      <c r="AW250" s="17">
        <v>10.935</v>
      </c>
      <c r="AX250" s="17">
        <v>6.9000000000000006E-2</v>
      </c>
      <c r="AY250" s="17">
        <f t="shared" si="26"/>
        <v>1.2512160767340141</v>
      </c>
      <c r="AZ250" s="17">
        <f t="shared" si="27"/>
        <v>25.365549132947976</v>
      </c>
    </row>
    <row r="251" spans="1:52" ht="18" customHeight="1" x14ac:dyDescent="0.2">
      <c r="B251" s="26">
        <v>3</v>
      </c>
      <c r="C251" s="17">
        <v>173.27680000000001</v>
      </c>
      <c r="D251" s="17">
        <v>217.37969000000001</v>
      </c>
      <c r="E251" s="17">
        <v>1405.5826599999998</v>
      </c>
      <c r="F251" s="17">
        <v>1500.0954099999999</v>
      </c>
      <c r="G251" s="17">
        <v>0.312</v>
      </c>
      <c r="H251" s="17">
        <v>0.45</v>
      </c>
      <c r="I251" s="17">
        <f t="shared" si="21"/>
        <v>1.0456692716779881</v>
      </c>
      <c r="J251" s="17">
        <f t="shared" si="22"/>
        <v>1.1679924541103108</v>
      </c>
      <c r="K251" s="17">
        <f t="shared" si="23"/>
        <v>7.28272718158781E-5</v>
      </c>
      <c r="L251" s="17">
        <f t="shared" si="24"/>
        <v>1.2545227635782747</v>
      </c>
      <c r="N251" s="26">
        <v>11.462</v>
      </c>
      <c r="O251" s="103">
        <v>50.91</v>
      </c>
      <c r="P251" s="103">
        <f t="shared" si="25"/>
        <v>39.090000000000003</v>
      </c>
      <c r="Z251" s="17">
        <v>5.43</v>
      </c>
      <c r="AA251" s="17">
        <v>219.12299999999999</v>
      </c>
      <c r="AB251" s="17">
        <v>189.76900000000001</v>
      </c>
      <c r="AC251" s="17">
        <v>1477.93</v>
      </c>
      <c r="AD251" s="17">
        <v>1423.47</v>
      </c>
      <c r="AE251" s="17">
        <v>233.29599999999999</v>
      </c>
      <c r="AF251" s="17">
        <v>218.99199999999999</v>
      </c>
      <c r="AG251" s="17">
        <v>0.35982999999999998</v>
      </c>
      <c r="AH251" s="17">
        <v>6.8559999999999996E-2</v>
      </c>
      <c r="AI251" s="17">
        <v>0.26189000000000001</v>
      </c>
      <c r="AJ251" s="17">
        <v>0</v>
      </c>
      <c r="AK251" s="17">
        <v>0.4652</v>
      </c>
      <c r="AL251" s="17">
        <v>4.3920000000000003</v>
      </c>
      <c r="AM251" s="17">
        <v>1.48214</v>
      </c>
      <c r="AN251" s="17">
        <v>54.23</v>
      </c>
      <c r="AO251" s="17">
        <v>0</v>
      </c>
      <c r="AP251" s="17">
        <v>846.29499999999996</v>
      </c>
      <c r="AQ251" s="17">
        <v>494.73099999999999</v>
      </c>
      <c r="AR251" s="17">
        <v>494.73099999999999</v>
      </c>
      <c r="AS251" s="17">
        <v>0</v>
      </c>
      <c r="AT251" s="17">
        <v>686.62699999999995</v>
      </c>
      <c r="AU251" s="17">
        <v>10.935</v>
      </c>
      <c r="AV251" s="17">
        <v>10.967000000000001</v>
      </c>
      <c r="AW251" s="17">
        <v>10.999000000000001</v>
      </c>
      <c r="AX251" s="17">
        <v>6.4000000000000001E-2</v>
      </c>
      <c r="AY251" s="17">
        <f t="shared" si="26"/>
        <v>1.2497675824583216</v>
      </c>
      <c r="AZ251" s="17">
        <f t="shared" si="27"/>
        <v>25.332138728323699</v>
      </c>
    </row>
    <row r="252" spans="1:52" ht="18" customHeight="1" x14ac:dyDescent="0.2">
      <c r="B252" s="26">
        <v>4</v>
      </c>
      <c r="C252" s="17">
        <v>173.77417500000001</v>
      </c>
      <c r="D252" s="17">
        <v>217.582965</v>
      </c>
      <c r="E252" s="17">
        <v>1382.46128</v>
      </c>
      <c r="F252" s="17">
        <v>1474.1797399999998</v>
      </c>
      <c r="G252" s="17">
        <v>0.32100000000000001</v>
      </c>
      <c r="H252" s="17">
        <v>0.45300000000000001</v>
      </c>
      <c r="I252" s="17">
        <f t="shared" si="21"/>
        <v>1.0454140859461105</v>
      </c>
      <c r="J252" s="17">
        <f t="shared" si="22"/>
        <v>1.1681745890296957</v>
      </c>
      <c r="K252" s="17">
        <f t="shared" si="23"/>
        <v>3.561639016734508E-6</v>
      </c>
      <c r="L252" s="17">
        <f t="shared" si="24"/>
        <v>1.2521018442469947</v>
      </c>
      <c r="N252" s="26">
        <v>11.378</v>
      </c>
      <c r="O252" s="103">
        <v>49.71</v>
      </c>
      <c r="P252" s="103">
        <f t="shared" si="25"/>
        <v>40.29</v>
      </c>
      <c r="Z252" s="17">
        <v>5.43</v>
      </c>
      <c r="AA252" s="17">
        <v>218.84</v>
      </c>
      <c r="AB252" s="17">
        <v>189.971</v>
      </c>
      <c r="AC252" s="17">
        <v>1468.5</v>
      </c>
      <c r="AD252" s="17">
        <v>1415.21</v>
      </c>
      <c r="AE252" s="17">
        <v>230.81299999999999</v>
      </c>
      <c r="AF252" s="17">
        <v>216.82900000000001</v>
      </c>
      <c r="AG252" s="17">
        <v>0.36231000000000002</v>
      </c>
      <c r="AH252" s="17">
        <v>6.8559999999999996E-2</v>
      </c>
      <c r="AI252" s="17">
        <v>0.26163999999999998</v>
      </c>
      <c r="AJ252" s="17">
        <v>0</v>
      </c>
      <c r="AK252" s="17">
        <v>0.4612</v>
      </c>
      <c r="AL252" s="17">
        <v>4.2309999999999999</v>
      </c>
      <c r="AM252" s="17">
        <v>1.48055</v>
      </c>
      <c r="AN252" s="17">
        <v>52.45</v>
      </c>
      <c r="AO252" s="17">
        <v>0</v>
      </c>
      <c r="AP252" s="17">
        <v>836.78</v>
      </c>
      <c r="AQ252" s="17">
        <v>510.017</v>
      </c>
      <c r="AR252" s="17">
        <v>510.017</v>
      </c>
      <c r="AS252" s="17">
        <v>0</v>
      </c>
      <c r="AT252" s="17">
        <v>663.38800000000003</v>
      </c>
      <c r="AU252" s="17">
        <v>10.999000000000001</v>
      </c>
      <c r="AV252" s="17">
        <v>11.029</v>
      </c>
      <c r="AW252" s="17">
        <v>11.06</v>
      </c>
      <c r="AX252" s="17">
        <v>6.0999999999999999E-2</v>
      </c>
      <c r="AY252" s="17">
        <f t="shared" si="26"/>
        <v>1.2487517617990607</v>
      </c>
      <c r="AZ252" s="17">
        <f t="shared" si="27"/>
        <v>25.299421965317919</v>
      </c>
    </row>
    <row r="253" spans="1:52" ht="18" customHeight="1" x14ac:dyDescent="0.2">
      <c r="B253" s="26">
        <v>5</v>
      </c>
      <c r="C253" s="17">
        <v>174.20840500000003</v>
      </c>
      <c r="D253" s="17">
        <v>217.78710500000003</v>
      </c>
      <c r="E253" s="17">
        <v>1371.5580699999998</v>
      </c>
      <c r="F253" s="17">
        <v>1461.4684600000001</v>
      </c>
      <c r="G253" s="17">
        <v>0.32800000000000001</v>
      </c>
      <c r="H253" s="17">
        <v>0.45500000000000002</v>
      </c>
      <c r="I253" s="17">
        <f t="shared" si="21"/>
        <v>1.0452040947673475</v>
      </c>
      <c r="J253" s="17">
        <f t="shared" si="22"/>
        <v>1.1685668175431771</v>
      </c>
      <c r="K253" s="17">
        <f t="shared" si="23"/>
        <v>-6.766435444800073E-5</v>
      </c>
      <c r="L253" s="17">
        <f t="shared" si="24"/>
        <v>1.2501526835057126</v>
      </c>
      <c r="N253" s="26">
        <v>11.298999999999999</v>
      </c>
      <c r="O253" s="103">
        <v>48.91</v>
      </c>
      <c r="P253" s="103">
        <f t="shared" si="25"/>
        <v>41.09</v>
      </c>
      <c r="Z253" s="17">
        <v>5.43</v>
      </c>
      <c r="AA253" s="17">
        <v>218.56399999999999</v>
      </c>
      <c r="AB253" s="17">
        <v>190.154</v>
      </c>
      <c r="AC253" s="17">
        <v>1462.94</v>
      </c>
      <c r="AD253" s="17">
        <v>1410.66</v>
      </c>
      <c r="AE253" s="17">
        <v>229.352</v>
      </c>
      <c r="AF253" s="17">
        <v>215.637</v>
      </c>
      <c r="AG253" s="17">
        <v>0.36382999999999999</v>
      </c>
      <c r="AH253" s="17">
        <v>6.8559999999999996E-2</v>
      </c>
      <c r="AI253" s="17">
        <v>0.26150000000000001</v>
      </c>
      <c r="AJ253" s="17">
        <v>0</v>
      </c>
      <c r="AK253" s="17">
        <v>0.45750000000000002</v>
      </c>
      <c r="AL253" s="17">
        <v>4.141</v>
      </c>
      <c r="AM253" s="17">
        <v>1.4796400000000001</v>
      </c>
      <c r="AN253" s="17">
        <v>51.23</v>
      </c>
      <c r="AO253" s="17">
        <v>0</v>
      </c>
      <c r="AP253" s="17">
        <v>828.71799999999996</v>
      </c>
      <c r="AQ253" s="17">
        <v>518.95000000000005</v>
      </c>
      <c r="AR253" s="17">
        <v>518.95000000000005</v>
      </c>
      <c r="AS253" s="17">
        <v>0</v>
      </c>
      <c r="AT253" s="17">
        <v>646.11500000000001</v>
      </c>
      <c r="AU253" s="17">
        <v>11.06</v>
      </c>
      <c r="AV253" s="17">
        <v>11.089</v>
      </c>
      <c r="AW253" s="17">
        <v>11.119</v>
      </c>
      <c r="AX253" s="17">
        <v>5.8999999999999997E-2</v>
      </c>
      <c r="AY253" s="17">
        <f t="shared" si="26"/>
        <v>1.2480955698443335</v>
      </c>
      <c r="AZ253" s="17">
        <f t="shared" si="27"/>
        <v>25.267514450867051</v>
      </c>
    </row>
    <row r="254" spans="1:52" ht="18" customHeight="1" x14ac:dyDescent="0.2">
      <c r="B254" s="26">
        <v>6</v>
      </c>
      <c r="C254" s="17">
        <v>174.56478500000003</v>
      </c>
      <c r="D254" s="17">
        <v>217.99124500000002</v>
      </c>
      <c r="E254" s="17">
        <v>1367.0652899999998</v>
      </c>
      <c r="F254" s="17">
        <v>1455.87988</v>
      </c>
      <c r="G254" s="17">
        <v>0.33400000000000002</v>
      </c>
      <c r="H254" s="17">
        <v>0.45700000000000002</v>
      </c>
      <c r="I254" s="17">
        <f t="shared" si="21"/>
        <v>1.0450754429673448</v>
      </c>
      <c r="J254" s="17">
        <f t="shared" si="22"/>
        <v>1.1690205818510699</v>
      </c>
      <c r="K254" s="17">
        <f t="shared" si="23"/>
        <v>-1.2382060186495215E-4</v>
      </c>
      <c r="L254" s="17">
        <f t="shared" si="24"/>
        <v>1.2487698764673527</v>
      </c>
      <c r="N254" s="26">
        <v>11.224</v>
      </c>
      <c r="O254" s="103">
        <v>48.21</v>
      </c>
      <c r="P254" s="103">
        <f t="shared" si="25"/>
        <v>41.79</v>
      </c>
      <c r="Z254" s="17">
        <v>5.43</v>
      </c>
      <c r="AA254" s="17">
        <v>218.47</v>
      </c>
      <c r="AB254" s="17">
        <v>190.32499999999999</v>
      </c>
      <c r="AC254" s="17">
        <v>1461.26</v>
      </c>
      <c r="AD254" s="17">
        <v>1409.52</v>
      </c>
      <c r="AE254" s="17">
        <v>228.91</v>
      </c>
      <c r="AF254" s="17">
        <v>215.339</v>
      </c>
      <c r="AG254" s="17">
        <v>0.36446000000000001</v>
      </c>
      <c r="AH254" s="17">
        <v>6.8559999999999996E-2</v>
      </c>
      <c r="AI254" s="17">
        <v>0.26146000000000003</v>
      </c>
      <c r="AJ254" s="17">
        <v>0</v>
      </c>
      <c r="AK254" s="17">
        <v>0.45519999999999999</v>
      </c>
      <c r="AL254" s="17">
        <v>4.0940000000000003</v>
      </c>
      <c r="AM254" s="17">
        <v>1.47936</v>
      </c>
      <c r="AN254" s="17">
        <v>50.53</v>
      </c>
      <c r="AO254" s="17">
        <v>0</v>
      </c>
      <c r="AP254" s="17">
        <v>824.34299999999996</v>
      </c>
      <c r="AQ254" s="17">
        <v>524.06899999999996</v>
      </c>
      <c r="AR254" s="17">
        <v>524.06899999999996</v>
      </c>
      <c r="AS254" s="17">
        <v>0</v>
      </c>
      <c r="AT254" s="17">
        <v>636.31299999999999</v>
      </c>
      <c r="AU254" s="17">
        <v>11.119</v>
      </c>
      <c r="AV254" s="17">
        <v>11.148</v>
      </c>
      <c r="AW254" s="17">
        <v>11.178000000000001</v>
      </c>
      <c r="AX254" s="17">
        <v>5.8000000000000003E-2</v>
      </c>
      <c r="AY254" s="17">
        <f t="shared" si="26"/>
        <v>1.2480148982599655</v>
      </c>
      <c r="AZ254" s="17">
        <f t="shared" si="27"/>
        <v>25.256647398843928</v>
      </c>
    </row>
    <row r="255" spans="1:52" ht="18" customHeight="1" x14ac:dyDescent="0.2">
      <c r="B255" s="26">
        <v>7</v>
      </c>
      <c r="C255" s="17">
        <v>174.83812499999999</v>
      </c>
      <c r="D255" s="17">
        <v>218.19451999999998</v>
      </c>
      <c r="E255" s="17">
        <v>1366.6817599999999</v>
      </c>
      <c r="F255" s="17">
        <v>1455.1128200000001</v>
      </c>
      <c r="G255" s="17">
        <v>0.33800000000000002</v>
      </c>
      <c r="H255" s="17">
        <v>0.46100000000000002</v>
      </c>
      <c r="I255" s="17">
        <f t="shared" si="21"/>
        <v>1.0446309657794919</v>
      </c>
      <c r="J255" s="17">
        <f t="shared" si="22"/>
        <v>1.1675497413473608</v>
      </c>
      <c r="K255" s="17">
        <f t="shared" si="23"/>
        <v>-1.3961315948301557E-4</v>
      </c>
      <c r="L255" s="17">
        <f t="shared" si="24"/>
        <v>1.2479802102659245</v>
      </c>
      <c r="N255" s="26">
        <v>11.148999999999999</v>
      </c>
      <c r="O255" s="103">
        <v>47.48</v>
      </c>
      <c r="P255" s="103">
        <f t="shared" si="25"/>
        <v>42.52</v>
      </c>
      <c r="Z255" s="17">
        <v>5.43</v>
      </c>
      <c r="AA255" s="17">
        <v>218.11600000000001</v>
      </c>
      <c r="AB255" s="17">
        <v>190.49100000000001</v>
      </c>
      <c r="AC255" s="17">
        <v>1462.97</v>
      </c>
      <c r="AD255" s="17">
        <v>1412.1</v>
      </c>
      <c r="AE255" s="17">
        <v>229.35900000000001</v>
      </c>
      <c r="AF255" s="17">
        <v>216.01400000000001</v>
      </c>
      <c r="AG255" s="17">
        <v>0.36410999999999999</v>
      </c>
      <c r="AH255" s="17">
        <v>6.8559999999999996E-2</v>
      </c>
      <c r="AI255" s="17">
        <v>0.26153999999999999</v>
      </c>
      <c r="AJ255" s="17">
        <v>0</v>
      </c>
      <c r="AK255" s="17">
        <v>0.45100000000000001</v>
      </c>
      <c r="AL255" s="17">
        <v>4.1459999999999999</v>
      </c>
      <c r="AM255" s="17">
        <v>1.4797800000000001</v>
      </c>
      <c r="AN255" s="17">
        <v>50.68</v>
      </c>
      <c r="AO255" s="17">
        <v>0</v>
      </c>
      <c r="AP255" s="17">
        <v>817.46600000000001</v>
      </c>
      <c r="AQ255" s="17">
        <v>517.95399999999995</v>
      </c>
      <c r="AR255" s="17">
        <v>517.95399999999995</v>
      </c>
      <c r="AS255" s="17">
        <v>0</v>
      </c>
      <c r="AT255" s="17">
        <v>632.43600000000004</v>
      </c>
      <c r="AU255" s="17">
        <v>11.178000000000001</v>
      </c>
      <c r="AV255" s="17">
        <v>11.207000000000001</v>
      </c>
      <c r="AW255" s="17">
        <v>11.236000000000001</v>
      </c>
      <c r="AX255" s="17">
        <v>5.8999999999999997E-2</v>
      </c>
      <c r="AY255" s="17">
        <f t="shared" si="26"/>
        <v>1.2485889289598719</v>
      </c>
      <c r="AZ255" s="17">
        <f t="shared" si="27"/>
        <v>25.215722543352602</v>
      </c>
    </row>
    <row r="256" spans="1:52" ht="18" customHeight="1" x14ac:dyDescent="0.2">
      <c r="B256" s="26">
        <v>8</v>
      </c>
      <c r="C256" s="17">
        <v>174.98950000000002</v>
      </c>
      <c r="D256" s="17">
        <v>218.39866000000001</v>
      </c>
      <c r="E256" s="17">
        <v>1371.99639</v>
      </c>
      <c r="F256" s="17">
        <v>1460.8657700000001</v>
      </c>
      <c r="G256" s="17">
        <v>0.33900000000000002</v>
      </c>
      <c r="H256" s="17">
        <v>0.46400000000000002</v>
      </c>
      <c r="I256" s="17">
        <f t="shared" si="21"/>
        <v>1.044280846497792</v>
      </c>
      <c r="J256" s="17">
        <f t="shared" si="22"/>
        <v>1.1659981663534591</v>
      </c>
      <c r="K256" s="17">
        <f t="shared" si="23"/>
        <v>-1.2890747458700787E-4</v>
      </c>
      <c r="L256" s="17">
        <f t="shared" si="24"/>
        <v>1.2480672268907562</v>
      </c>
      <c r="N256" s="26">
        <v>11.074</v>
      </c>
      <c r="O256" s="103">
        <v>46.61</v>
      </c>
      <c r="P256" s="103">
        <f t="shared" si="25"/>
        <v>43.39</v>
      </c>
      <c r="Z256" s="17">
        <v>5.43</v>
      </c>
      <c r="AA256" s="17">
        <v>218.07900000000001</v>
      </c>
      <c r="AB256" s="17">
        <v>190.65799999999999</v>
      </c>
      <c r="AC256" s="17">
        <v>1468.43</v>
      </c>
      <c r="AD256" s="17">
        <v>1417.78</v>
      </c>
      <c r="AE256" s="17">
        <v>230.79599999999999</v>
      </c>
      <c r="AF256" s="17">
        <v>217.50200000000001</v>
      </c>
      <c r="AG256" s="17">
        <v>0.36297000000000001</v>
      </c>
      <c r="AH256" s="17">
        <v>6.8559999999999996E-2</v>
      </c>
      <c r="AI256" s="17">
        <v>0.26172000000000001</v>
      </c>
      <c r="AJ256" s="17">
        <v>0</v>
      </c>
      <c r="AK256" s="17">
        <v>0.44929999999999998</v>
      </c>
      <c r="AL256" s="17">
        <v>4.2190000000000003</v>
      </c>
      <c r="AM256" s="17">
        <v>1.4807699999999999</v>
      </c>
      <c r="AN256" s="17">
        <v>51.26</v>
      </c>
      <c r="AO256" s="17">
        <v>0</v>
      </c>
      <c r="AP256" s="17">
        <v>815.88699999999994</v>
      </c>
      <c r="AQ256" s="17">
        <v>510.61500000000001</v>
      </c>
      <c r="AR256" s="17">
        <v>510.61500000000001</v>
      </c>
      <c r="AS256" s="17">
        <v>0</v>
      </c>
      <c r="AT256" s="17">
        <v>636.35199999999998</v>
      </c>
      <c r="AU256" s="17">
        <v>11.236000000000001</v>
      </c>
      <c r="AV256" s="17">
        <v>11.266</v>
      </c>
      <c r="AW256" s="17">
        <v>11.295999999999999</v>
      </c>
      <c r="AX256" s="17">
        <v>0.06</v>
      </c>
      <c r="AY256" s="17">
        <f t="shared" si="26"/>
        <v>1.249636132344683</v>
      </c>
      <c r="AZ256" s="17">
        <f t="shared" si="27"/>
        <v>25.211445086705201</v>
      </c>
    </row>
    <row r="257" spans="1:52" ht="18" customHeight="1" x14ac:dyDescent="0.2">
      <c r="B257" s="26">
        <v>9</v>
      </c>
      <c r="C257" s="17">
        <v>175.03534500000001</v>
      </c>
      <c r="D257" s="17">
        <v>218.601935</v>
      </c>
      <c r="E257" s="17">
        <v>1382.3516999999999</v>
      </c>
      <c r="F257" s="17">
        <v>1472.4264599999999</v>
      </c>
      <c r="G257" s="17">
        <v>0.33900000000000002</v>
      </c>
      <c r="H257" s="17">
        <v>0.46899999999999997</v>
      </c>
      <c r="I257" s="17">
        <f t="shared" si="21"/>
        <v>1.0437265581904827</v>
      </c>
      <c r="J257" s="17">
        <f t="shared" si="22"/>
        <v>1.163132255370197</v>
      </c>
      <c r="K257" s="17">
        <f t="shared" si="23"/>
        <v>-8.76329344913062E-5</v>
      </c>
      <c r="L257" s="17">
        <f t="shared" si="24"/>
        <v>1.2489016718309094</v>
      </c>
      <c r="N257" s="26">
        <v>10.997</v>
      </c>
      <c r="O257" s="103">
        <v>45.57</v>
      </c>
      <c r="P257" s="103">
        <f t="shared" si="25"/>
        <v>44.43</v>
      </c>
      <c r="Z257" s="17">
        <v>5.43</v>
      </c>
      <c r="AA257" s="17">
        <v>218.40700000000001</v>
      </c>
      <c r="AB257" s="17">
        <v>190.82900000000001</v>
      </c>
      <c r="AC257" s="17">
        <v>1477.38</v>
      </c>
      <c r="AD257" s="17">
        <v>1426.24</v>
      </c>
      <c r="AE257" s="17">
        <v>233.15</v>
      </c>
      <c r="AF257" s="17">
        <v>219.71600000000001</v>
      </c>
      <c r="AG257" s="17">
        <v>0.36114000000000002</v>
      </c>
      <c r="AH257" s="17">
        <v>6.8559999999999996E-2</v>
      </c>
      <c r="AI257" s="17">
        <v>0.26197999999999999</v>
      </c>
      <c r="AJ257" s="17">
        <v>0</v>
      </c>
      <c r="AK257" s="17">
        <v>0.45040000000000002</v>
      </c>
      <c r="AL257" s="17">
        <v>4.3019999999999996</v>
      </c>
      <c r="AM257" s="17">
        <v>1.48227</v>
      </c>
      <c r="AN257" s="17">
        <v>52.15</v>
      </c>
      <c r="AO257" s="17">
        <v>0</v>
      </c>
      <c r="AP257" s="17">
        <v>820.178</v>
      </c>
      <c r="AQ257" s="17">
        <v>503.26900000000001</v>
      </c>
      <c r="AR257" s="17">
        <v>503.26900000000001</v>
      </c>
      <c r="AS257" s="17">
        <v>0</v>
      </c>
      <c r="AT257" s="17">
        <v>647.62099999999998</v>
      </c>
      <c r="AU257" s="17">
        <v>11.295999999999999</v>
      </c>
      <c r="AV257" s="17">
        <v>11.326000000000001</v>
      </c>
      <c r="AW257" s="17">
        <v>11.356</v>
      </c>
      <c r="AX257" s="17">
        <v>0.06</v>
      </c>
      <c r="AY257" s="17">
        <f t="shared" si="26"/>
        <v>1.251035336033131</v>
      </c>
      <c r="AZ257" s="17">
        <f t="shared" si="27"/>
        <v>25.249364161849712</v>
      </c>
    </row>
    <row r="258" spans="1:52" ht="18" customHeight="1" x14ac:dyDescent="0.2">
      <c r="B258" s="26">
        <v>10</v>
      </c>
      <c r="C258" s="17">
        <v>175.00593499999999</v>
      </c>
      <c r="D258" s="17">
        <v>218.80607500000002</v>
      </c>
      <c r="E258" s="17">
        <v>1403.6650099999999</v>
      </c>
      <c r="F258" s="17">
        <v>1495.82179</v>
      </c>
      <c r="G258" s="17">
        <v>0.33700000000000002</v>
      </c>
      <c r="H258" s="17">
        <v>0.47299999999999998</v>
      </c>
      <c r="I258" s="17">
        <f t="shared" si="21"/>
        <v>1.0431814686142777</v>
      </c>
      <c r="J258" s="17">
        <f t="shared" si="22"/>
        <v>1.1604028488164413</v>
      </c>
      <c r="K258" s="17">
        <f t="shared" si="23"/>
        <v>-5.1957967219577045E-5</v>
      </c>
      <c r="L258" s="17">
        <f t="shared" si="24"/>
        <v>1.2502780262852231</v>
      </c>
      <c r="N258" s="26">
        <v>10.916</v>
      </c>
      <c r="O258" s="103">
        <v>44.27</v>
      </c>
      <c r="P258" s="103">
        <f t="shared" si="25"/>
        <v>45.73</v>
      </c>
      <c r="Z258" s="17">
        <v>5.43</v>
      </c>
      <c r="AA258" s="17">
        <v>218.143</v>
      </c>
      <c r="AB258" s="17">
        <v>191.01400000000001</v>
      </c>
      <c r="AC258" s="17">
        <v>1492.03</v>
      </c>
      <c r="AD258" s="17">
        <v>1441.31</v>
      </c>
      <c r="AE258" s="17">
        <v>237.018</v>
      </c>
      <c r="AF258" s="17">
        <v>223.66499999999999</v>
      </c>
      <c r="AG258" s="17">
        <v>0.35770999999999997</v>
      </c>
      <c r="AH258" s="17">
        <v>6.8559999999999996E-2</v>
      </c>
      <c r="AI258" s="17">
        <v>0.26244000000000001</v>
      </c>
      <c r="AJ258" s="17">
        <v>0</v>
      </c>
      <c r="AK258" s="17">
        <v>0.44679999999999997</v>
      </c>
      <c r="AL258" s="17">
        <v>4.6269999999999998</v>
      </c>
      <c r="AM258" s="17">
        <v>1.4849600000000001</v>
      </c>
      <c r="AN258" s="17">
        <v>54.71</v>
      </c>
      <c r="AO258" s="17">
        <v>0</v>
      </c>
      <c r="AP258" s="17">
        <v>817.69899999999996</v>
      </c>
      <c r="AQ258" s="17">
        <v>472.39800000000002</v>
      </c>
      <c r="AR258" s="17">
        <v>472.39800000000002</v>
      </c>
      <c r="AS258" s="17">
        <v>0</v>
      </c>
      <c r="AT258" s="17">
        <v>667.43700000000001</v>
      </c>
      <c r="AU258" s="17">
        <v>11.356</v>
      </c>
      <c r="AV258" s="17">
        <v>11.388999999999999</v>
      </c>
      <c r="AW258" s="17">
        <v>11.420999999999999</v>
      </c>
      <c r="AX258" s="17">
        <v>6.5000000000000002E-2</v>
      </c>
      <c r="AY258" s="17">
        <f t="shared" si="26"/>
        <v>1.2527162677447512</v>
      </c>
      <c r="AZ258" s="17">
        <f t="shared" si="27"/>
        <v>25.218843930635838</v>
      </c>
    </row>
    <row r="259" spans="1:52" ht="18" customHeight="1" x14ac:dyDescent="0.2">
      <c r="B259" s="26">
        <v>11</v>
      </c>
      <c r="C259" s="17">
        <v>174.84764000000001</v>
      </c>
      <c r="D259" s="17">
        <v>219.00935000000001</v>
      </c>
      <c r="E259" s="17">
        <v>1439.2785099999999</v>
      </c>
      <c r="F259" s="17">
        <v>1534.61311</v>
      </c>
      <c r="G259" s="17">
        <v>0.33500000000000002</v>
      </c>
      <c r="H259" s="17">
        <v>0.47899999999999998</v>
      </c>
      <c r="I259" s="17">
        <f t="shared" ref="I259:I273" si="28">F259/E259*((1+0.2*G259^2)/(1+0.2*H259^2))</f>
        <v>1.0423384425993452</v>
      </c>
      <c r="J259" s="17">
        <f t="shared" ref="J259:J273" si="29">D259/C259*((1+0.2*G259^2)^(1.4/0.4)/(1+0.2*H259^2)^(1.4/0.4))</f>
        <v>1.1570291600006295</v>
      </c>
      <c r="K259" s="17">
        <f t="shared" ref="K259:K273" si="30">0.24 * LN(I259) - 0.06855 * LN(J259)</f>
        <v>-4.639890354183468E-5</v>
      </c>
      <c r="L259" s="17">
        <f t="shared" ref="L259:L273" si="31">D259/C259</f>
        <v>1.2525725254284243</v>
      </c>
      <c r="N259" s="26">
        <v>10.827</v>
      </c>
      <c r="O259" s="103">
        <v>42.8</v>
      </c>
      <c r="P259" s="103">
        <f t="shared" ref="P259:P273" si="32">90-O259</f>
        <v>47.2</v>
      </c>
      <c r="Z259" s="17">
        <v>5.43</v>
      </c>
      <c r="AA259" s="17">
        <v>218.15899999999999</v>
      </c>
      <c r="AB259" s="17">
        <v>191.227</v>
      </c>
      <c r="AC259" s="17">
        <v>1516.43</v>
      </c>
      <c r="AD259" s="17">
        <v>1465.4</v>
      </c>
      <c r="AE259" s="17">
        <v>243.465</v>
      </c>
      <c r="AF259" s="17">
        <v>229.999</v>
      </c>
      <c r="AG259" s="17">
        <v>0.35221999999999998</v>
      </c>
      <c r="AH259" s="17">
        <v>6.8559999999999996E-2</v>
      </c>
      <c r="AI259" s="17">
        <v>0.26318000000000003</v>
      </c>
      <c r="AJ259" s="17">
        <v>0</v>
      </c>
      <c r="AK259" s="17">
        <v>0.44519999999999998</v>
      </c>
      <c r="AL259" s="17">
        <v>5.1589999999999998</v>
      </c>
      <c r="AM259" s="17">
        <v>1.4892399999999999</v>
      </c>
      <c r="AN259" s="17">
        <v>58.4</v>
      </c>
      <c r="AO259" s="17">
        <v>0</v>
      </c>
      <c r="AP259" s="17">
        <v>821.17100000000005</v>
      </c>
      <c r="AQ259" s="17">
        <v>430.28500000000003</v>
      </c>
      <c r="AR259" s="17">
        <v>430.28500000000003</v>
      </c>
      <c r="AS259" s="17">
        <v>0</v>
      </c>
      <c r="AT259" s="17">
        <v>699.41099999999994</v>
      </c>
      <c r="AU259" s="17">
        <v>11.420999999999999</v>
      </c>
      <c r="AV259" s="17">
        <v>11.457000000000001</v>
      </c>
      <c r="AW259" s="17">
        <v>11.493</v>
      </c>
      <c r="AX259" s="17">
        <v>7.1999999999999995E-2</v>
      </c>
      <c r="AY259" s="17">
        <f t="shared" si="26"/>
        <v>1.25465263400046</v>
      </c>
      <c r="AZ259" s="17">
        <f t="shared" si="27"/>
        <v>25.220693641618496</v>
      </c>
    </row>
    <row r="260" spans="1:52" ht="18" customHeight="1" x14ac:dyDescent="0.2">
      <c r="B260" s="26">
        <v>12</v>
      </c>
      <c r="C260" s="17">
        <v>174.73692000000003</v>
      </c>
      <c r="D260" s="17">
        <v>219.11142000000001</v>
      </c>
      <c r="E260" s="17">
        <v>1464.04359</v>
      </c>
      <c r="F260" s="17">
        <v>1561.29584</v>
      </c>
      <c r="G260" s="17">
        <v>0.33300000000000002</v>
      </c>
      <c r="H260" s="17">
        <v>0.48199999999999998</v>
      </c>
      <c r="I260" s="17">
        <f t="shared" si="28"/>
        <v>1.0416768560425993</v>
      </c>
      <c r="J260" s="17">
        <f t="shared" si="29"/>
        <v>1.1550125607097581</v>
      </c>
      <c r="K260" s="17">
        <f t="shared" si="30"/>
        <v>-7.9197756033754299E-5</v>
      </c>
      <c r="L260" s="17">
        <f t="shared" si="31"/>
        <v>1.2539503386004514</v>
      </c>
      <c r="N260" s="26">
        <v>10.778</v>
      </c>
      <c r="O260" s="103">
        <v>42.22</v>
      </c>
      <c r="P260" s="103">
        <f t="shared" si="32"/>
        <v>47.78</v>
      </c>
      <c r="Z260" s="17">
        <v>5.43</v>
      </c>
      <c r="AA260" s="17">
        <v>217.505</v>
      </c>
      <c r="AB260" s="17">
        <v>191.506</v>
      </c>
      <c r="AC260" s="17">
        <v>1558.2</v>
      </c>
      <c r="AD260" s="17">
        <v>1507.76</v>
      </c>
      <c r="AE260" s="17">
        <v>254.55099999999999</v>
      </c>
      <c r="AF260" s="17">
        <v>241.173</v>
      </c>
      <c r="AG260" s="17">
        <v>0.34282000000000001</v>
      </c>
      <c r="AH260" s="17">
        <v>6.8559999999999996E-2</v>
      </c>
      <c r="AI260" s="17">
        <v>0.26445999999999997</v>
      </c>
      <c r="AJ260" s="17">
        <v>0</v>
      </c>
      <c r="AK260" s="17">
        <v>0.43790000000000001</v>
      </c>
      <c r="AL260" s="17">
        <v>6.6970000000000001</v>
      </c>
      <c r="AM260" s="17">
        <v>1.4966600000000001</v>
      </c>
      <c r="AN260" s="17">
        <v>65.41</v>
      </c>
      <c r="AO260" s="17">
        <v>0</v>
      </c>
      <c r="AP260" s="17">
        <v>818.47799999999995</v>
      </c>
      <c r="AQ260" s="17">
        <v>340.56700000000001</v>
      </c>
      <c r="AR260" s="17">
        <v>340.56700000000001</v>
      </c>
      <c r="AS260" s="17">
        <v>0</v>
      </c>
      <c r="AT260" s="17">
        <v>744.25800000000004</v>
      </c>
      <c r="AU260" s="17">
        <v>11.493</v>
      </c>
      <c r="AV260" s="17">
        <v>11.539</v>
      </c>
      <c r="AW260" s="17">
        <v>11.585000000000001</v>
      </c>
      <c r="AX260" s="17">
        <v>9.1999999999999998E-2</v>
      </c>
      <c r="AY260" s="17">
        <f t="shared" si="26"/>
        <v>1.2566659540908593</v>
      </c>
      <c r="AZ260" s="17">
        <f t="shared" si="27"/>
        <v>25.14508670520231</v>
      </c>
    </row>
    <row r="261" spans="1:52" s="96" customFormat="1" ht="18" customHeight="1" x14ac:dyDescent="0.2">
      <c r="A261" s="94" t="s">
        <v>133</v>
      </c>
      <c r="B261" s="97"/>
      <c r="C261" s="95"/>
      <c r="D261" s="95"/>
      <c r="E261" s="95"/>
      <c r="F261" s="95"/>
      <c r="G261" s="95"/>
      <c r="H261" s="95"/>
      <c r="I261" s="95"/>
      <c r="J261" s="95"/>
      <c r="K261" s="95"/>
      <c r="L261" s="95"/>
      <c r="M261" s="95"/>
      <c r="N261" s="97"/>
      <c r="O261" s="97"/>
      <c r="P261" s="102"/>
      <c r="Z261" s="95">
        <v>0</v>
      </c>
      <c r="AA261" s="95">
        <v>0</v>
      </c>
      <c r="AB261" s="95">
        <v>0</v>
      </c>
      <c r="AC261" s="95">
        <v>0</v>
      </c>
      <c r="AD261" s="95">
        <v>0</v>
      </c>
      <c r="AE261" s="95">
        <v>0</v>
      </c>
      <c r="AF261" s="95">
        <v>0</v>
      </c>
      <c r="AG261" s="95">
        <v>0</v>
      </c>
      <c r="AH261" s="95">
        <v>0</v>
      </c>
      <c r="AI261" s="95">
        <v>0</v>
      </c>
      <c r="AJ261" s="95">
        <v>0</v>
      </c>
      <c r="AK261" s="95">
        <v>0</v>
      </c>
      <c r="AL261" s="95">
        <v>0</v>
      </c>
      <c r="AM261" s="95">
        <v>0</v>
      </c>
      <c r="AN261" s="95">
        <v>0</v>
      </c>
      <c r="AO261" s="95">
        <v>0</v>
      </c>
      <c r="AP261" s="95">
        <v>0</v>
      </c>
      <c r="AQ261" s="95">
        <v>0</v>
      </c>
      <c r="AR261" s="95">
        <v>0</v>
      </c>
      <c r="AS261" s="95">
        <v>0</v>
      </c>
      <c r="AT261" s="95">
        <v>0</v>
      </c>
      <c r="AU261" s="95">
        <v>0</v>
      </c>
      <c r="AV261" s="95">
        <v>0</v>
      </c>
      <c r="AW261" s="95">
        <v>0</v>
      </c>
      <c r="AX261" s="95">
        <v>0</v>
      </c>
      <c r="AY261" s="95"/>
      <c r="AZ261" s="95">
        <f t="shared" si="27"/>
        <v>0</v>
      </c>
    </row>
    <row r="262" spans="1:52" s="96" customFormat="1" ht="18" customHeight="1" x14ac:dyDescent="0.2">
      <c r="A262" s="97"/>
      <c r="B262" s="97">
        <v>1</v>
      </c>
      <c r="C262" s="95">
        <v>251.67347999999998</v>
      </c>
      <c r="D262" s="95">
        <v>214.00186500000004</v>
      </c>
      <c r="E262" s="95">
        <v>1559.9808799999998</v>
      </c>
      <c r="F262" s="95">
        <v>1559.9808799999998</v>
      </c>
      <c r="G262" s="95">
        <v>0.45300000000000001</v>
      </c>
      <c r="H262" s="95">
        <v>0.26300000000000001</v>
      </c>
      <c r="I262" s="95">
        <f t="shared" si="28"/>
        <v>1.0268367458255978</v>
      </c>
      <c r="J262" s="95">
        <f t="shared" si="29"/>
        <v>0.93289982115780745</v>
      </c>
      <c r="K262" s="95">
        <f t="shared" si="30"/>
        <v>1.1117218125926503E-2</v>
      </c>
      <c r="L262" s="95">
        <f t="shared" si="31"/>
        <v>0.85031551596139587</v>
      </c>
      <c r="M262" s="95"/>
      <c r="N262" s="98">
        <v>11.552</v>
      </c>
      <c r="O262" s="104">
        <v>4</v>
      </c>
      <c r="P262" s="102">
        <f t="shared" si="32"/>
        <v>86</v>
      </c>
      <c r="Z262" s="95">
        <v>5.43</v>
      </c>
      <c r="AA262" s="95">
        <v>216.178</v>
      </c>
      <c r="AB262" s="95">
        <v>207.465</v>
      </c>
      <c r="AC262" s="95">
        <v>1529.67</v>
      </c>
      <c r="AD262" s="95">
        <v>1513.49</v>
      </c>
      <c r="AE262" s="95">
        <v>246.977</v>
      </c>
      <c r="AF262" s="95">
        <v>242.68600000000001</v>
      </c>
      <c r="AG262" s="95">
        <v>0.36998999999999999</v>
      </c>
      <c r="AH262" s="95">
        <v>6.8559999999999996E-2</v>
      </c>
      <c r="AI262" s="95">
        <v>0.26462999999999998</v>
      </c>
      <c r="AJ262" s="95">
        <v>0</v>
      </c>
      <c r="AK262" s="95">
        <v>0.24759999999999999</v>
      </c>
      <c r="AL262" s="95">
        <v>4.5659999999999998</v>
      </c>
      <c r="AM262" s="95">
        <v>1.49217</v>
      </c>
      <c r="AN262" s="95">
        <v>3.27</v>
      </c>
      <c r="AO262" s="95">
        <v>0</v>
      </c>
      <c r="AP262" s="95">
        <v>463.55599999999998</v>
      </c>
      <c r="AQ262" s="95">
        <v>462.80099999999999</v>
      </c>
      <c r="AR262" s="95">
        <v>462.80099999999999</v>
      </c>
      <c r="AS262" s="95">
        <v>0</v>
      </c>
      <c r="AT262" s="95">
        <v>26.437999999999999</v>
      </c>
      <c r="AU262" s="95">
        <v>10.776</v>
      </c>
      <c r="AV262" s="95">
        <v>10.81</v>
      </c>
      <c r="AW262" s="95">
        <v>10.843</v>
      </c>
      <c r="AX262" s="95">
        <v>6.7000000000000004E-2</v>
      </c>
      <c r="AY262" s="95">
        <f t="shared" si="26"/>
        <v>0.98424680610823256</v>
      </c>
      <c r="AZ262" s="95">
        <f t="shared" si="27"/>
        <v>24.991676300578032</v>
      </c>
    </row>
    <row r="263" spans="1:52" s="96" customFormat="1" ht="18" customHeight="1" x14ac:dyDescent="0.2">
      <c r="A263" s="97"/>
      <c r="B263" s="97">
        <v>2</v>
      </c>
      <c r="C263" s="95">
        <v>217.226585</v>
      </c>
      <c r="D263" s="95">
        <v>214.26396</v>
      </c>
      <c r="E263" s="95">
        <v>1534.77748</v>
      </c>
      <c r="F263" s="95">
        <v>1534.77748</v>
      </c>
      <c r="G263" s="95">
        <v>0.45400000000000001</v>
      </c>
      <c r="H263" s="95">
        <v>0.26500000000000001</v>
      </c>
      <c r="I263" s="95">
        <f t="shared" si="28"/>
        <v>1.0268017691522564</v>
      </c>
      <c r="J263" s="95">
        <f t="shared" si="29"/>
        <v>1.0820299487041771</v>
      </c>
      <c r="K263" s="95">
        <f t="shared" si="30"/>
        <v>9.4333052862917953E-4</v>
      </c>
      <c r="L263" s="95">
        <f t="shared" si="31"/>
        <v>0.98636159105479648</v>
      </c>
      <c r="M263" s="95"/>
      <c r="N263" s="98">
        <v>11.519</v>
      </c>
      <c r="O263" s="104">
        <v>3.38</v>
      </c>
      <c r="P263" s="102">
        <f t="shared" si="32"/>
        <v>86.62</v>
      </c>
      <c r="Z263" s="95">
        <v>5.43</v>
      </c>
      <c r="AA263" s="95">
        <v>216.35900000000001</v>
      </c>
      <c r="AB263" s="95">
        <v>207.465</v>
      </c>
      <c r="AC263" s="95">
        <v>1500.11</v>
      </c>
      <c r="AD263" s="95">
        <v>1483.85</v>
      </c>
      <c r="AE263" s="95">
        <v>239.15100000000001</v>
      </c>
      <c r="AF263" s="95">
        <v>234.858</v>
      </c>
      <c r="AG263" s="95">
        <v>0.37737999999999999</v>
      </c>
      <c r="AH263" s="95">
        <v>6.8559999999999996E-2</v>
      </c>
      <c r="AI263" s="95">
        <v>0.26373999999999997</v>
      </c>
      <c r="AJ263" s="95">
        <v>0</v>
      </c>
      <c r="AK263" s="95">
        <v>0.24990000000000001</v>
      </c>
      <c r="AL263" s="95">
        <v>4.4720000000000004</v>
      </c>
      <c r="AM263" s="95">
        <v>1.48695</v>
      </c>
      <c r="AN263" s="95">
        <v>2.12</v>
      </c>
      <c r="AO263" s="95">
        <v>0</v>
      </c>
      <c r="AP263" s="95">
        <v>463.66300000000001</v>
      </c>
      <c r="AQ263" s="95">
        <v>463.34399999999999</v>
      </c>
      <c r="AR263" s="95">
        <v>463.34399999999999</v>
      </c>
      <c r="AS263" s="95">
        <v>0</v>
      </c>
      <c r="AT263" s="95">
        <v>17.190999999999999</v>
      </c>
      <c r="AU263" s="95">
        <v>10.843</v>
      </c>
      <c r="AV263" s="95">
        <v>10.875999999999999</v>
      </c>
      <c r="AW263" s="95">
        <v>10.909000000000001</v>
      </c>
      <c r="AX263" s="95">
        <v>6.5000000000000002E-2</v>
      </c>
      <c r="AY263" s="95">
        <f t="shared" si="26"/>
        <v>0.98608553770987917</v>
      </c>
      <c r="AZ263" s="95">
        <f t="shared" si="27"/>
        <v>25.012601156069366</v>
      </c>
    </row>
    <row r="264" spans="1:52" s="96" customFormat="1" ht="18" customHeight="1" x14ac:dyDescent="0.2">
      <c r="A264" s="97"/>
      <c r="B264" s="97">
        <v>3</v>
      </c>
      <c r="C264" s="95">
        <v>217.37969000000001</v>
      </c>
      <c r="D264" s="95">
        <v>214.63072</v>
      </c>
      <c r="E264" s="95">
        <v>1500.0954099999999</v>
      </c>
      <c r="F264" s="95">
        <v>1500.0954099999999</v>
      </c>
      <c r="G264" s="95">
        <v>0.45600000000000002</v>
      </c>
      <c r="H264" s="95">
        <v>0.26900000000000002</v>
      </c>
      <c r="I264" s="95">
        <f t="shared" si="28"/>
        <v>1.0267281843701581</v>
      </c>
      <c r="J264" s="95">
        <f t="shared" si="29"/>
        <v>1.0828470329287907</v>
      </c>
      <c r="K264" s="95">
        <f t="shared" si="30"/>
        <v>8.7438521810416416E-4</v>
      </c>
      <c r="L264" s="95">
        <f t="shared" si="31"/>
        <v>0.9873540623781365</v>
      </c>
      <c r="M264" s="95"/>
      <c r="N264" s="98">
        <v>11.457000000000001</v>
      </c>
      <c r="O264" s="104">
        <v>2.34</v>
      </c>
      <c r="P264" s="102">
        <f t="shared" si="32"/>
        <v>87.66</v>
      </c>
      <c r="Z264" s="95">
        <v>5.43</v>
      </c>
      <c r="AA264" s="95">
        <v>216.37299999999999</v>
      </c>
      <c r="AB264" s="95">
        <v>207.465</v>
      </c>
      <c r="AC264" s="95">
        <v>1477.93</v>
      </c>
      <c r="AD264" s="95">
        <v>1461.83</v>
      </c>
      <c r="AE264" s="95">
        <v>233.29599999999999</v>
      </c>
      <c r="AF264" s="95">
        <v>229.06</v>
      </c>
      <c r="AG264" s="95">
        <v>0.38306000000000001</v>
      </c>
      <c r="AH264" s="95">
        <v>6.8559999999999996E-2</v>
      </c>
      <c r="AI264" s="95">
        <v>0.26307000000000003</v>
      </c>
      <c r="AJ264" s="95">
        <v>0</v>
      </c>
      <c r="AK264" s="95">
        <v>0.25</v>
      </c>
      <c r="AL264" s="95">
        <v>4.4329999999999998</v>
      </c>
      <c r="AM264" s="95">
        <v>1.4830099999999999</v>
      </c>
      <c r="AN264" s="95">
        <v>1.31</v>
      </c>
      <c r="AO264" s="95">
        <v>0</v>
      </c>
      <c r="AP264" s="95">
        <v>460.56200000000001</v>
      </c>
      <c r="AQ264" s="95">
        <v>460.44099999999997</v>
      </c>
      <c r="AR264" s="95">
        <v>460.44099999999997</v>
      </c>
      <c r="AS264" s="95">
        <v>0</v>
      </c>
      <c r="AT264" s="95">
        <v>10.526999999999999</v>
      </c>
      <c r="AU264" s="95">
        <v>10.909000000000001</v>
      </c>
      <c r="AV264" s="95">
        <v>10.941000000000001</v>
      </c>
      <c r="AW264" s="95">
        <v>10.973000000000001</v>
      </c>
      <c r="AX264" s="95">
        <v>6.4000000000000001E-2</v>
      </c>
      <c r="AY264" s="95">
        <f t="shared" si="26"/>
        <v>0.9874499710208422</v>
      </c>
      <c r="AZ264" s="95">
        <f t="shared" si="27"/>
        <v>25.01421965317919</v>
      </c>
    </row>
    <row r="265" spans="1:52" s="96" customFormat="1" ht="18" customHeight="1" x14ac:dyDescent="0.2">
      <c r="A265" s="97"/>
      <c r="B265" s="97">
        <v>4</v>
      </c>
      <c r="C265" s="95">
        <v>217.582965</v>
      </c>
      <c r="D265" s="95">
        <v>215.08657500000001</v>
      </c>
      <c r="E265" s="95">
        <v>1474.1797399999998</v>
      </c>
      <c r="F265" s="95">
        <v>1474.1797399999998</v>
      </c>
      <c r="G265" s="95">
        <v>0.45800000000000002</v>
      </c>
      <c r="H265" s="95">
        <v>0.27400000000000002</v>
      </c>
      <c r="I265" s="95">
        <f t="shared" si="28"/>
        <v>1.026539109956186</v>
      </c>
      <c r="J265" s="95">
        <f t="shared" si="29"/>
        <v>1.0834345077647598</v>
      </c>
      <c r="K265" s="95">
        <f t="shared" si="30"/>
        <v>7.9300437303351547E-4</v>
      </c>
      <c r="L265" s="95">
        <f t="shared" si="31"/>
        <v>0.98852672128996866</v>
      </c>
      <c r="M265" s="95"/>
      <c r="N265" s="98">
        <v>11.375999999999999</v>
      </c>
      <c r="O265" s="104">
        <v>1.27</v>
      </c>
      <c r="P265" s="102">
        <f t="shared" si="32"/>
        <v>88.73</v>
      </c>
      <c r="Z265" s="95">
        <v>5.43</v>
      </c>
      <c r="AA265" s="95">
        <v>216.32499999999999</v>
      </c>
      <c r="AB265" s="95">
        <v>207.46600000000001</v>
      </c>
      <c r="AC265" s="95">
        <v>1468.5</v>
      </c>
      <c r="AD265" s="95">
        <v>1452.57</v>
      </c>
      <c r="AE265" s="95">
        <v>230.81299999999999</v>
      </c>
      <c r="AF265" s="95">
        <v>226.626</v>
      </c>
      <c r="AG265" s="95">
        <v>0.38550000000000001</v>
      </c>
      <c r="AH265" s="95">
        <v>6.8559999999999996E-2</v>
      </c>
      <c r="AI265" s="95">
        <v>0.26279000000000002</v>
      </c>
      <c r="AJ265" s="95">
        <v>0</v>
      </c>
      <c r="AK265" s="95">
        <v>0.24929999999999999</v>
      </c>
      <c r="AL265" s="95">
        <v>4.43</v>
      </c>
      <c r="AM265" s="95">
        <v>1.4813400000000001</v>
      </c>
      <c r="AN265" s="95">
        <v>0.71</v>
      </c>
      <c r="AO265" s="95">
        <v>0</v>
      </c>
      <c r="AP265" s="95">
        <v>457.89499999999998</v>
      </c>
      <c r="AQ265" s="95">
        <v>457.86</v>
      </c>
      <c r="AR265" s="95">
        <v>457.86</v>
      </c>
      <c r="AS265" s="95">
        <v>0</v>
      </c>
      <c r="AT265" s="95">
        <v>5.7050000000000001</v>
      </c>
      <c r="AU265" s="95">
        <v>10.973000000000001</v>
      </c>
      <c r="AV265" s="95">
        <v>11.005000000000001</v>
      </c>
      <c r="AW265" s="95">
        <v>11.037000000000001</v>
      </c>
      <c r="AX265" s="95">
        <v>6.4000000000000001E-2</v>
      </c>
      <c r="AY265" s="95">
        <f t="shared" si="26"/>
        <v>0.98850758545055739</v>
      </c>
      <c r="AZ265" s="95">
        <f t="shared" si="27"/>
        <v>25.008670520231213</v>
      </c>
    </row>
    <row r="266" spans="1:52" s="96" customFormat="1" ht="18" customHeight="1" x14ac:dyDescent="0.2">
      <c r="A266" s="97"/>
      <c r="B266" s="97">
        <v>5</v>
      </c>
      <c r="C266" s="95">
        <v>217.78710500000003</v>
      </c>
      <c r="D266" s="95">
        <v>215.47928500000003</v>
      </c>
      <c r="E266" s="95">
        <v>1461.4684600000001</v>
      </c>
      <c r="F266" s="95">
        <v>1461.4684600000001</v>
      </c>
      <c r="G266" s="95">
        <v>0.46</v>
      </c>
      <c r="H266" s="95">
        <v>0.27800000000000002</v>
      </c>
      <c r="I266" s="95">
        <f t="shared" si="28"/>
        <v>1.0264543011578631</v>
      </c>
      <c r="J266" s="95">
        <f t="shared" si="29"/>
        <v>1.0840817415179576</v>
      </c>
      <c r="K266" s="95">
        <f t="shared" si="30"/>
        <v>7.3223674820411568E-4</v>
      </c>
      <c r="L266" s="95">
        <f t="shared" si="31"/>
        <v>0.98940332119296048</v>
      </c>
      <c r="M266" s="95"/>
      <c r="N266" s="98">
        <v>11.295999999999999</v>
      </c>
      <c r="O266" s="104">
        <v>0.53</v>
      </c>
      <c r="P266" s="102">
        <f t="shared" si="32"/>
        <v>89.47</v>
      </c>
      <c r="Z266" s="95">
        <v>5.43</v>
      </c>
      <c r="AA266" s="95">
        <v>216.23099999999999</v>
      </c>
      <c r="AB266" s="95">
        <v>207.46600000000001</v>
      </c>
      <c r="AC266" s="95">
        <v>1462.94</v>
      </c>
      <c r="AD266" s="95">
        <v>1447.24</v>
      </c>
      <c r="AE266" s="95">
        <v>229.352</v>
      </c>
      <c r="AF266" s="95">
        <v>225.22399999999999</v>
      </c>
      <c r="AG266" s="95">
        <v>0.38691999999999999</v>
      </c>
      <c r="AH266" s="95">
        <v>6.8559999999999996E-2</v>
      </c>
      <c r="AI266" s="95">
        <v>0.26262000000000002</v>
      </c>
      <c r="AJ266" s="95">
        <v>0</v>
      </c>
      <c r="AK266" s="95">
        <v>0.248</v>
      </c>
      <c r="AL266" s="95">
        <v>4.4450000000000003</v>
      </c>
      <c r="AM266" s="95">
        <v>1.48037</v>
      </c>
      <c r="AN266" s="95">
        <v>0.28999999999999998</v>
      </c>
      <c r="AO266" s="95">
        <v>0</v>
      </c>
      <c r="AP266" s="95">
        <v>454.65800000000002</v>
      </c>
      <c r="AQ266" s="95">
        <v>454.65199999999999</v>
      </c>
      <c r="AR266" s="95">
        <v>454.65199999999999</v>
      </c>
      <c r="AS266" s="95">
        <v>0</v>
      </c>
      <c r="AT266" s="95">
        <v>2.3180000000000001</v>
      </c>
      <c r="AU266" s="95">
        <v>11.037000000000001</v>
      </c>
      <c r="AV266" s="95">
        <v>11.069000000000001</v>
      </c>
      <c r="AW266" s="95">
        <v>11.101000000000001</v>
      </c>
      <c r="AX266" s="95">
        <v>6.4000000000000001E-2</v>
      </c>
      <c r="AY266" s="95">
        <f t="shared" si="26"/>
        <v>0.98932578100693624</v>
      </c>
      <c r="AZ266" s="95">
        <f t="shared" si="27"/>
        <v>24.99780346820809</v>
      </c>
    </row>
    <row r="267" spans="1:52" s="96" customFormat="1" ht="18" customHeight="1" x14ac:dyDescent="0.2">
      <c r="A267" s="97"/>
      <c r="B267" s="97">
        <v>6</v>
      </c>
      <c r="C267" s="95">
        <v>217.99124500000002</v>
      </c>
      <c r="D267" s="95">
        <v>215.78376500000002</v>
      </c>
      <c r="E267" s="95">
        <v>1455.87988</v>
      </c>
      <c r="F267" s="95">
        <v>1455.87988</v>
      </c>
      <c r="G267" s="95">
        <v>0.46300000000000002</v>
      </c>
      <c r="H267" s="95">
        <v>0.28199999999999997</v>
      </c>
      <c r="I267" s="95">
        <f t="shared" si="28"/>
        <v>1.0265467787926585</v>
      </c>
      <c r="J267" s="95">
        <f t="shared" si="29"/>
        <v>1.084938999171442</v>
      </c>
      <c r="K267" s="95">
        <f t="shared" si="30"/>
        <v>6.9967263841909638E-4</v>
      </c>
      <c r="L267" s="95">
        <f t="shared" si="31"/>
        <v>0.98987353826985114</v>
      </c>
      <c r="M267" s="95"/>
      <c r="N267" s="98">
        <v>11.217000000000001</v>
      </c>
      <c r="O267" s="104">
        <v>0.11</v>
      </c>
      <c r="P267" s="102">
        <f t="shared" si="32"/>
        <v>89.89</v>
      </c>
      <c r="Z267" s="95">
        <v>5.43</v>
      </c>
      <c r="AA267" s="95">
        <v>216.23699999999999</v>
      </c>
      <c r="AB267" s="95">
        <v>207.46600000000001</v>
      </c>
      <c r="AC267" s="95">
        <v>1461.26</v>
      </c>
      <c r="AD267" s="95">
        <v>1445.57</v>
      </c>
      <c r="AE267" s="95">
        <v>228.91</v>
      </c>
      <c r="AF267" s="95">
        <v>224.78399999999999</v>
      </c>
      <c r="AG267" s="95">
        <v>0.38736999999999999</v>
      </c>
      <c r="AH267" s="95">
        <v>6.8559999999999996E-2</v>
      </c>
      <c r="AI267" s="95">
        <v>0.26257000000000003</v>
      </c>
      <c r="AJ267" s="95">
        <v>0</v>
      </c>
      <c r="AK267" s="95">
        <v>0.24809999999999999</v>
      </c>
      <c r="AL267" s="95">
        <v>4.4409999999999998</v>
      </c>
      <c r="AM267" s="95">
        <v>1.48007</v>
      </c>
      <c r="AN267" s="95">
        <v>7.0000000000000007E-2</v>
      </c>
      <c r="AO267" s="95">
        <v>0</v>
      </c>
      <c r="AP267" s="95">
        <v>454.56299999999999</v>
      </c>
      <c r="AQ267" s="95">
        <v>454.56299999999999</v>
      </c>
      <c r="AR267" s="95">
        <v>454.56299999999999</v>
      </c>
      <c r="AS267" s="95">
        <v>0</v>
      </c>
      <c r="AT267" s="95">
        <v>0.57799999999999996</v>
      </c>
      <c r="AU267" s="95">
        <v>11.101000000000001</v>
      </c>
      <c r="AV267" s="95">
        <v>11.132999999999999</v>
      </c>
      <c r="AW267" s="95">
        <v>11.164999999999999</v>
      </c>
      <c r="AX267" s="95">
        <v>6.3E-2</v>
      </c>
      <c r="AY267" s="95">
        <f t="shared" si="26"/>
        <v>0.98977891701377763</v>
      </c>
      <c r="AZ267" s="95">
        <f t="shared" si="27"/>
        <v>24.998497109826587</v>
      </c>
    </row>
    <row r="268" spans="1:52" s="96" customFormat="1" ht="18" customHeight="1" x14ac:dyDescent="0.2">
      <c r="A268" s="97"/>
      <c r="B268" s="97">
        <v>7</v>
      </c>
      <c r="C268" s="95">
        <v>218.19451999999998</v>
      </c>
      <c r="D268" s="95">
        <v>215.9905</v>
      </c>
      <c r="E268" s="95">
        <v>1455.1128200000001</v>
      </c>
      <c r="F268" s="95">
        <v>1455.1128200000001</v>
      </c>
      <c r="G268" s="95">
        <v>0.46500000000000002</v>
      </c>
      <c r="H268" s="95">
        <v>0.28299999999999997</v>
      </c>
      <c r="I268" s="95">
        <f t="shared" si="28"/>
        <v>1.0267979557051068</v>
      </c>
      <c r="J268" s="95">
        <f t="shared" si="29"/>
        <v>1.0858961529322129</v>
      </c>
      <c r="K268" s="95">
        <f t="shared" si="30"/>
        <v>6.9793954438657733E-4</v>
      </c>
      <c r="L268" s="95">
        <f t="shared" si="31"/>
        <v>0.9898988297231297</v>
      </c>
      <c r="M268" s="95"/>
      <c r="N268" s="98">
        <v>11.138</v>
      </c>
      <c r="O268" s="104">
        <v>0.02</v>
      </c>
      <c r="P268" s="102">
        <f t="shared" si="32"/>
        <v>89.98</v>
      </c>
      <c r="Z268" s="95">
        <v>5.43</v>
      </c>
      <c r="AA268" s="95">
        <v>215.91</v>
      </c>
      <c r="AB268" s="95">
        <v>207.46600000000001</v>
      </c>
      <c r="AC268" s="95">
        <v>1462.97</v>
      </c>
      <c r="AD268" s="95">
        <v>1447.83</v>
      </c>
      <c r="AE268" s="95">
        <v>229.35900000000001</v>
      </c>
      <c r="AF268" s="95">
        <v>225.37899999999999</v>
      </c>
      <c r="AG268" s="95">
        <v>0.38677</v>
      </c>
      <c r="AH268" s="95">
        <v>6.8559999999999996E-2</v>
      </c>
      <c r="AI268" s="95">
        <v>0.26263999999999998</v>
      </c>
      <c r="AJ268" s="95">
        <v>0</v>
      </c>
      <c r="AK268" s="95">
        <v>0.24349999999999999</v>
      </c>
      <c r="AL268" s="95">
        <v>4.5279999999999996</v>
      </c>
      <c r="AM268" s="95">
        <v>1.48048</v>
      </c>
      <c r="AN268" s="95">
        <v>7.0000000000000007E-2</v>
      </c>
      <c r="AO268" s="95">
        <v>0</v>
      </c>
      <c r="AP268" s="95">
        <v>446.46800000000002</v>
      </c>
      <c r="AQ268" s="95">
        <v>446.46800000000002</v>
      </c>
      <c r="AR268" s="95">
        <v>446.46800000000002</v>
      </c>
      <c r="AS268" s="95">
        <v>0</v>
      </c>
      <c r="AT268" s="95">
        <v>0.54300000000000004</v>
      </c>
      <c r="AU268" s="95">
        <v>11.164999999999999</v>
      </c>
      <c r="AV268" s="95">
        <v>11.196999999999999</v>
      </c>
      <c r="AW268" s="95">
        <v>11.228999999999999</v>
      </c>
      <c r="AX268" s="95">
        <v>6.4000000000000001E-2</v>
      </c>
      <c r="AY268" s="95">
        <f t="shared" si="26"/>
        <v>0.98988611564488616</v>
      </c>
      <c r="AZ268" s="95">
        <f t="shared" si="27"/>
        <v>24.960693641618494</v>
      </c>
    </row>
    <row r="269" spans="1:52" s="96" customFormat="1" ht="18" customHeight="1" x14ac:dyDescent="0.2">
      <c r="A269" s="97"/>
      <c r="B269" s="97">
        <v>8</v>
      </c>
      <c r="C269" s="95">
        <v>218.39866000000001</v>
      </c>
      <c r="D269" s="95">
        <v>216.05450999999999</v>
      </c>
      <c r="E269" s="95">
        <v>1460.8657700000001</v>
      </c>
      <c r="F269" s="95">
        <v>1460.8657700000001</v>
      </c>
      <c r="G269" s="95">
        <v>0.46800000000000003</v>
      </c>
      <c r="H269" s="95">
        <v>0.28299999999999997</v>
      </c>
      <c r="I269" s="95">
        <f t="shared" si="28"/>
        <v>1.0273489303041738</v>
      </c>
      <c r="J269" s="95">
        <f t="shared" si="29"/>
        <v>1.0872421300010195</v>
      </c>
      <c r="K269" s="95">
        <f t="shared" si="30"/>
        <v>7.4177212920739123E-4</v>
      </c>
      <c r="L269" s="95">
        <f t="shared" si="31"/>
        <v>0.98926664659938846</v>
      </c>
      <c r="M269" s="95"/>
      <c r="N269" s="98">
        <v>11.058999999999999</v>
      </c>
      <c r="O269" s="104">
        <v>0.32</v>
      </c>
      <c r="P269" s="102">
        <f t="shared" si="32"/>
        <v>89.68</v>
      </c>
      <c r="Z269" s="95">
        <v>5.43</v>
      </c>
      <c r="AA269" s="95">
        <v>215.84200000000001</v>
      </c>
      <c r="AB269" s="95">
        <v>207.46600000000001</v>
      </c>
      <c r="AC269" s="95">
        <v>1468.43</v>
      </c>
      <c r="AD269" s="95">
        <v>1453.36</v>
      </c>
      <c r="AE269" s="95">
        <v>230.79599999999999</v>
      </c>
      <c r="AF269" s="95">
        <v>226.83099999999999</v>
      </c>
      <c r="AG269" s="95">
        <v>0.38529999999999998</v>
      </c>
      <c r="AH269" s="95">
        <v>6.8559999999999996E-2</v>
      </c>
      <c r="AI269" s="95">
        <v>0.26280999999999999</v>
      </c>
      <c r="AJ269" s="95">
        <v>0</v>
      </c>
      <c r="AK269" s="95">
        <v>0.24249999999999999</v>
      </c>
      <c r="AL269" s="95">
        <v>4.5549999999999997</v>
      </c>
      <c r="AM269" s="95">
        <v>1.4814799999999999</v>
      </c>
      <c r="AN269" s="95">
        <v>0.23</v>
      </c>
      <c r="AO269" s="95">
        <v>0</v>
      </c>
      <c r="AP269" s="95">
        <v>445.541</v>
      </c>
      <c r="AQ269" s="95">
        <v>445.53800000000001</v>
      </c>
      <c r="AR269" s="95">
        <v>445.53800000000001</v>
      </c>
      <c r="AS269" s="95">
        <v>0</v>
      </c>
      <c r="AT269" s="95">
        <v>1.79</v>
      </c>
      <c r="AU269" s="95">
        <v>11.228999999999999</v>
      </c>
      <c r="AV269" s="95">
        <v>11.260999999999999</v>
      </c>
      <c r="AW269" s="95">
        <v>11.294</v>
      </c>
      <c r="AX269" s="95">
        <v>6.4000000000000001E-2</v>
      </c>
      <c r="AY269" s="95">
        <f t="shared" si="26"/>
        <v>0.9897422493683482</v>
      </c>
      <c r="AZ269" s="95">
        <f t="shared" si="27"/>
        <v>24.952832369942197</v>
      </c>
    </row>
    <row r="270" spans="1:52" s="96" customFormat="1" ht="18" customHeight="1" x14ac:dyDescent="0.2">
      <c r="A270" s="97"/>
      <c r="B270" s="97">
        <v>9</v>
      </c>
      <c r="C270" s="95">
        <v>218.601935</v>
      </c>
      <c r="D270" s="95">
        <v>215.99569000000002</v>
      </c>
      <c r="E270" s="95">
        <v>1472.4264599999999</v>
      </c>
      <c r="F270" s="95">
        <v>1472.4264599999999</v>
      </c>
      <c r="G270" s="95">
        <v>0.47199999999999998</v>
      </c>
      <c r="H270" s="95">
        <v>0.28199999999999997</v>
      </c>
      <c r="I270" s="95">
        <f t="shared" si="28"/>
        <v>1.0282034300851812</v>
      </c>
      <c r="J270" s="95">
        <f t="shared" si="29"/>
        <v>1.0890999863279551</v>
      </c>
      <c r="K270" s="95">
        <f t="shared" si="30"/>
        <v>8.2427287529167163E-4</v>
      </c>
      <c r="L270" s="95">
        <f t="shared" si="31"/>
        <v>0.98807766729054813</v>
      </c>
      <c r="M270" s="95"/>
      <c r="N270" s="98">
        <v>10.978999999999999</v>
      </c>
      <c r="O270" s="104">
        <v>0.93</v>
      </c>
      <c r="P270" s="102">
        <f t="shared" si="32"/>
        <v>89.07</v>
      </c>
      <c r="Z270" s="95">
        <v>5.43</v>
      </c>
      <c r="AA270" s="95">
        <v>216.08500000000001</v>
      </c>
      <c r="AB270" s="95">
        <v>207.46600000000001</v>
      </c>
      <c r="AC270" s="95">
        <v>1477.38</v>
      </c>
      <c r="AD270" s="95">
        <v>1461.79</v>
      </c>
      <c r="AE270" s="95">
        <v>233.15</v>
      </c>
      <c r="AF270" s="95">
        <v>229.04900000000001</v>
      </c>
      <c r="AG270" s="95">
        <v>0.38307000000000002</v>
      </c>
      <c r="AH270" s="95">
        <v>6.8559999999999996E-2</v>
      </c>
      <c r="AI270" s="95">
        <v>0.26307000000000003</v>
      </c>
      <c r="AJ270" s="95">
        <v>0</v>
      </c>
      <c r="AK270" s="95">
        <v>0.246</v>
      </c>
      <c r="AL270" s="95">
        <v>4.5039999999999996</v>
      </c>
      <c r="AM270" s="95">
        <v>1.4830000000000001</v>
      </c>
      <c r="AN270" s="95">
        <v>0.55000000000000004</v>
      </c>
      <c r="AO270" s="95">
        <v>0</v>
      </c>
      <c r="AP270" s="95">
        <v>453.16899999999998</v>
      </c>
      <c r="AQ270" s="95">
        <v>453.14800000000002</v>
      </c>
      <c r="AR270" s="95">
        <v>453.14800000000002</v>
      </c>
      <c r="AS270" s="95">
        <v>0</v>
      </c>
      <c r="AT270" s="95">
        <v>4.3680000000000003</v>
      </c>
      <c r="AU270" s="95">
        <v>11.294</v>
      </c>
      <c r="AV270" s="95">
        <v>11.324999999999999</v>
      </c>
      <c r="AW270" s="95">
        <v>11.356999999999999</v>
      </c>
      <c r="AX270" s="95">
        <v>6.3E-2</v>
      </c>
      <c r="AY270" s="95">
        <f t="shared" si="26"/>
        <v>0.9893684726222145</v>
      </c>
      <c r="AZ270" s="95">
        <f t="shared" si="27"/>
        <v>24.980924855491331</v>
      </c>
    </row>
    <row r="271" spans="1:52" s="96" customFormat="1" ht="18" customHeight="1" x14ac:dyDescent="0.2">
      <c r="A271" s="97"/>
      <c r="B271" s="97">
        <v>10</v>
      </c>
      <c r="C271" s="95">
        <v>218.80607500000002</v>
      </c>
      <c r="D271" s="95">
        <v>215.85469500000002</v>
      </c>
      <c r="E271" s="95">
        <v>1495.82179</v>
      </c>
      <c r="F271" s="95">
        <v>1495.82179</v>
      </c>
      <c r="G271" s="95">
        <v>0.47599999999999998</v>
      </c>
      <c r="H271" s="95">
        <v>0.28100000000000003</v>
      </c>
      <c r="I271" s="95">
        <f t="shared" si="28"/>
        <v>1.0290640152582391</v>
      </c>
      <c r="J271" s="95">
        <f t="shared" si="29"/>
        <v>1.0905623372256799</v>
      </c>
      <c r="K271" s="95">
        <f t="shared" si="30"/>
        <v>9.3308255812341988E-4</v>
      </c>
      <c r="L271" s="95">
        <f t="shared" si="31"/>
        <v>0.98651143484018899</v>
      </c>
      <c r="M271" s="95"/>
      <c r="N271" s="98">
        <v>10.897</v>
      </c>
      <c r="O271" s="104">
        <v>1.88</v>
      </c>
      <c r="P271" s="102">
        <f t="shared" si="32"/>
        <v>88.12</v>
      </c>
      <c r="Z271" s="95">
        <v>5.43</v>
      </c>
      <c r="AA271" s="95">
        <v>215.68299999999999</v>
      </c>
      <c r="AB271" s="95">
        <v>207.46600000000001</v>
      </c>
      <c r="AC271" s="95">
        <v>1492.03</v>
      </c>
      <c r="AD271" s="95">
        <v>1477.06</v>
      </c>
      <c r="AE271" s="95">
        <v>237.018</v>
      </c>
      <c r="AF271" s="95">
        <v>233.065</v>
      </c>
      <c r="AG271" s="95">
        <v>0.37911</v>
      </c>
      <c r="AH271" s="95">
        <v>6.8559999999999996E-2</v>
      </c>
      <c r="AI271" s="95">
        <v>0.26352999999999999</v>
      </c>
      <c r="AJ271" s="95">
        <v>0</v>
      </c>
      <c r="AK271" s="95">
        <v>0.2404</v>
      </c>
      <c r="AL271" s="95">
        <v>4.6360000000000001</v>
      </c>
      <c r="AM271" s="95">
        <v>1.4857400000000001</v>
      </c>
      <c r="AN271" s="95">
        <v>1.1200000000000001</v>
      </c>
      <c r="AO271" s="95">
        <v>0</v>
      </c>
      <c r="AP271" s="95">
        <v>444.94200000000001</v>
      </c>
      <c r="AQ271" s="95">
        <v>444.85700000000003</v>
      </c>
      <c r="AR271" s="95">
        <v>444.85700000000003</v>
      </c>
      <c r="AS271" s="95">
        <v>0</v>
      </c>
      <c r="AT271" s="95">
        <v>8.69</v>
      </c>
      <c r="AU271" s="95">
        <v>11.356999999999999</v>
      </c>
      <c r="AV271" s="95">
        <v>11.388999999999999</v>
      </c>
      <c r="AW271" s="95">
        <v>11.422000000000001</v>
      </c>
      <c r="AX271" s="95">
        <v>6.5000000000000002E-2</v>
      </c>
      <c r="AY271" s="95">
        <f t="shared" si="26"/>
        <v>0.98872299363261706</v>
      </c>
      <c r="AZ271" s="95">
        <f t="shared" si="27"/>
        <v>24.934450867052021</v>
      </c>
    </row>
    <row r="272" spans="1:52" s="96" customFormat="1" ht="18" customHeight="1" x14ac:dyDescent="0.2">
      <c r="A272" s="97"/>
      <c r="B272" s="97">
        <v>11</v>
      </c>
      <c r="C272" s="95">
        <v>219.00935000000001</v>
      </c>
      <c r="D272" s="95">
        <v>215.58568000000002</v>
      </c>
      <c r="E272" s="95">
        <v>1534.61311</v>
      </c>
      <c r="F272" s="95">
        <v>1534.61311</v>
      </c>
      <c r="G272" s="95">
        <v>0.48099999999999998</v>
      </c>
      <c r="H272" s="95">
        <v>0.27800000000000002</v>
      </c>
      <c r="I272" s="95">
        <f t="shared" si="28"/>
        <v>1.0303463426509134</v>
      </c>
      <c r="J272" s="95">
        <f t="shared" si="29"/>
        <v>1.0929456660201984</v>
      </c>
      <c r="K272" s="95">
        <f t="shared" si="30"/>
        <v>1.0823162976281442E-3</v>
      </c>
      <c r="L272" s="95">
        <f t="shared" si="31"/>
        <v>0.98436747106915756</v>
      </c>
      <c r="M272" s="95"/>
      <c r="N272" s="98">
        <v>10.813000000000001</v>
      </c>
      <c r="O272" s="104">
        <v>3.19</v>
      </c>
      <c r="P272" s="102">
        <f t="shared" si="32"/>
        <v>86.81</v>
      </c>
      <c r="Z272" s="95">
        <v>5.43</v>
      </c>
      <c r="AA272" s="95">
        <v>215.49700000000001</v>
      </c>
      <c r="AB272" s="95">
        <v>207.46600000000001</v>
      </c>
      <c r="AC272" s="95">
        <v>1516.43</v>
      </c>
      <c r="AD272" s="95">
        <v>1501.56</v>
      </c>
      <c r="AE272" s="95">
        <v>243.465</v>
      </c>
      <c r="AF272" s="95">
        <v>239.536</v>
      </c>
      <c r="AG272" s="95">
        <v>0.37292999999999998</v>
      </c>
      <c r="AH272" s="95">
        <v>6.8559999999999996E-2</v>
      </c>
      <c r="AI272" s="95">
        <v>0.26427</v>
      </c>
      <c r="AJ272" s="95">
        <v>0</v>
      </c>
      <c r="AK272" s="95">
        <v>0.23780000000000001</v>
      </c>
      <c r="AL272" s="95">
        <v>4.7300000000000004</v>
      </c>
      <c r="AM272" s="95">
        <v>1.4900800000000001</v>
      </c>
      <c r="AN272" s="95">
        <v>1.94</v>
      </c>
      <c r="AO272" s="95">
        <v>0</v>
      </c>
      <c r="AP272" s="95">
        <v>443.57299999999998</v>
      </c>
      <c r="AQ272" s="95">
        <v>443.31900000000002</v>
      </c>
      <c r="AR272" s="95">
        <v>443.31900000000002</v>
      </c>
      <c r="AS272" s="95">
        <v>0</v>
      </c>
      <c r="AT272" s="95">
        <v>14.988</v>
      </c>
      <c r="AU272" s="95">
        <v>11.422000000000001</v>
      </c>
      <c r="AV272" s="95">
        <v>11.455</v>
      </c>
      <c r="AW272" s="95">
        <v>11.487</v>
      </c>
      <c r="AX272" s="95">
        <v>6.6000000000000003E-2</v>
      </c>
      <c r="AY272" s="95">
        <f t="shared" ref="AY272:AY273" si="33">AA272/AA259</f>
        <v>0.9877978905293846</v>
      </c>
      <c r="AZ272" s="95">
        <f t="shared" ref="AZ272:AZ273" si="34">AA272/8.65</f>
        <v>24.912947976878613</v>
      </c>
    </row>
    <row r="273" spans="1:52" s="96" customFormat="1" ht="18" customHeight="1" x14ac:dyDescent="0.2">
      <c r="A273" s="97"/>
      <c r="B273" s="97">
        <v>12</v>
      </c>
      <c r="C273" s="95">
        <v>219.11142000000001</v>
      </c>
      <c r="D273" s="95">
        <v>215.42565500000001</v>
      </c>
      <c r="E273" s="95">
        <v>1561.29584</v>
      </c>
      <c r="F273" s="95">
        <v>1561.29584</v>
      </c>
      <c r="G273" s="95">
        <v>0.48399999999999999</v>
      </c>
      <c r="H273" s="95">
        <v>0.27600000000000002</v>
      </c>
      <c r="I273" s="95">
        <f t="shared" si="28"/>
        <v>1.0311415522235636</v>
      </c>
      <c r="J273" s="95">
        <f t="shared" si="29"/>
        <v>1.0945772491195913</v>
      </c>
      <c r="K273" s="95">
        <f t="shared" si="30"/>
        <v>1.1652168690018229E-3</v>
      </c>
      <c r="L273" s="95">
        <f t="shared" si="31"/>
        <v>0.98317858101599631</v>
      </c>
      <c r="M273" s="95"/>
      <c r="N273" s="98">
        <v>10.77</v>
      </c>
      <c r="O273" s="104">
        <v>4</v>
      </c>
      <c r="P273" s="102">
        <f t="shared" si="32"/>
        <v>86</v>
      </c>
      <c r="Z273" s="95">
        <v>5.43</v>
      </c>
      <c r="AA273" s="95">
        <v>214.577</v>
      </c>
      <c r="AB273" s="95">
        <v>207.46600000000001</v>
      </c>
      <c r="AC273" s="95">
        <v>1558.2</v>
      </c>
      <c r="AD273" s="95">
        <v>1544.72</v>
      </c>
      <c r="AE273" s="95">
        <v>254.55099999999999</v>
      </c>
      <c r="AF273" s="95">
        <v>250.96600000000001</v>
      </c>
      <c r="AG273" s="95">
        <v>0.36251</v>
      </c>
      <c r="AH273" s="95">
        <v>6.8559999999999996E-2</v>
      </c>
      <c r="AI273" s="95">
        <v>0.26555000000000001</v>
      </c>
      <c r="AJ273" s="95">
        <v>0</v>
      </c>
      <c r="AK273" s="95">
        <v>0.22409999999999999</v>
      </c>
      <c r="AL273" s="95">
        <v>5.0990000000000002</v>
      </c>
      <c r="AM273" s="95">
        <v>1.49759</v>
      </c>
      <c r="AN273" s="95">
        <v>3.17</v>
      </c>
      <c r="AO273" s="95">
        <v>0</v>
      </c>
      <c r="AP273" s="95">
        <v>423.70100000000002</v>
      </c>
      <c r="AQ273" s="95">
        <v>423.05099999999999</v>
      </c>
      <c r="AR273" s="95">
        <v>423.05099999999999</v>
      </c>
      <c r="AS273" s="95">
        <v>0</v>
      </c>
      <c r="AT273" s="95">
        <v>23.465</v>
      </c>
      <c r="AU273" s="95">
        <v>11.487</v>
      </c>
      <c r="AV273" s="95">
        <v>11.523</v>
      </c>
      <c r="AW273" s="95">
        <v>11.558</v>
      </c>
      <c r="AX273" s="95">
        <v>7.0000000000000007E-2</v>
      </c>
      <c r="AY273" s="95">
        <f t="shared" si="33"/>
        <v>0.98653824050021843</v>
      </c>
      <c r="AZ273" s="95">
        <f t="shared" si="34"/>
        <v>24.806589595375723</v>
      </c>
    </row>
    <row r="274" spans="1:52" x14ac:dyDescent="0.2">
      <c r="Z274" s="17">
        <v>0</v>
      </c>
      <c r="AA274" s="17">
        <v>0</v>
      </c>
      <c r="AB274" s="17">
        <v>0</v>
      </c>
      <c r="AC274" s="17">
        <v>0</v>
      </c>
      <c r="AD274" s="17">
        <v>0</v>
      </c>
      <c r="AE274" s="17">
        <v>0</v>
      </c>
      <c r="AF274" s="17">
        <v>0</v>
      </c>
      <c r="AG274" s="17">
        <v>0</v>
      </c>
      <c r="AH274" s="17">
        <v>0</v>
      </c>
      <c r="AI274" s="17">
        <v>0</v>
      </c>
      <c r="AJ274" s="17">
        <v>0</v>
      </c>
      <c r="AK274" s="17">
        <v>0</v>
      </c>
      <c r="AL274" s="17">
        <v>0</v>
      </c>
      <c r="AM274" s="17">
        <v>0</v>
      </c>
      <c r="AN274" s="17">
        <v>0</v>
      </c>
      <c r="AO274" s="17">
        <v>0</v>
      </c>
      <c r="AP274" s="17">
        <v>0</v>
      </c>
      <c r="AQ274" s="17">
        <v>0</v>
      </c>
      <c r="AR274" s="17">
        <v>0</v>
      </c>
      <c r="AS274" s="17">
        <v>0</v>
      </c>
      <c r="AT274" s="17">
        <v>0</v>
      </c>
      <c r="AU274" s="17">
        <v>0</v>
      </c>
      <c r="AV274" s="17">
        <v>0</v>
      </c>
      <c r="AW274" s="17">
        <v>0</v>
      </c>
      <c r="AX274" s="17">
        <v>0</v>
      </c>
    </row>
  </sheetData>
  <mergeCells count="4">
    <mergeCell ref="BB1:BI1"/>
    <mergeCell ref="BJ1:BQ1"/>
    <mergeCell ref="BS1:BZ1"/>
    <mergeCell ref="CB1:CI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Design Parameters</vt:lpstr>
      <vt:lpstr>Plots</vt:lpstr>
      <vt:lpstr>Compressor Map</vt:lpstr>
      <vt:lpstr>Detailed Report Data</vt:lpstr>
      <vt:lpstr>For MtLab</vt:lpstr>
      <vt:lpstr>ds Manual Calculations</vt:lpstr>
    </vt:vector>
  </TitlesOfParts>
  <Company>HPES ACES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Mirhashemi, Arman (GRC-LTE0)</dc:creator>
  <cp:lastModifiedBy>Juangphanich, Paht (GRC-LTE0)</cp:lastModifiedBy>
  <dcterms:created xsi:type="dcterms:W3CDTF">2021-08-01T16:10:22Z</dcterms:created>
  <dcterms:modified xsi:type="dcterms:W3CDTF">2025-09-26T14:24:20Z</dcterms:modified>
</cp:coreProperties>
</file>